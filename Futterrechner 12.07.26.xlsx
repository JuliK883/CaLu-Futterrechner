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883\Documents\Dokumente\Futterrechner alles\App Erstellung\"/>
    </mc:Choice>
  </mc:AlternateContent>
  <xr:revisionPtr revIDLastSave="0" documentId="13_ncr:1_{059BDBB8-2785-4F42-93BA-555923C64E20}" xr6:coauthVersionLast="47" xr6:coauthVersionMax="47" xr10:uidLastSave="{00000000-0000-0000-0000-000000000000}"/>
  <bookViews>
    <workbookView xWindow="-98" yWindow="-98" windowWidth="21795" windowHeight="12975" firstSheet="3" activeTab="3" xr2:uid="{5733D07A-2CEB-493C-8292-A28AC75C7CC8}"/>
  </bookViews>
  <sheets>
    <sheet name="Dashboard" sheetId="2" r:id="rId1"/>
    <sheet name="Bedarfswerte" sheetId="3" r:id="rId2"/>
    <sheet name="Analyse" sheetId="5" r:id="rId3"/>
    <sheet name="Lebensmitteldaten" sheetId="1" r:id="rId4"/>
    <sheet name="Hintergrunddaten" sheetId="6" r:id="rId5"/>
    <sheet name="Hintergrund Anpassungen Einheit" sheetId="8" r:id="rId6"/>
    <sheet name="Benutzerverwaltung" sheetId="9" r:id="rId7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C1" i="1"/>
  <c r="D50" i="2"/>
  <c r="D49" i="2"/>
  <c r="C41" i="2"/>
  <c r="D41" i="2"/>
  <c r="D42" i="2"/>
  <c r="D43" i="2"/>
  <c r="D44" i="2"/>
  <c r="D45" i="2"/>
  <c r="D46" i="2"/>
  <c r="D47" i="2"/>
  <c r="D48" i="2"/>
  <c r="D51" i="2"/>
  <c r="D52" i="2"/>
  <c r="D53" i="2"/>
  <c r="D54" i="2"/>
  <c r="D55" i="2"/>
  <c r="D56" i="2"/>
  <c r="D57" i="2"/>
  <c r="D58" i="2"/>
  <c r="D59" i="2"/>
  <c r="D60" i="2"/>
  <c r="D61" i="2"/>
  <c r="D39" i="2"/>
  <c r="E297" i="1"/>
  <c r="E50" i="2"/>
  <c r="E296" i="1"/>
  <c r="E49" i="2"/>
  <c r="E312" i="1"/>
  <c r="E41" i="2"/>
  <c r="E562" i="1"/>
  <c r="E42" i="2"/>
  <c r="E239" i="1"/>
  <c r="E43" i="2"/>
  <c r="E349" i="1"/>
  <c r="E44" i="2"/>
  <c r="E6" i="1"/>
  <c r="E45" i="2"/>
  <c r="E176" i="1"/>
  <c r="E46" i="2"/>
  <c r="E271" i="1"/>
  <c r="E47" i="2"/>
  <c r="E313" i="1"/>
  <c r="E48" i="2"/>
  <c r="E51" i="2"/>
  <c r="E52" i="2"/>
  <c r="E53" i="2"/>
  <c r="E54" i="2"/>
  <c r="E55" i="2"/>
  <c r="E56" i="2"/>
  <c r="E57" i="2"/>
  <c r="E58" i="2"/>
  <c r="E59" i="2"/>
  <c r="E60" i="2"/>
  <c r="E61" i="2"/>
  <c r="E39" i="2"/>
  <c r="F50" i="2"/>
  <c r="F49" i="2"/>
  <c r="F41" i="2"/>
  <c r="F42" i="2"/>
  <c r="F43" i="2"/>
  <c r="F44" i="2"/>
  <c r="F45" i="2"/>
  <c r="F46" i="2"/>
  <c r="F47" i="2"/>
  <c r="F48" i="2"/>
  <c r="F51" i="2"/>
  <c r="F52" i="2"/>
  <c r="F53" i="2"/>
  <c r="F54" i="2"/>
  <c r="F55" i="2"/>
  <c r="F56" i="2"/>
  <c r="F57" i="2"/>
  <c r="F58" i="2"/>
  <c r="F59" i="2"/>
  <c r="F60" i="2"/>
  <c r="F61" i="2"/>
  <c r="F39" i="2"/>
  <c r="G297" i="1"/>
  <c r="G50" i="2"/>
  <c r="G296" i="1"/>
  <c r="G49" i="2"/>
  <c r="G312" i="1"/>
  <c r="G41" i="2"/>
  <c r="G562" i="1"/>
  <c r="G42" i="2"/>
  <c r="G239" i="1"/>
  <c r="G43" i="2"/>
  <c r="G349" i="1"/>
  <c r="G44" i="2"/>
  <c r="G6" i="1"/>
  <c r="G45" i="2"/>
  <c r="G176" i="1"/>
  <c r="G46" i="2"/>
  <c r="G271" i="1"/>
  <c r="G47" i="2"/>
  <c r="G313" i="1"/>
  <c r="G48" i="2"/>
  <c r="G51" i="2"/>
  <c r="G52" i="2"/>
  <c r="G53" i="2"/>
  <c r="G54" i="2"/>
  <c r="G55" i="2"/>
  <c r="G56" i="2"/>
  <c r="G57" i="2"/>
  <c r="G58" i="2"/>
  <c r="G59" i="2"/>
  <c r="G60" i="2"/>
  <c r="G61" i="2"/>
  <c r="G39" i="2"/>
  <c r="H50" i="2"/>
  <c r="H49" i="2"/>
  <c r="H41" i="2"/>
  <c r="H42" i="2"/>
  <c r="H43" i="2"/>
  <c r="H44" i="2"/>
  <c r="H45" i="2"/>
  <c r="H46" i="2"/>
  <c r="H47" i="2"/>
  <c r="H48" i="2"/>
  <c r="H51" i="2"/>
  <c r="H52" i="2"/>
  <c r="H53" i="2"/>
  <c r="H54" i="2"/>
  <c r="H55" i="2"/>
  <c r="H56" i="2"/>
  <c r="H57" i="2"/>
  <c r="H58" i="2"/>
  <c r="H59" i="2"/>
  <c r="H60" i="2"/>
  <c r="H61" i="2"/>
  <c r="H39" i="2"/>
  <c r="M297" i="1"/>
  <c r="I297" i="1"/>
  <c r="I50" i="2"/>
  <c r="M296" i="1"/>
  <c r="I296" i="1"/>
  <c r="I49" i="2"/>
  <c r="M312" i="1"/>
  <c r="I312" i="1"/>
  <c r="I41" i="2"/>
  <c r="M562" i="1"/>
  <c r="I562" i="1"/>
  <c r="I42" i="2"/>
  <c r="M239" i="1"/>
  <c r="I239" i="1"/>
  <c r="I43" i="2"/>
  <c r="M349" i="1"/>
  <c r="I349" i="1"/>
  <c r="I44" i="2"/>
  <c r="M6" i="1"/>
  <c r="I6" i="1"/>
  <c r="I45" i="2"/>
  <c r="M176" i="1"/>
  <c r="I176" i="1"/>
  <c r="I46" i="2"/>
  <c r="M271" i="1"/>
  <c r="I271" i="1"/>
  <c r="I47" i="2"/>
  <c r="M313" i="1"/>
  <c r="I313" i="1"/>
  <c r="I48" i="2"/>
  <c r="I51" i="2"/>
  <c r="I52" i="2"/>
  <c r="I53" i="2"/>
  <c r="I54" i="2"/>
  <c r="I55" i="2"/>
  <c r="I56" i="2"/>
  <c r="I57" i="2"/>
  <c r="I58" i="2"/>
  <c r="I59" i="2"/>
  <c r="I60" i="2"/>
  <c r="I61" i="2"/>
  <c r="I39" i="2"/>
  <c r="J50" i="2"/>
  <c r="J49" i="2"/>
  <c r="J41" i="2"/>
  <c r="J42" i="2"/>
  <c r="J43" i="2"/>
  <c r="J44" i="2"/>
  <c r="J45" i="2"/>
  <c r="J46" i="2"/>
  <c r="J47" i="2"/>
  <c r="J48" i="2"/>
  <c r="J51" i="2"/>
  <c r="J52" i="2"/>
  <c r="J53" i="2"/>
  <c r="J54" i="2"/>
  <c r="J55" i="2"/>
  <c r="J56" i="2"/>
  <c r="J57" i="2"/>
  <c r="J58" i="2"/>
  <c r="J59" i="2"/>
  <c r="J60" i="2"/>
  <c r="J61" i="2"/>
  <c r="J39" i="2"/>
  <c r="K50" i="2"/>
  <c r="K49" i="2"/>
  <c r="K41" i="2"/>
  <c r="K42" i="2"/>
  <c r="K43" i="2"/>
  <c r="K44" i="2"/>
  <c r="K45" i="2"/>
  <c r="K46" i="2"/>
  <c r="K47" i="2"/>
  <c r="K48" i="2"/>
  <c r="K51" i="2"/>
  <c r="K52" i="2"/>
  <c r="K53" i="2"/>
  <c r="K54" i="2"/>
  <c r="K55" i="2"/>
  <c r="K56" i="2"/>
  <c r="K57" i="2"/>
  <c r="K58" i="2"/>
  <c r="K59" i="2"/>
  <c r="K60" i="2"/>
  <c r="K61" i="2"/>
  <c r="K39" i="2"/>
  <c r="L50" i="2"/>
  <c r="L49" i="2"/>
  <c r="L41" i="2"/>
  <c r="L42" i="2"/>
  <c r="L43" i="2"/>
  <c r="L44" i="2"/>
  <c r="L45" i="2"/>
  <c r="L46" i="2"/>
  <c r="L47" i="2"/>
  <c r="L48" i="2"/>
  <c r="L51" i="2"/>
  <c r="L52" i="2"/>
  <c r="L53" i="2"/>
  <c r="L54" i="2"/>
  <c r="L55" i="2"/>
  <c r="L56" i="2"/>
  <c r="L57" i="2"/>
  <c r="L58" i="2"/>
  <c r="L59" i="2"/>
  <c r="L60" i="2"/>
  <c r="L61" i="2"/>
  <c r="L39" i="2"/>
  <c r="M50" i="2"/>
  <c r="M49" i="2"/>
  <c r="M41" i="2"/>
  <c r="M42" i="2"/>
  <c r="M43" i="2"/>
  <c r="M44" i="2"/>
  <c r="M45" i="2"/>
  <c r="M46" i="2"/>
  <c r="M47" i="2"/>
  <c r="M48" i="2"/>
  <c r="M51" i="2"/>
  <c r="M52" i="2"/>
  <c r="M53" i="2"/>
  <c r="M54" i="2"/>
  <c r="M55" i="2"/>
  <c r="M56" i="2"/>
  <c r="M57" i="2"/>
  <c r="M58" i="2"/>
  <c r="M59" i="2"/>
  <c r="M60" i="2"/>
  <c r="M61" i="2"/>
  <c r="M39" i="2"/>
  <c r="N50" i="2"/>
  <c r="N49" i="2"/>
  <c r="N41" i="2"/>
  <c r="N42" i="2"/>
  <c r="N43" i="2"/>
  <c r="N44" i="2"/>
  <c r="N45" i="2"/>
  <c r="N46" i="2"/>
  <c r="N47" i="2"/>
  <c r="N48" i="2"/>
  <c r="N51" i="2"/>
  <c r="N52" i="2"/>
  <c r="N53" i="2"/>
  <c r="N54" i="2"/>
  <c r="N55" i="2"/>
  <c r="N56" i="2"/>
  <c r="N57" i="2"/>
  <c r="N58" i="2"/>
  <c r="N59" i="2"/>
  <c r="N60" i="2"/>
  <c r="N61" i="2"/>
  <c r="N39" i="2"/>
  <c r="O50" i="2"/>
  <c r="O49" i="2"/>
  <c r="O41" i="2"/>
  <c r="O42" i="2"/>
  <c r="O43" i="2"/>
  <c r="O44" i="2"/>
  <c r="O45" i="2"/>
  <c r="O46" i="2"/>
  <c r="O47" i="2"/>
  <c r="O48" i="2"/>
  <c r="O51" i="2"/>
  <c r="O52" i="2"/>
  <c r="O53" i="2"/>
  <c r="O54" i="2"/>
  <c r="O55" i="2"/>
  <c r="O56" i="2"/>
  <c r="O57" i="2"/>
  <c r="O58" i="2"/>
  <c r="O59" i="2"/>
  <c r="O60" i="2"/>
  <c r="O61" i="2"/>
  <c r="O39" i="2"/>
  <c r="P50" i="2"/>
  <c r="P49" i="2"/>
  <c r="P41" i="2"/>
  <c r="P42" i="2"/>
  <c r="P43" i="2"/>
  <c r="P44" i="2"/>
  <c r="P45" i="2"/>
  <c r="P46" i="2"/>
  <c r="P47" i="2"/>
  <c r="P48" i="2"/>
  <c r="P51" i="2"/>
  <c r="P52" i="2"/>
  <c r="P53" i="2"/>
  <c r="P54" i="2"/>
  <c r="P55" i="2"/>
  <c r="P56" i="2"/>
  <c r="P57" i="2"/>
  <c r="P58" i="2"/>
  <c r="P59" i="2"/>
  <c r="P60" i="2"/>
  <c r="P61" i="2"/>
  <c r="P39" i="2"/>
  <c r="Q50" i="2"/>
  <c r="Q49" i="2"/>
  <c r="Q41" i="2"/>
  <c r="Q42" i="2"/>
  <c r="Q43" i="2"/>
  <c r="Q44" i="2"/>
  <c r="Q45" i="2"/>
  <c r="Q46" i="2"/>
  <c r="Q47" i="2"/>
  <c r="Q48" i="2"/>
  <c r="Q51" i="2"/>
  <c r="Q52" i="2"/>
  <c r="Q53" i="2"/>
  <c r="Q54" i="2"/>
  <c r="Q55" i="2"/>
  <c r="Q56" i="2"/>
  <c r="Q57" i="2"/>
  <c r="Q58" i="2"/>
  <c r="Q59" i="2"/>
  <c r="Q60" i="2"/>
  <c r="Q61" i="2"/>
  <c r="Q39" i="2"/>
  <c r="R50" i="2"/>
  <c r="R49" i="2"/>
  <c r="R41" i="2"/>
  <c r="R42" i="2"/>
  <c r="R43" i="2"/>
  <c r="R44" i="2"/>
  <c r="R45" i="2"/>
  <c r="R46" i="2"/>
  <c r="R47" i="2"/>
  <c r="R48" i="2"/>
  <c r="R51" i="2"/>
  <c r="R52" i="2"/>
  <c r="R53" i="2"/>
  <c r="R54" i="2"/>
  <c r="R55" i="2"/>
  <c r="R56" i="2"/>
  <c r="R57" i="2"/>
  <c r="R58" i="2"/>
  <c r="R59" i="2"/>
  <c r="R60" i="2"/>
  <c r="R61" i="2"/>
  <c r="R39" i="2"/>
  <c r="T50" i="2"/>
  <c r="T49" i="2"/>
  <c r="T41" i="2"/>
  <c r="T42" i="2"/>
  <c r="T43" i="2"/>
  <c r="T44" i="2"/>
  <c r="T45" i="2"/>
  <c r="T46" i="2"/>
  <c r="T47" i="2"/>
  <c r="T48" i="2"/>
  <c r="T51" i="2"/>
  <c r="T52" i="2"/>
  <c r="T53" i="2"/>
  <c r="T54" i="2"/>
  <c r="T55" i="2"/>
  <c r="T56" i="2"/>
  <c r="T57" i="2"/>
  <c r="T58" i="2"/>
  <c r="T59" i="2"/>
  <c r="T60" i="2"/>
  <c r="T61" i="2"/>
  <c r="T39" i="2"/>
  <c r="U50" i="2"/>
  <c r="U49" i="2"/>
  <c r="U41" i="2"/>
  <c r="U42" i="2"/>
  <c r="U43" i="2"/>
  <c r="U44" i="2"/>
  <c r="U45" i="2"/>
  <c r="U46" i="2"/>
  <c r="U47" i="2"/>
  <c r="U48" i="2"/>
  <c r="U51" i="2"/>
  <c r="U52" i="2"/>
  <c r="U53" i="2"/>
  <c r="U54" i="2"/>
  <c r="U55" i="2"/>
  <c r="U56" i="2"/>
  <c r="U57" i="2"/>
  <c r="U58" i="2"/>
  <c r="U59" i="2"/>
  <c r="U60" i="2"/>
  <c r="U61" i="2"/>
  <c r="U39" i="2"/>
  <c r="V50" i="2"/>
  <c r="V49" i="2"/>
  <c r="V41" i="2"/>
  <c r="V42" i="2"/>
  <c r="V43" i="2"/>
  <c r="V44" i="2"/>
  <c r="V45" i="2"/>
  <c r="V46" i="2"/>
  <c r="V47" i="2"/>
  <c r="V48" i="2"/>
  <c r="V51" i="2"/>
  <c r="V52" i="2"/>
  <c r="V53" i="2"/>
  <c r="V54" i="2"/>
  <c r="V55" i="2"/>
  <c r="V56" i="2"/>
  <c r="V57" i="2"/>
  <c r="V58" i="2"/>
  <c r="V59" i="2"/>
  <c r="V60" i="2"/>
  <c r="V61" i="2"/>
  <c r="V39" i="2"/>
  <c r="W50" i="2"/>
  <c r="W49" i="2"/>
  <c r="W41" i="2"/>
  <c r="W42" i="2"/>
  <c r="W43" i="2"/>
  <c r="W44" i="2"/>
  <c r="W45" i="2"/>
  <c r="W46" i="2"/>
  <c r="W47" i="2"/>
  <c r="W48" i="2"/>
  <c r="W51" i="2"/>
  <c r="W52" i="2"/>
  <c r="W53" i="2"/>
  <c r="W54" i="2"/>
  <c r="W55" i="2"/>
  <c r="W56" i="2"/>
  <c r="W57" i="2"/>
  <c r="W58" i="2"/>
  <c r="W59" i="2"/>
  <c r="W60" i="2"/>
  <c r="W61" i="2"/>
  <c r="W39" i="2"/>
  <c r="X50" i="2"/>
  <c r="X49" i="2"/>
  <c r="X41" i="2"/>
  <c r="X42" i="2"/>
  <c r="X43" i="2"/>
  <c r="X44" i="2"/>
  <c r="X45" i="2"/>
  <c r="X46" i="2"/>
  <c r="X47" i="2"/>
  <c r="X48" i="2"/>
  <c r="X51" i="2"/>
  <c r="X52" i="2"/>
  <c r="X53" i="2"/>
  <c r="X54" i="2"/>
  <c r="X55" i="2"/>
  <c r="X56" i="2"/>
  <c r="X57" i="2"/>
  <c r="X58" i="2"/>
  <c r="X59" i="2"/>
  <c r="X60" i="2"/>
  <c r="X61" i="2"/>
  <c r="X39" i="2"/>
  <c r="Y50" i="2"/>
  <c r="Y49" i="2"/>
  <c r="Y41" i="2"/>
  <c r="Y42" i="2"/>
  <c r="Y43" i="2"/>
  <c r="Y44" i="2"/>
  <c r="Y45" i="2"/>
  <c r="Y46" i="2"/>
  <c r="Y47" i="2"/>
  <c r="Y48" i="2"/>
  <c r="Y51" i="2"/>
  <c r="Y52" i="2"/>
  <c r="Y53" i="2"/>
  <c r="Y54" i="2"/>
  <c r="Y55" i="2"/>
  <c r="Y56" i="2"/>
  <c r="Y57" i="2"/>
  <c r="Y58" i="2"/>
  <c r="Y59" i="2"/>
  <c r="Y60" i="2"/>
  <c r="Y61" i="2"/>
  <c r="Y39" i="2"/>
  <c r="AA50" i="2"/>
  <c r="AA49" i="2"/>
  <c r="AA41" i="2"/>
  <c r="AA42" i="2"/>
  <c r="AA43" i="2"/>
  <c r="AA44" i="2"/>
  <c r="AA45" i="2"/>
  <c r="AA46" i="2"/>
  <c r="AA47" i="2"/>
  <c r="AA48" i="2"/>
  <c r="AA51" i="2"/>
  <c r="AA52" i="2"/>
  <c r="AA53" i="2"/>
  <c r="AA54" i="2"/>
  <c r="AA55" i="2"/>
  <c r="AA56" i="2"/>
  <c r="AA57" i="2"/>
  <c r="AA58" i="2"/>
  <c r="AA59" i="2"/>
  <c r="AA60" i="2"/>
  <c r="AA61" i="2"/>
  <c r="AA39" i="2"/>
  <c r="AB50" i="2"/>
  <c r="AB49" i="2"/>
  <c r="AB41" i="2"/>
  <c r="AB42" i="2"/>
  <c r="AB43" i="2"/>
  <c r="AB44" i="2"/>
  <c r="AB45" i="2"/>
  <c r="AB46" i="2"/>
  <c r="AB47" i="2"/>
  <c r="AB48" i="2"/>
  <c r="AB51" i="2"/>
  <c r="AB52" i="2"/>
  <c r="AB53" i="2"/>
  <c r="AB54" i="2"/>
  <c r="AB55" i="2"/>
  <c r="AB56" i="2"/>
  <c r="AB57" i="2"/>
  <c r="AB58" i="2"/>
  <c r="AB59" i="2"/>
  <c r="AB60" i="2"/>
  <c r="AB61" i="2"/>
  <c r="AB39" i="2"/>
  <c r="AC50" i="2"/>
  <c r="AC49" i="2"/>
  <c r="AC41" i="2"/>
  <c r="AC42" i="2"/>
  <c r="AC43" i="2"/>
  <c r="AC44" i="2"/>
  <c r="AC45" i="2"/>
  <c r="AC46" i="2"/>
  <c r="AC47" i="2"/>
  <c r="AC48" i="2"/>
  <c r="AC51" i="2"/>
  <c r="AC52" i="2"/>
  <c r="AC53" i="2"/>
  <c r="AC54" i="2"/>
  <c r="AC55" i="2"/>
  <c r="AC56" i="2"/>
  <c r="AC57" i="2"/>
  <c r="AC58" i="2"/>
  <c r="AC59" i="2"/>
  <c r="AC60" i="2"/>
  <c r="AC61" i="2"/>
  <c r="AC39" i="2"/>
  <c r="AD50" i="2"/>
  <c r="AD49" i="2"/>
  <c r="AD41" i="2"/>
  <c r="AD42" i="2"/>
  <c r="AD43" i="2"/>
  <c r="AD44" i="2"/>
  <c r="AD45" i="2"/>
  <c r="AD46" i="2"/>
  <c r="AD47" i="2"/>
  <c r="AD48" i="2"/>
  <c r="AD51" i="2"/>
  <c r="AD52" i="2"/>
  <c r="AD53" i="2"/>
  <c r="AD54" i="2"/>
  <c r="AD55" i="2"/>
  <c r="AD56" i="2"/>
  <c r="AD57" i="2"/>
  <c r="AD58" i="2"/>
  <c r="AD59" i="2"/>
  <c r="AD60" i="2"/>
  <c r="AD61" i="2"/>
  <c r="AD39" i="2"/>
  <c r="AE50" i="2"/>
  <c r="AE49" i="2"/>
  <c r="AE41" i="2"/>
  <c r="AE42" i="2"/>
  <c r="AE43" i="2"/>
  <c r="AE44" i="2"/>
  <c r="AE45" i="2"/>
  <c r="AE46" i="2"/>
  <c r="AE47" i="2"/>
  <c r="AE48" i="2"/>
  <c r="AE51" i="2"/>
  <c r="AE52" i="2"/>
  <c r="AE53" i="2"/>
  <c r="AE54" i="2"/>
  <c r="AE55" i="2"/>
  <c r="AE56" i="2"/>
  <c r="AE57" i="2"/>
  <c r="AE58" i="2"/>
  <c r="AE59" i="2"/>
  <c r="AE60" i="2"/>
  <c r="AE61" i="2"/>
  <c r="AE39" i="2"/>
  <c r="AF50" i="2"/>
  <c r="AF49" i="2"/>
  <c r="AF41" i="2"/>
  <c r="AF42" i="2"/>
  <c r="AF43" i="2"/>
  <c r="AF44" i="2"/>
  <c r="AF45" i="2"/>
  <c r="AF46" i="2"/>
  <c r="AF47" i="2"/>
  <c r="AF48" i="2"/>
  <c r="AF51" i="2"/>
  <c r="AF52" i="2"/>
  <c r="AF53" i="2"/>
  <c r="AF54" i="2"/>
  <c r="AF55" i="2"/>
  <c r="AF56" i="2"/>
  <c r="AF57" i="2"/>
  <c r="AF58" i="2"/>
  <c r="AF59" i="2"/>
  <c r="AF60" i="2"/>
  <c r="AF61" i="2"/>
  <c r="AF39" i="2"/>
  <c r="AG50" i="2"/>
  <c r="AG49" i="2"/>
  <c r="AG41" i="2"/>
  <c r="AG42" i="2"/>
  <c r="AG43" i="2"/>
  <c r="AG44" i="2"/>
  <c r="AG45" i="2"/>
  <c r="AG46" i="2"/>
  <c r="AG47" i="2"/>
  <c r="AG48" i="2"/>
  <c r="AG51" i="2"/>
  <c r="AG52" i="2"/>
  <c r="AG53" i="2"/>
  <c r="AG54" i="2"/>
  <c r="AG55" i="2"/>
  <c r="AG56" i="2"/>
  <c r="AG57" i="2"/>
  <c r="AG58" i="2"/>
  <c r="AG59" i="2"/>
  <c r="AG60" i="2"/>
  <c r="AG61" i="2"/>
  <c r="AG39" i="2"/>
  <c r="AH50" i="2"/>
  <c r="AH49" i="2"/>
  <c r="AH41" i="2"/>
  <c r="AH42" i="2"/>
  <c r="AH43" i="2"/>
  <c r="AH44" i="2"/>
  <c r="AH45" i="2"/>
  <c r="AH46" i="2"/>
  <c r="AH47" i="2"/>
  <c r="AH48" i="2"/>
  <c r="AH51" i="2"/>
  <c r="AH52" i="2"/>
  <c r="AH53" i="2"/>
  <c r="AH54" i="2"/>
  <c r="AH55" i="2"/>
  <c r="AH56" i="2"/>
  <c r="AH57" i="2"/>
  <c r="AH58" i="2"/>
  <c r="AH59" i="2"/>
  <c r="AH60" i="2"/>
  <c r="AH61" i="2"/>
  <c r="AH39" i="2"/>
  <c r="AI50" i="2"/>
  <c r="AI49" i="2"/>
  <c r="AI41" i="2"/>
  <c r="AI42" i="2"/>
  <c r="AI43" i="2"/>
  <c r="AI44" i="2"/>
  <c r="AI45" i="2"/>
  <c r="AI46" i="2"/>
  <c r="AI47" i="2"/>
  <c r="AI48" i="2"/>
  <c r="AI51" i="2"/>
  <c r="AI52" i="2"/>
  <c r="AI53" i="2"/>
  <c r="AI54" i="2"/>
  <c r="AI55" i="2"/>
  <c r="AI56" i="2"/>
  <c r="AI57" i="2"/>
  <c r="AI58" i="2"/>
  <c r="AI59" i="2"/>
  <c r="AI60" i="2"/>
  <c r="AI61" i="2"/>
  <c r="AI39" i="2"/>
  <c r="AJ50" i="2"/>
  <c r="AJ49" i="2"/>
  <c r="AJ41" i="2"/>
  <c r="AJ42" i="2"/>
  <c r="AJ43" i="2"/>
  <c r="AJ44" i="2"/>
  <c r="AJ45" i="2"/>
  <c r="AJ46" i="2"/>
  <c r="AJ47" i="2"/>
  <c r="AJ48" i="2"/>
  <c r="AJ51" i="2"/>
  <c r="AJ52" i="2"/>
  <c r="AJ53" i="2"/>
  <c r="AJ54" i="2"/>
  <c r="AJ55" i="2"/>
  <c r="AJ56" i="2"/>
  <c r="AJ57" i="2"/>
  <c r="AJ58" i="2"/>
  <c r="AJ59" i="2"/>
  <c r="AJ60" i="2"/>
  <c r="AJ61" i="2"/>
  <c r="AJ39" i="2"/>
  <c r="AK50" i="2"/>
  <c r="AK49" i="2"/>
  <c r="AK41" i="2"/>
  <c r="AK42" i="2"/>
  <c r="AK43" i="2"/>
  <c r="AK44" i="2"/>
  <c r="AK45" i="2"/>
  <c r="AK46" i="2"/>
  <c r="AK47" i="2"/>
  <c r="AK48" i="2"/>
  <c r="AK51" i="2"/>
  <c r="AK52" i="2"/>
  <c r="AK53" i="2"/>
  <c r="AK54" i="2"/>
  <c r="AK55" i="2"/>
  <c r="AK56" i="2"/>
  <c r="AK57" i="2"/>
  <c r="AK58" i="2"/>
  <c r="AK59" i="2"/>
  <c r="AK60" i="2"/>
  <c r="AK61" i="2"/>
  <c r="AK39" i="2"/>
  <c r="AL50" i="2"/>
  <c r="AL49" i="2"/>
  <c r="AL41" i="2"/>
  <c r="AL42" i="2"/>
  <c r="AL43" i="2"/>
  <c r="AL44" i="2"/>
  <c r="AL45" i="2"/>
  <c r="AL46" i="2"/>
  <c r="AL47" i="2"/>
  <c r="AL48" i="2"/>
  <c r="AL51" i="2"/>
  <c r="AL52" i="2"/>
  <c r="AL53" i="2"/>
  <c r="AL54" i="2"/>
  <c r="AL55" i="2"/>
  <c r="AL56" i="2"/>
  <c r="AL57" i="2"/>
  <c r="AL58" i="2"/>
  <c r="AL59" i="2"/>
  <c r="AL60" i="2"/>
  <c r="AL61" i="2"/>
  <c r="AL39" i="2"/>
  <c r="AM50" i="2"/>
  <c r="AM49" i="2"/>
  <c r="AM41" i="2"/>
  <c r="AM42" i="2"/>
  <c r="AM43" i="2"/>
  <c r="AM44" i="2"/>
  <c r="AM45" i="2"/>
  <c r="AM46" i="2"/>
  <c r="AM47" i="2"/>
  <c r="AM48" i="2"/>
  <c r="AM51" i="2"/>
  <c r="AM52" i="2"/>
  <c r="AM53" i="2"/>
  <c r="AM54" i="2"/>
  <c r="AM55" i="2"/>
  <c r="AM56" i="2"/>
  <c r="AM57" i="2"/>
  <c r="AM58" i="2"/>
  <c r="AM59" i="2"/>
  <c r="AM60" i="2"/>
  <c r="AM61" i="2"/>
  <c r="AM39" i="2"/>
  <c r="AN50" i="2"/>
  <c r="AN49" i="2"/>
  <c r="AN41" i="2"/>
  <c r="AN42" i="2"/>
  <c r="AN43" i="2"/>
  <c r="AN44" i="2"/>
  <c r="AN45" i="2"/>
  <c r="AN46" i="2"/>
  <c r="AN47" i="2"/>
  <c r="AN48" i="2"/>
  <c r="AN51" i="2"/>
  <c r="AN52" i="2"/>
  <c r="AN53" i="2"/>
  <c r="AN54" i="2"/>
  <c r="AN55" i="2"/>
  <c r="AN56" i="2"/>
  <c r="AN57" i="2"/>
  <c r="AN58" i="2"/>
  <c r="AN59" i="2"/>
  <c r="AN60" i="2"/>
  <c r="AN61" i="2"/>
  <c r="AN39" i="2"/>
  <c r="AO50" i="2"/>
  <c r="AO49" i="2"/>
  <c r="AO41" i="2"/>
  <c r="AO42" i="2"/>
  <c r="AO43" i="2"/>
  <c r="AO44" i="2"/>
  <c r="AO45" i="2"/>
  <c r="AO46" i="2"/>
  <c r="AO47" i="2"/>
  <c r="AO48" i="2"/>
  <c r="AO51" i="2"/>
  <c r="AO52" i="2"/>
  <c r="AO53" i="2"/>
  <c r="AO54" i="2"/>
  <c r="AO55" i="2"/>
  <c r="AO56" i="2"/>
  <c r="AO57" i="2"/>
  <c r="AO58" i="2"/>
  <c r="AO59" i="2"/>
  <c r="AO60" i="2"/>
  <c r="AO61" i="2"/>
  <c r="AO39" i="2"/>
  <c r="AP50" i="2"/>
  <c r="AP49" i="2"/>
  <c r="AP41" i="2"/>
  <c r="AP42" i="2"/>
  <c r="AP43" i="2"/>
  <c r="AP44" i="2"/>
  <c r="AP45" i="2"/>
  <c r="AP46" i="2"/>
  <c r="AP47" i="2"/>
  <c r="AP48" i="2"/>
  <c r="AP51" i="2"/>
  <c r="AP52" i="2"/>
  <c r="AP53" i="2"/>
  <c r="AP54" i="2"/>
  <c r="AP55" i="2"/>
  <c r="AP56" i="2"/>
  <c r="AP57" i="2"/>
  <c r="AP58" i="2"/>
  <c r="AP59" i="2"/>
  <c r="AP60" i="2"/>
  <c r="AP61" i="2"/>
  <c r="AP39" i="2"/>
  <c r="AQ50" i="2"/>
  <c r="AQ49" i="2"/>
  <c r="AQ41" i="2"/>
  <c r="AQ42" i="2"/>
  <c r="AQ43" i="2"/>
  <c r="AQ44" i="2"/>
  <c r="AQ45" i="2"/>
  <c r="AQ46" i="2"/>
  <c r="AQ47" i="2"/>
  <c r="AQ48" i="2"/>
  <c r="AQ51" i="2"/>
  <c r="AQ52" i="2"/>
  <c r="AQ53" i="2"/>
  <c r="AQ54" i="2"/>
  <c r="AQ55" i="2"/>
  <c r="AQ56" i="2"/>
  <c r="AQ57" i="2"/>
  <c r="AQ58" i="2"/>
  <c r="AQ59" i="2"/>
  <c r="AQ60" i="2"/>
  <c r="AQ61" i="2"/>
  <c r="AQ39" i="2"/>
  <c r="AR50" i="2"/>
  <c r="AR49" i="2"/>
  <c r="AR41" i="2"/>
  <c r="AR42" i="2"/>
  <c r="AR43" i="2"/>
  <c r="AR44" i="2"/>
  <c r="AR45" i="2"/>
  <c r="AR46" i="2"/>
  <c r="AR47" i="2"/>
  <c r="AR48" i="2"/>
  <c r="AR51" i="2"/>
  <c r="AR52" i="2"/>
  <c r="AR53" i="2"/>
  <c r="AR54" i="2"/>
  <c r="AR55" i="2"/>
  <c r="AR56" i="2"/>
  <c r="AR57" i="2"/>
  <c r="AR58" i="2"/>
  <c r="AR59" i="2"/>
  <c r="AR60" i="2"/>
  <c r="AR61" i="2"/>
  <c r="AR39" i="2"/>
  <c r="AS50" i="2"/>
  <c r="AS49" i="2"/>
  <c r="AS41" i="2"/>
  <c r="AS42" i="2"/>
  <c r="AS43" i="2"/>
  <c r="AS44" i="2"/>
  <c r="AS45" i="2"/>
  <c r="AS46" i="2"/>
  <c r="AS47" i="2"/>
  <c r="AS48" i="2"/>
  <c r="AS51" i="2"/>
  <c r="AS52" i="2"/>
  <c r="AS53" i="2"/>
  <c r="AS54" i="2"/>
  <c r="AS55" i="2"/>
  <c r="AS56" i="2"/>
  <c r="AS57" i="2"/>
  <c r="AS58" i="2"/>
  <c r="AS59" i="2"/>
  <c r="AS60" i="2"/>
  <c r="AS61" i="2"/>
  <c r="AS39" i="2"/>
  <c r="AT50" i="2"/>
  <c r="AT49" i="2"/>
  <c r="AT41" i="2"/>
  <c r="AT42" i="2"/>
  <c r="AT43" i="2"/>
  <c r="AT44" i="2"/>
  <c r="AT45" i="2"/>
  <c r="AT46" i="2"/>
  <c r="AT47" i="2"/>
  <c r="AT48" i="2"/>
  <c r="AT51" i="2"/>
  <c r="AT52" i="2"/>
  <c r="AT53" i="2"/>
  <c r="AT54" i="2"/>
  <c r="AT55" i="2"/>
  <c r="AT56" i="2"/>
  <c r="AT57" i="2"/>
  <c r="AT58" i="2"/>
  <c r="AT59" i="2"/>
  <c r="AT60" i="2"/>
  <c r="AT61" i="2"/>
  <c r="AT39" i="2"/>
  <c r="AU50" i="2"/>
  <c r="AU49" i="2"/>
  <c r="AU41" i="2"/>
  <c r="AU42" i="2"/>
  <c r="AU43" i="2"/>
  <c r="AU44" i="2"/>
  <c r="AU45" i="2"/>
  <c r="AU46" i="2"/>
  <c r="AU47" i="2"/>
  <c r="AU48" i="2"/>
  <c r="AU51" i="2"/>
  <c r="AU52" i="2"/>
  <c r="AU53" i="2"/>
  <c r="AU54" i="2"/>
  <c r="AU55" i="2"/>
  <c r="AU56" i="2"/>
  <c r="AU57" i="2"/>
  <c r="AU58" i="2"/>
  <c r="AU59" i="2"/>
  <c r="AU60" i="2"/>
  <c r="AU61" i="2"/>
  <c r="AU39" i="2"/>
  <c r="AV50" i="2"/>
  <c r="AV49" i="2"/>
  <c r="AV41" i="2"/>
  <c r="AV42" i="2"/>
  <c r="AV43" i="2"/>
  <c r="AV44" i="2"/>
  <c r="AV45" i="2"/>
  <c r="AV46" i="2"/>
  <c r="AV47" i="2"/>
  <c r="AV48" i="2"/>
  <c r="AV51" i="2"/>
  <c r="AV52" i="2"/>
  <c r="AV53" i="2"/>
  <c r="AV54" i="2"/>
  <c r="AV55" i="2"/>
  <c r="AV56" i="2"/>
  <c r="AV57" i="2"/>
  <c r="AV58" i="2"/>
  <c r="AV59" i="2"/>
  <c r="AV60" i="2"/>
  <c r="AV61" i="2"/>
  <c r="AV39" i="2"/>
  <c r="AW50" i="2"/>
  <c r="AW49" i="2"/>
  <c r="AW41" i="2"/>
  <c r="AW42" i="2"/>
  <c r="AW43" i="2"/>
  <c r="AW44" i="2"/>
  <c r="AW45" i="2"/>
  <c r="AW46" i="2"/>
  <c r="AW47" i="2"/>
  <c r="AW48" i="2"/>
  <c r="AW51" i="2"/>
  <c r="AW52" i="2"/>
  <c r="AW53" i="2"/>
  <c r="AW54" i="2"/>
  <c r="AW55" i="2"/>
  <c r="AW56" i="2"/>
  <c r="AW57" i="2"/>
  <c r="AW58" i="2"/>
  <c r="AW59" i="2"/>
  <c r="AW60" i="2"/>
  <c r="AW61" i="2"/>
  <c r="AW39" i="2"/>
  <c r="AX297" i="1"/>
  <c r="AX50" i="2"/>
  <c r="AX296" i="1"/>
  <c r="AX49" i="2"/>
  <c r="AX312" i="1"/>
  <c r="AX41" i="2"/>
  <c r="AX562" i="1"/>
  <c r="AX42" i="2"/>
  <c r="AX239" i="1"/>
  <c r="AX43" i="2"/>
  <c r="AX349" i="1"/>
  <c r="AX44" i="2"/>
  <c r="AX6" i="1"/>
  <c r="AX45" i="2"/>
  <c r="AX176" i="1"/>
  <c r="AX46" i="2"/>
  <c r="AX271" i="1"/>
  <c r="AX47" i="2"/>
  <c r="AX313" i="1"/>
  <c r="AX48" i="2"/>
  <c r="AX51" i="2"/>
  <c r="AX52" i="2"/>
  <c r="AX53" i="2"/>
  <c r="AX54" i="2"/>
  <c r="AX55" i="2"/>
  <c r="AX56" i="2"/>
  <c r="AX57" i="2"/>
  <c r="AX58" i="2"/>
  <c r="AX59" i="2"/>
  <c r="AX60" i="2"/>
  <c r="AX61" i="2"/>
  <c r="AX39" i="2"/>
  <c r="AY297" i="1"/>
  <c r="AY50" i="2"/>
  <c r="AY296" i="1"/>
  <c r="AY49" i="2"/>
  <c r="AY312" i="1"/>
  <c r="AY41" i="2"/>
  <c r="AY562" i="1"/>
  <c r="AY42" i="2"/>
  <c r="AY239" i="1"/>
  <c r="AY43" i="2"/>
  <c r="AY349" i="1"/>
  <c r="AY44" i="2"/>
  <c r="AY6" i="1"/>
  <c r="AY45" i="2"/>
  <c r="AY176" i="1"/>
  <c r="AY46" i="2"/>
  <c r="AY271" i="1"/>
  <c r="AY47" i="2"/>
  <c r="AY313" i="1"/>
  <c r="AY48" i="2"/>
  <c r="AY51" i="2"/>
  <c r="AY52" i="2"/>
  <c r="AY53" i="2"/>
  <c r="AY54" i="2"/>
  <c r="AY55" i="2"/>
  <c r="AY56" i="2"/>
  <c r="AY57" i="2"/>
  <c r="AY58" i="2"/>
  <c r="AY59" i="2"/>
  <c r="AY60" i="2"/>
  <c r="AY61" i="2"/>
  <c r="AY39" i="2"/>
  <c r="AZ297" i="1"/>
  <c r="AZ50" i="2"/>
  <c r="AZ296" i="1"/>
  <c r="AZ49" i="2"/>
  <c r="AZ312" i="1"/>
  <c r="AZ41" i="2"/>
  <c r="AZ562" i="1"/>
  <c r="AZ42" i="2"/>
  <c r="AZ239" i="1"/>
  <c r="AZ43" i="2"/>
  <c r="AZ349" i="1"/>
  <c r="AZ44" i="2"/>
  <c r="AZ6" i="1"/>
  <c r="AZ45" i="2"/>
  <c r="AZ176" i="1"/>
  <c r="AZ46" i="2"/>
  <c r="AZ271" i="1"/>
  <c r="AZ47" i="2"/>
  <c r="AZ313" i="1"/>
  <c r="AZ48" i="2"/>
  <c r="AZ51" i="2"/>
  <c r="AZ52" i="2"/>
  <c r="AZ53" i="2"/>
  <c r="AZ54" i="2"/>
  <c r="AZ55" i="2"/>
  <c r="AZ56" i="2"/>
  <c r="AZ57" i="2"/>
  <c r="AZ58" i="2"/>
  <c r="AZ59" i="2"/>
  <c r="AZ60" i="2"/>
  <c r="AZ61" i="2"/>
  <c r="AZ39" i="2"/>
  <c r="B2" i="5" a="1"/>
  <c r="D38" i="2"/>
  <c r="E38" i="2"/>
  <c r="D2" i="5" a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B2" i="5"/>
  <c r="D2" i="5"/>
  <c r="G2" i="5"/>
  <c r="B69" i="2"/>
  <c r="B70" i="2"/>
  <c r="C47" i="2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2" i="5"/>
  <c r="E2" i="5" a="1"/>
  <c r="E2" i="5"/>
  <c r="C2" i="5" a="1"/>
  <c r="C2" i="5"/>
  <c r="A2" i="5" a="1"/>
  <c r="A2" i="5"/>
  <c r="AQ14" i="3"/>
  <c r="AQ13" i="3"/>
  <c r="AR38" i="2"/>
  <c r="C43" i="2"/>
  <c r="C44" i="2"/>
  <c r="C45" i="2"/>
  <c r="C46" i="2"/>
  <c r="C48" i="2"/>
  <c r="C49" i="2"/>
  <c r="C50" i="2"/>
  <c r="M3" i="1"/>
  <c r="D14" i="3"/>
  <c r="C14" i="3"/>
  <c r="C42" i="2"/>
  <c r="S42" i="2"/>
  <c r="Z42" i="2"/>
  <c r="S43" i="2"/>
  <c r="Z43" i="2"/>
  <c r="S44" i="2"/>
  <c r="Z44" i="2"/>
  <c r="E3" i="1"/>
  <c r="G3" i="1"/>
  <c r="I3" i="1"/>
  <c r="S45" i="2"/>
  <c r="Z45" i="2"/>
  <c r="AX3" i="1"/>
  <c r="AY3" i="1"/>
  <c r="AZ3" i="1"/>
  <c r="S46" i="2"/>
  <c r="Z46" i="2"/>
  <c r="S47" i="2"/>
  <c r="Z47" i="2"/>
  <c r="S48" i="2"/>
  <c r="Z48" i="2"/>
  <c r="S49" i="2"/>
  <c r="Z49" i="2"/>
  <c r="S50" i="2"/>
  <c r="Z50" i="2"/>
  <c r="S51" i="2"/>
  <c r="Z51" i="2"/>
  <c r="S52" i="2"/>
  <c r="Z52" i="2"/>
  <c r="S53" i="2"/>
  <c r="Z53" i="2"/>
  <c r="S54" i="2"/>
  <c r="Z54" i="2"/>
  <c r="S55" i="2"/>
  <c r="Z55" i="2"/>
  <c r="S56" i="2"/>
  <c r="Z56" i="2"/>
  <c r="S57" i="2"/>
  <c r="Z57" i="2"/>
  <c r="S58" i="2"/>
  <c r="Z58" i="2"/>
  <c r="S59" i="2"/>
  <c r="Z59" i="2"/>
  <c r="S60" i="2"/>
  <c r="Z60" i="2"/>
  <c r="S61" i="2"/>
  <c r="Z61" i="2"/>
  <c r="S41" i="2"/>
  <c r="Z41" i="2"/>
  <c r="E14" i="3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S38" i="2"/>
  <c r="AT38" i="2"/>
  <c r="AU38" i="2"/>
  <c r="AV38" i="2"/>
  <c r="AW38" i="2"/>
  <c r="AX38" i="2"/>
  <c r="AY38" i="2"/>
  <c r="AZ38" i="2"/>
  <c r="E37" i="2"/>
  <c r="E13" i="3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D37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D36" i="2"/>
  <c r="AS14" i="3"/>
  <c r="AS13" i="3"/>
  <c r="AU13" i="3"/>
  <c r="AU14" i="3"/>
  <c r="AV14" i="3"/>
  <c r="AV13" i="3"/>
  <c r="AT14" i="3"/>
  <c r="AT13" i="3"/>
  <c r="AR14" i="3"/>
  <c r="AR13" i="3"/>
  <c r="AO15" i="3"/>
  <c r="AO14" i="3"/>
  <c r="AO13" i="3"/>
  <c r="AN15" i="3"/>
  <c r="AN14" i="3"/>
  <c r="AN13" i="3"/>
  <c r="AF14" i="3"/>
  <c r="AK14" i="3"/>
  <c r="AJ14" i="3"/>
  <c r="AG14" i="3"/>
  <c r="AE14" i="3"/>
  <c r="AD14" i="3"/>
  <c r="AC14" i="3"/>
  <c r="AA15" i="3"/>
  <c r="AY15" i="3"/>
  <c r="AA14" i="3"/>
  <c r="AY14" i="3"/>
  <c r="AY13" i="3"/>
  <c r="AB15" i="3"/>
  <c r="AX15" i="3"/>
  <c r="AB14" i="3"/>
  <c r="AX14" i="3"/>
  <c r="AX13" i="3"/>
  <c r="Z15" i="3"/>
  <c r="AW15" i="3"/>
  <c r="Z14" i="3"/>
  <c r="AW14" i="3"/>
  <c r="AW13" i="3"/>
  <c r="X13" i="3"/>
  <c r="W13" i="3"/>
  <c r="W15" i="3"/>
  <c r="X14" i="3"/>
  <c r="W14" i="3"/>
  <c r="V14" i="3"/>
  <c r="U15" i="3"/>
  <c r="S13" i="3"/>
  <c r="U14" i="3"/>
  <c r="T14" i="3"/>
  <c r="S14" i="3"/>
  <c r="Q15" i="3"/>
  <c r="P13" i="3"/>
  <c r="O13" i="3"/>
  <c r="O14" i="3"/>
  <c r="R14" i="3"/>
  <c r="Q14" i="3"/>
  <c r="P14" i="3"/>
  <c r="G13" i="3"/>
  <c r="N14" i="3"/>
  <c r="M14" i="3"/>
  <c r="N13" i="3"/>
  <c r="M13" i="3"/>
  <c r="B5" i="2"/>
  <c r="F14" i="3"/>
  <c r="F13" i="3"/>
  <c r="C51" i="2"/>
  <c r="C52" i="2"/>
  <c r="C53" i="2"/>
  <c r="C54" i="2"/>
  <c r="C55" i="2"/>
  <c r="C56" i="2"/>
  <c r="C57" i="2"/>
  <c r="C58" i="2"/>
  <c r="C59" i="2"/>
  <c r="C60" i="2"/>
  <c r="C61" i="2"/>
  <c r="B5" i="3"/>
  <c r="B4" i="3"/>
  <c r="C18" i="3"/>
  <c r="D18" i="3"/>
  <c r="E18" i="3"/>
  <c r="F18" i="3"/>
  <c r="G18" i="3"/>
  <c r="H18" i="3"/>
  <c r="I18" i="3"/>
  <c r="J18" i="3"/>
  <c r="K18" i="3"/>
  <c r="M18" i="3"/>
  <c r="N18" i="3"/>
  <c r="O18" i="3"/>
  <c r="P18" i="3"/>
  <c r="Q18" i="3"/>
  <c r="S18" i="3"/>
  <c r="T18" i="3"/>
  <c r="U18" i="3"/>
  <c r="V18" i="3"/>
  <c r="W18" i="3"/>
  <c r="X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B2" i="3"/>
  <c r="R18" i="3"/>
  <c r="Y18" i="3"/>
  <c r="E251" i="1"/>
  <c r="E563" i="1"/>
  <c r="G251" i="1"/>
  <c r="G513" i="1"/>
  <c r="G563" i="1"/>
  <c r="M251" i="1"/>
  <c r="I251" i="1"/>
  <c r="M513" i="1"/>
  <c r="I513" i="1"/>
  <c r="M563" i="1"/>
  <c r="I563" i="1"/>
  <c r="AX251" i="1"/>
  <c r="AX513" i="1"/>
  <c r="AX563" i="1"/>
  <c r="AY251" i="1"/>
  <c r="AY513" i="1"/>
  <c r="AY563" i="1"/>
  <c r="AZ251" i="1"/>
  <c r="AZ513" i="1"/>
  <c r="AZ563" i="1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J14" i="3"/>
  <c r="K14" i="3"/>
  <c r="Y14" i="3"/>
  <c r="AH14" i="3"/>
  <c r="AI14" i="3"/>
  <c r="AL14" i="3"/>
  <c r="AP14" i="3"/>
  <c r="D17" i="3"/>
  <c r="B41" i="2"/>
  <c r="A41" i="2"/>
  <c r="B3" i="3"/>
  <c r="B1" i="3"/>
  <c r="E105" i="1"/>
  <c r="G105" i="1"/>
  <c r="M105" i="1"/>
  <c r="I105" i="1"/>
  <c r="AX105" i="1"/>
  <c r="AY105" i="1"/>
  <c r="AZ105" i="1"/>
  <c r="AZ310" i="1"/>
  <c r="AZ311" i="1"/>
  <c r="AZ356" i="1"/>
  <c r="AZ357" i="1"/>
  <c r="AZ358" i="1"/>
  <c r="AZ359" i="1"/>
  <c r="AZ360" i="1"/>
  <c r="AZ361" i="1"/>
  <c r="AZ363" i="1"/>
  <c r="AZ364" i="1"/>
  <c r="AZ365" i="1"/>
  <c r="AZ366" i="1"/>
  <c r="AZ367" i="1"/>
  <c r="AZ368" i="1"/>
  <c r="AZ369" i="1"/>
  <c r="AZ370" i="1"/>
  <c r="AZ371" i="1"/>
  <c r="AZ372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93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6" i="1"/>
  <c r="AZ489" i="1"/>
  <c r="AZ490" i="1"/>
  <c r="AZ491" i="1"/>
  <c r="AZ492" i="1"/>
  <c r="AZ493" i="1"/>
  <c r="AZ494" i="1"/>
  <c r="AZ495" i="1"/>
  <c r="AZ496" i="1"/>
  <c r="AZ497" i="1"/>
  <c r="AZ498" i="1"/>
  <c r="AZ499" i="1"/>
  <c r="AZ557" i="1"/>
  <c r="AZ558" i="1"/>
  <c r="AZ559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6" i="1"/>
  <c r="AZ97" i="1"/>
  <c r="AZ98" i="1"/>
  <c r="AZ99" i="1"/>
  <c r="AZ116" i="1"/>
  <c r="AZ117" i="1"/>
  <c r="AZ118" i="1"/>
  <c r="AZ119" i="1"/>
  <c r="AZ120" i="1"/>
  <c r="AZ121" i="1"/>
  <c r="AZ122" i="1"/>
  <c r="AZ123" i="1"/>
  <c r="AZ126" i="1"/>
  <c r="AZ127" i="1"/>
  <c r="AZ128" i="1"/>
  <c r="AZ305" i="1"/>
  <c r="AZ306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41" i="1"/>
  <c r="AZ342" i="1"/>
  <c r="AZ503" i="1"/>
  <c r="AZ504" i="1"/>
  <c r="AZ505" i="1"/>
  <c r="AZ506" i="1"/>
  <c r="AZ521" i="1"/>
  <c r="AZ522" i="1"/>
  <c r="AZ523" i="1"/>
  <c r="AZ524" i="1"/>
  <c r="AZ550" i="1"/>
  <c r="AZ551" i="1"/>
  <c r="AZ552" i="1"/>
  <c r="AZ553" i="1"/>
  <c r="AZ554" i="1"/>
  <c r="AZ4" i="1"/>
  <c r="AZ5" i="1"/>
  <c r="AZ38" i="1"/>
  <c r="AZ39" i="1"/>
  <c r="AZ40" i="1"/>
  <c r="AZ41" i="1"/>
  <c r="AZ42" i="1"/>
  <c r="AZ43" i="1"/>
  <c r="AZ45" i="1"/>
  <c r="AZ46" i="1"/>
  <c r="AZ16" i="1"/>
  <c r="AZ17" i="1"/>
  <c r="AZ18" i="1"/>
  <c r="AZ59" i="1"/>
  <c r="AZ60" i="1"/>
  <c r="AZ61" i="1"/>
  <c r="AZ62" i="1"/>
  <c r="AZ63" i="1"/>
  <c r="AZ64" i="1"/>
  <c r="AZ65" i="1"/>
  <c r="AZ66" i="1"/>
  <c r="AZ19" i="1"/>
  <c r="AZ67" i="1"/>
  <c r="AZ68" i="1"/>
  <c r="AZ151" i="1"/>
  <c r="AZ152" i="1"/>
  <c r="AZ153" i="1"/>
  <c r="AZ158" i="1"/>
  <c r="AZ159" i="1"/>
  <c r="AZ160" i="1"/>
  <c r="AZ161" i="1"/>
  <c r="AZ180" i="1"/>
  <c r="AZ181" i="1"/>
  <c r="AZ182" i="1"/>
  <c r="AZ183" i="1"/>
  <c r="AZ190" i="1"/>
  <c r="AZ191" i="1"/>
  <c r="AZ192" i="1"/>
  <c r="AZ193" i="1"/>
  <c r="AZ194" i="1"/>
  <c r="AZ290" i="1"/>
  <c r="AZ291" i="1"/>
  <c r="AZ292" i="1"/>
  <c r="AZ293" i="1"/>
  <c r="AZ294" i="1"/>
  <c r="AZ314" i="1"/>
  <c r="AZ335" i="1"/>
  <c r="AZ336" i="1"/>
  <c r="AZ337" i="1"/>
  <c r="AZ338" i="1"/>
  <c r="AZ339" i="1"/>
  <c r="AZ343" i="1"/>
  <c r="AZ344" i="1"/>
  <c r="AZ345" i="1"/>
  <c r="AZ346" i="1"/>
  <c r="AZ347" i="1"/>
  <c r="AZ348" i="1"/>
  <c r="AZ350" i="1"/>
  <c r="AZ351" i="1"/>
  <c r="AZ352" i="1"/>
  <c r="AZ353" i="1"/>
  <c r="AZ354" i="1"/>
  <c r="AZ355" i="1"/>
  <c r="AZ407" i="1"/>
  <c r="AZ408" i="1"/>
  <c r="AZ409" i="1"/>
  <c r="AZ410" i="1"/>
  <c r="AZ411" i="1"/>
  <c r="AZ412" i="1"/>
  <c r="AZ248" i="1"/>
  <c r="AZ249" i="1"/>
  <c r="AZ250" i="1"/>
  <c r="AZ545" i="1"/>
  <c r="AZ546" i="1"/>
  <c r="AZ252" i="1"/>
  <c r="AZ547" i="1"/>
  <c r="AZ548" i="1"/>
  <c r="AZ253" i="1"/>
  <c r="AZ555" i="1"/>
  <c r="AZ556" i="1"/>
  <c r="AZ44" i="1"/>
  <c r="AZ235" i="1"/>
  <c r="AZ20" i="1"/>
  <c r="AZ21" i="1"/>
  <c r="AZ47" i="1"/>
  <c r="AZ48" i="1"/>
  <c r="AZ49" i="1"/>
  <c r="AZ50" i="1"/>
  <c r="AZ51" i="1"/>
  <c r="AZ106" i="1"/>
  <c r="AZ107" i="1"/>
  <c r="AZ108" i="1"/>
  <c r="AZ109" i="1"/>
  <c r="AZ110" i="1"/>
  <c r="AZ111" i="1"/>
  <c r="AZ112" i="1"/>
  <c r="AZ113" i="1"/>
  <c r="AZ177" i="1"/>
  <c r="AZ178" i="1"/>
  <c r="AZ179" i="1"/>
  <c r="AZ216" i="1"/>
  <c r="AZ217" i="1"/>
  <c r="AZ218" i="1"/>
  <c r="AZ219" i="1"/>
  <c r="AZ220" i="1"/>
  <c r="AZ221" i="1"/>
  <c r="AZ266" i="1"/>
  <c r="AZ267" i="1"/>
  <c r="AZ417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500" i="1"/>
  <c r="AZ533" i="1"/>
  <c r="AZ534" i="1"/>
  <c r="AZ535" i="1"/>
  <c r="AZ536" i="1"/>
  <c r="AZ537" i="1"/>
  <c r="AZ538" i="1"/>
  <c r="AZ539" i="1"/>
  <c r="AZ540" i="1"/>
  <c r="AZ541" i="1"/>
  <c r="AZ100" i="1"/>
  <c r="AZ101" i="1"/>
  <c r="AZ197" i="1"/>
  <c r="AZ198" i="1"/>
  <c r="AZ130" i="1"/>
  <c r="AZ199" i="1"/>
  <c r="AZ200" i="1"/>
  <c r="AZ201" i="1"/>
  <c r="AZ202" i="1"/>
  <c r="AZ203" i="1"/>
  <c r="AZ204" i="1"/>
  <c r="AZ205" i="1"/>
  <c r="AZ129" i="1"/>
  <c r="AZ206" i="1"/>
  <c r="AZ207" i="1"/>
  <c r="AZ208" i="1"/>
  <c r="AZ209" i="1"/>
  <c r="AZ210" i="1"/>
  <c r="AZ211" i="1"/>
  <c r="AZ212" i="1"/>
  <c r="AZ213" i="1"/>
  <c r="AZ214" i="1"/>
  <c r="AZ215" i="1"/>
  <c r="AZ525" i="1"/>
  <c r="AZ526" i="1"/>
  <c r="AZ527" i="1"/>
  <c r="AZ25" i="1"/>
  <c r="AZ26" i="1"/>
  <c r="AZ27" i="1"/>
  <c r="AZ28" i="1"/>
  <c r="AZ29" i="1"/>
  <c r="AZ30" i="1"/>
  <c r="AZ31" i="1"/>
  <c r="AZ32" i="1"/>
  <c r="AZ33" i="1"/>
  <c r="AZ34" i="1"/>
  <c r="AZ35" i="1"/>
  <c r="AZ55" i="1"/>
  <c r="AZ56" i="1"/>
  <c r="AZ57" i="1"/>
  <c r="AZ58" i="1"/>
  <c r="AZ81" i="1"/>
  <c r="AZ103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5" i="1"/>
  <c r="AZ156" i="1"/>
  <c r="AZ157" i="1"/>
  <c r="AZ236" i="1"/>
  <c r="AZ237" i="1"/>
  <c r="AZ238" i="1"/>
  <c r="AZ240" i="1"/>
  <c r="AZ241" i="1"/>
  <c r="AZ242" i="1"/>
  <c r="AZ243" i="1"/>
  <c r="AZ244" i="1"/>
  <c r="AZ245" i="1"/>
  <c r="AZ246" i="1"/>
  <c r="AZ247" i="1"/>
  <c r="AZ255" i="1"/>
  <c r="AZ256" i="1"/>
  <c r="AZ257" i="1"/>
  <c r="AZ258" i="1"/>
  <c r="AZ259" i="1"/>
  <c r="AZ260" i="1"/>
  <c r="AZ261" i="1"/>
  <c r="AZ262" i="1"/>
  <c r="AZ265" i="1"/>
  <c r="AZ268" i="1"/>
  <c r="AZ269" i="1"/>
  <c r="AZ270" i="1"/>
  <c r="AZ272" i="1"/>
  <c r="AZ273" i="1"/>
  <c r="AZ299" i="1"/>
  <c r="AZ300" i="1"/>
  <c r="AZ301" i="1"/>
  <c r="AZ302" i="1"/>
  <c r="AZ303" i="1"/>
  <c r="AZ304" i="1"/>
  <c r="AZ307" i="1"/>
  <c r="AZ308" i="1"/>
  <c r="AZ309" i="1"/>
  <c r="AZ413" i="1"/>
  <c r="AZ414" i="1"/>
  <c r="AZ415" i="1"/>
  <c r="AZ416" i="1"/>
  <c r="AZ510" i="1"/>
  <c r="AZ511" i="1"/>
  <c r="AZ542" i="1"/>
  <c r="AZ543" i="1"/>
  <c r="AZ544" i="1"/>
  <c r="AZ560" i="1"/>
  <c r="AZ561" i="1"/>
  <c r="AZ564" i="1"/>
  <c r="AZ565" i="1"/>
  <c r="AZ7" i="1"/>
  <c r="AZ8" i="1"/>
  <c r="AZ9" i="1"/>
  <c r="AZ10" i="1"/>
  <c r="AZ11" i="1"/>
  <c r="AZ12" i="1"/>
  <c r="AZ13" i="1"/>
  <c r="AZ14" i="1"/>
  <c r="AZ22" i="1"/>
  <c r="AZ23" i="1"/>
  <c r="AZ24" i="1"/>
  <c r="AZ36" i="1"/>
  <c r="AZ37" i="1"/>
  <c r="AZ102" i="1"/>
  <c r="AZ187" i="1"/>
  <c r="AZ188" i="1"/>
  <c r="AZ189" i="1"/>
  <c r="AZ528" i="1"/>
  <c r="AZ532" i="1"/>
  <c r="AZ52" i="1"/>
  <c r="AZ274" i="1"/>
  <c r="AZ501" i="1"/>
  <c r="AZ184" i="1"/>
  <c r="AZ185" i="1"/>
  <c r="AZ53" i="1"/>
  <c r="AZ186" i="1"/>
  <c r="AZ263" i="1"/>
  <c r="AZ529" i="1"/>
  <c r="AZ530" i="1"/>
  <c r="AZ275" i="1"/>
  <c r="AZ531" i="1"/>
  <c r="AZ298" i="1"/>
  <c r="AZ264" i="1"/>
  <c r="AZ340" i="1"/>
  <c r="AZ295" i="1"/>
  <c r="AZ502" i="1"/>
  <c r="AZ104" i="1"/>
  <c r="AZ512" i="1"/>
  <c r="AZ77" i="1"/>
  <c r="AZ285" i="1"/>
  <c r="AZ549" i="1"/>
  <c r="AZ418" i="1"/>
  <c r="AZ276" i="1"/>
  <c r="AZ223" i="1"/>
  <c r="AZ224" i="1"/>
  <c r="AZ362" i="1"/>
  <c r="AZ509" i="1"/>
  <c r="AZ508" i="1"/>
  <c r="AZ80" i="1"/>
  <c r="AZ78" i="1"/>
  <c r="AZ519" i="1"/>
  <c r="AZ520" i="1"/>
  <c r="AZ518" i="1"/>
  <c r="AZ517" i="1"/>
  <c r="AZ79" i="1"/>
  <c r="AZ72" i="1"/>
  <c r="AZ71" i="1"/>
  <c r="AZ70" i="1"/>
  <c r="AZ69" i="1"/>
  <c r="AZ76" i="1"/>
  <c r="AZ75" i="1"/>
  <c r="AZ74" i="1"/>
  <c r="AZ73" i="1"/>
  <c r="AZ115" i="1"/>
  <c r="AZ114" i="1"/>
  <c r="AZ222" i="1"/>
  <c r="AZ54" i="1"/>
  <c r="AZ154" i="1"/>
  <c r="AZ254" i="1"/>
  <c r="AZ286" i="1"/>
  <c r="AZ507" i="1"/>
  <c r="AZ94" i="1"/>
  <c r="AZ95" i="1"/>
  <c r="AZ124" i="1"/>
  <c r="AZ125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225" i="1"/>
  <c r="AZ226" i="1"/>
  <c r="AZ227" i="1"/>
  <c r="AZ228" i="1"/>
  <c r="AZ229" i="1"/>
  <c r="AZ230" i="1"/>
  <c r="AZ231" i="1"/>
  <c r="AZ232" i="1"/>
  <c r="AZ233" i="1"/>
  <c r="AZ234" i="1"/>
  <c r="AZ277" i="1"/>
  <c r="AZ278" i="1"/>
  <c r="AZ279" i="1"/>
  <c r="AZ280" i="1"/>
  <c r="AZ281" i="1"/>
  <c r="AZ282" i="1"/>
  <c r="AZ283" i="1"/>
  <c r="AZ284" i="1"/>
  <c r="AZ373" i="1"/>
  <c r="AZ374" i="1"/>
  <c r="AZ375" i="1"/>
  <c r="AZ388" i="1"/>
  <c r="AZ389" i="1"/>
  <c r="AZ390" i="1"/>
  <c r="AZ391" i="1"/>
  <c r="AZ392" i="1"/>
  <c r="AZ394" i="1"/>
  <c r="AZ419" i="1"/>
  <c r="AZ420" i="1"/>
  <c r="AZ421" i="1"/>
  <c r="AZ422" i="1"/>
  <c r="AZ423" i="1"/>
  <c r="AZ424" i="1"/>
  <c r="AZ425" i="1"/>
  <c r="AZ426" i="1"/>
  <c r="AZ427" i="1"/>
  <c r="AZ428" i="1"/>
  <c r="AZ460" i="1"/>
  <c r="AZ461" i="1"/>
  <c r="AZ462" i="1"/>
  <c r="AZ481" i="1"/>
  <c r="AZ482" i="1"/>
  <c r="AZ483" i="1"/>
  <c r="AZ484" i="1"/>
  <c r="AZ485" i="1"/>
  <c r="AZ487" i="1"/>
  <c r="AZ488" i="1"/>
  <c r="AX310" i="1"/>
  <c r="AX311" i="1"/>
  <c r="AX356" i="1"/>
  <c r="AX357" i="1"/>
  <c r="AX358" i="1"/>
  <c r="AX359" i="1"/>
  <c r="AX360" i="1"/>
  <c r="AX361" i="1"/>
  <c r="AX363" i="1"/>
  <c r="AX364" i="1"/>
  <c r="AX365" i="1"/>
  <c r="AX366" i="1"/>
  <c r="AX367" i="1"/>
  <c r="AX368" i="1"/>
  <c r="AX369" i="1"/>
  <c r="AX370" i="1"/>
  <c r="AX371" i="1"/>
  <c r="AX372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93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6" i="1"/>
  <c r="AX489" i="1"/>
  <c r="AX490" i="1"/>
  <c r="AX491" i="1"/>
  <c r="AX492" i="1"/>
  <c r="AX493" i="1"/>
  <c r="AX494" i="1"/>
  <c r="AX495" i="1"/>
  <c r="AX496" i="1"/>
  <c r="AX497" i="1"/>
  <c r="AX498" i="1"/>
  <c r="AX499" i="1"/>
  <c r="AX557" i="1"/>
  <c r="AX558" i="1"/>
  <c r="AX559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6" i="1"/>
  <c r="AX97" i="1"/>
  <c r="AX98" i="1"/>
  <c r="AX99" i="1"/>
  <c r="AX116" i="1"/>
  <c r="AX117" i="1"/>
  <c r="AX118" i="1"/>
  <c r="AX119" i="1"/>
  <c r="AX120" i="1"/>
  <c r="AX121" i="1"/>
  <c r="AX122" i="1"/>
  <c r="AX123" i="1"/>
  <c r="AX126" i="1"/>
  <c r="AX127" i="1"/>
  <c r="AX128" i="1"/>
  <c r="AX305" i="1"/>
  <c r="AX306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41" i="1"/>
  <c r="AX342" i="1"/>
  <c r="AX503" i="1"/>
  <c r="AX504" i="1"/>
  <c r="AX505" i="1"/>
  <c r="AX506" i="1"/>
  <c r="AX521" i="1"/>
  <c r="AX522" i="1"/>
  <c r="AX523" i="1"/>
  <c r="AX524" i="1"/>
  <c r="AX550" i="1"/>
  <c r="AX551" i="1"/>
  <c r="AX552" i="1"/>
  <c r="AX553" i="1"/>
  <c r="AX554" i="1"/>
  <c r="AX4" i="1"/>
  <c r="AX5" i="1"/>
  <c r="AX38" i="1"/>
  <c r="AX39" i="1"/>
  <c r="AX40" i="1"/>
  <c r="AX41" i="1"/>
  <c r="AX42" i="1"/>
  <c r="AX43" i="1"/>
  <c r="AX45" i="1"/>
  <c r="AX46" i="1"/>
  <c r="AX16" i="1"/>
  <c r="AX17" i="1"/>
  <c r="AX18" i="1"/>
  <c r="AX59" i="1"/>
  <c r="AX60" i="1"/>
  <c r="AX61" i="1"/>
  <c r="AX62" i="1"/>
  <c r="AX63" i="1"/>
  <c r="AX64" i="1"/>
  <c r="AX65" i="1"/>
  <c r="AX66" i="1"/>
  <c r="AX19" i="1"/>
  <c r="AX67" i="1"/>
  <c r="AX68" i="1"/>
  <c r="AX151" i="1"/>
  <c r="AX152" i="1"/>
  <c r="AX153" i="1"/>
  <c r="AX158" i="1"/>
  <c r="AX159" i="1"/>
  <c r="AX160" i="1"/>
  <c r="AX161" i="1"/>
  <c r="AX180" i="1"/>
  <c r="AX181" i="1"/>
  <c r="AX182" i="1"/>
  <c r="AX183" i="1"/>
  <c r="AX190" i="1"/>
  <c r="AX191" i="1"/>
  <c r="AX192" i="1"/>
  <c r="AX193" i="1"/>
  <c r="AX194" i="1"/>
  <c r="AX290" i="1"/>
  <c r="AX291" i="1"/>
  <c r="AX292" i="1"/>
  <c r="AX293" i="1"/>
  <c r="AX294" i="1"/>
  <c r="AX314" i="1"/>
  <c r="AX335" i="1"/>
  <c r="AX336" i="1"/>
  <c r="AX337" i="1"/>
  <c r="AX338" i="1"/>
  <c r="AX339" i="1"/>
  <c r="AX343" i="1"/>
  <c r="AX344" i="1"/>
  <c r="AX345" i="1"/>
  <c r="AX346" i="1"/>
  <c r="AX347" i="1"/>
  <c r="AX348" i="1"/>
  <c r="AX350" i="1"/>
  <c r="AX351" i="1"/>
  <c r="AX352" i="1"/>
  <c r="AX353" i="1"/>
  <c r="AX354" i="1"/>
  <c r="AX355" i="1"/>
  <c r="AX407" i="1"/>
  <c r="AX408" i="1"/>
  <c r="AX409" i="1"/>
  <c r="AX410" i="1"/>
  <c r="AX411" i="1"/>
  <c r="AX412" i="1"/>
  <c r="AX248" i="1"/>
  <c r="AX249" i="1"/>
  <c r="AX250" i="1"/>
  <c r="AX545" i="1"/>
  <c r="AX546" i="1"/>
  <c r="AX252" i="1"/>
  <c r="AX547" i="1"/>
  <c r="AX548" i="1"/>
  <c r="AX253" i="1"/>
  <c r="AX555" i="1"/>
  <c r="AX556" i="1"/>
  <c r="AX44" i="1"/>
  <c r="AX235" i="1"/>
  <c r="AX20" i="1"/>
  <c r="AX21" i="1"/>
  <c r="AX47" i="1"/>
  <c r="AX48" i="1"/>
  <c r="AX49" i="1"/>
  <c r="AX50" i="1"/>
  <c r="AX51" i="1"/>
  <c r="AX106" i="1"/>
  <c r="AX107" i="1"/>
  <c r="AX108" i="1"/>
  <c r="AX109" i="1"/>
  <c r="AX110" i="1"/>
  <c r="AX111" i="1"/>
  <c r="AX112" i="1"/>
  <c r="AX113" i="1"/>
  <c r="AX177" i="1"/>
  <c r="AX178" i="1"/>
  <c r="AX179" i="1"/>
  <c r="AX216" i="1"/>
  <c r="AX217" i="1"/>
  <c r="AX218" i="1"/>
  <c r="AX219" i="1"/>
  <c r="AX220" i="1"/>
  <c r="AX221" i="1"/>
  <c r="AX266" i="1"/>
  <c r="AX267" i="1"/>
  <c r="AX417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500" i="1"/>
  <c r="AX533" i="1"/>
  <c r="AX534" i="1"/>
  <c r="AX535" i="1"/>
  <c r="AX536" i="1"/>
  <c r="AX537" i="1"/>
  <c r="AX538" i="1"/>
  <c r="AX539" i="1"/>
  <c r="AX540" i="1"/>
  <c r="AX541" i="1"/>
  <c r="AX100" i="1"/>
  <c r="AX101" i="1"/>
  <c r="AX197" i="1"/>
  <c r="AX198" i="1"/>
  <c r="AX130" i="1"/>
  <c r="AX199" i="1"/>
  <c r="AX200" i="1"/>
  <c r="AX201" i="1"/>
  <c r="AX202" i="1"/>
  <c r="AX203" i="1"/>
  <c r="AX204" i="1"/>
  <c r="AX205" i="1"/>
  <c r="AX129" i="1"/>
  <c r="AX206" i="1"/>
  <c r="AX207" i="1"/>
  <c r="AX208" i="1"/>
  <c r="AX209" i="1"/>
  <c r="AX210" i="1"/>
  <c r="AX211" i="1"/>
  <c r="AX212" i="1"/>
  <c r="AX213" i="1"/>
  <c r="AX214" i="1"/>
  <c r="AX215" i="1"/>
  <c r="AX525" i="1"/>
  <c r="AX526" i="1"/>
  <c r="AX527" i="1"/>
  <c r="AX25" i="1"/>
  <c r="AX26" i="1"/>
  <c r="AX27" i="1"/>
  <c r="AX28" i="1"/>
  <c r="AX29" i="1"/>
  <c r="AX30" i="1"/>
  <c r="AX31" i="1"/>
  <c r="AX32" i="1"/>
  <c r="AX33" i="1"/>
  <c r="AX34" i="1"/>
  <c r="AX35" i="1"/>
  <c r="AX55" i="1"/>
  <c r="AX56" i="1"/>
  <c r="AX57" i="1"/>
  <c r="AX58" i="1"/>
  <c r="AX81" i="1"/>
  <c r="AX103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5" i="1"/>
  <c r="AX156" i="1"/>
  <c r="AX157" i="1"/>
  <c r="AX236" i="1"/>
  <c r="AX237" i="1"/>
  <c r="AX238" i="1"/>
  <c r="AX240" i="1"/>
  <c r="AX241" i="1"/>
  <c r="AX242" i="1"/>
  <c r="AX243" i="1"/>
  <c r="AX244" i="1"/>
  <c r="AX245" i="1"/>
  <c r="AX246" i="1"/>
  <c r="AX247" i="1"/>
  <c r="AX255" i="1"/>
  <c r="AX256" i="1"/>
  <c r="AX257" i="1"/>
  <c r="AX258" i="1"/>
  <c r="AX259" i="1"/>
  <c r="AX260" i="1"/>
  <c r="AX261" i="1"/>
  <c r="AX262" i="1"/>
  <c r="AX265" i="1"/>
  <c r="AX268" i="1"/>
  <c r="AX269" i="1"/>
  <c r="AX270" i="1"/>
  <c r="AX272" i="1"/>
  <c r="AX273" i="1"/>
  <c r="AX299" i="1"/>
  <c r="AX300" i="1"/>
  <c r="AX301" i="1"/>
  <c r="AX302" i="1"/>
  <c r="AX303" i="1"/>
  <c r="AX304" i="1"/>
  <c r="AX307" i="1"/>
  <c r="AX308" i="1"/>
  <c r="AX309" i="1"/>
  <c r="AX413" i="1"/>
  <c r="AX414" i="1"/>
  <c r="AX415" i="1"/>
  <c r="AX416" i="1"/>
  <c r="AX510" i="1"/>
  <c r="AX511" i="1"/>
  <c r="AX542" i="1"/>
  <c r="AX543" i="1"/>
  <c r="AX544" i="1"/>
  <c r="AX560" i="1"/>
  <c r="AX561" i="1"/>
  <c r="AX564" i="1"/>
  <c r="AX565" i="1"/>
  <c r="AX7" i="1"/>
  <c r="AX8" i="1"/>
  <c r="AX9" i="1"/>
  <c r="AX10" i="1"/>
  <c r="AX11" i="1"/>
  <c r="AX12" i="1"/>
  <c r="AX13" i="1"/>
  <c r="AX14" i="1"/>
  <c r="AX22" i="1"/>
  <c r="AX23" i="1"/>
  <c r="AX24" i="1"/>
  <c r="AX36" i="1"/>
  <c r="AX37" i="1"/>
  <c r="AX102" i="1"/>
  <c r="AX187" i="1"/>
  <c r="AX188" i="1"/>
  <c r="AX189" i="1"/>
  <c r="AX528" i="1"/>
  <c r="AX532" i="1"/>
  <c r="AX52" i="1"/>
  <c r="AX274" i="1"/>
  <c r="AX501" i="1"/>
  <c r="AX184" i="1"/>
  <c r="AX185" i="1"/>
  <c r="AX53" i="1"/>
  <c r="AX186" i="1"/>
  <c r="AX263" i="1"/>
  <c r="AX529" i="1"/>
  <c r="AX530" i="1"/>
  <c r="AX275" i="1"/>
  <c r="AX531" i="1"/>
  <c r="AX298" i="1"/>
  <c r="AX264" i="1"/>
  <c r="AX340" i="1"/>
  <c r="AX295" i="1"/>
  <c r="AX502" i="1"/>
  <c r="AX104" i="1"/>
  <c r="AX512" i="1"/>
  <c r="AX77" i="1"/>
  <c r="AX285" i="1"/>
  <c r="AX549" i="1"/>
  <c r="AX418" i="1"/>
  <c r="AX276" i="1"/>
  <c r="AX223" i="1"/>
  <c r="AX224" i="1"/>
  <c r="AX362" i="1"/>
  <c r="AX509" i="1"/>
  <c r="AX508" i="1"/>
  <c r="AX80" i="1"/>
  <c r="AX78" i="1"/>
  <c r="AX519" i="1"/>
  <c r="AX520" i="1"/>
  <c r="AX518" i="1"/>
  <c r="AX517" i="1"/>
  <c r="AX79" i="1"/>
  <c r="AX72" i="1"/>
  <c r="AX71" i="1"/>
  <c r="AX70" i="1"/>
  <c r="AX69" i="1"/>
  <c r="AX76" i="1"/>
  <c r="AX75" i="1"/>
  <c r="AX74" i="1"/>
  <c r="AX73" i="1"/>
  <c r="AX115" i="1"/>
  <c r="AX114" i="1"/>
  <c r="AX222" i="1"/>
  <c r="AX54" i="1"/>
  <c r="AX154" i="1"/>
  <c r="AX254" i="1"/>
  <c r="AX286" i="1"/>
  <c r="AX507" i="1"/>
  <c r="AX94" i="1"/>
  <c r="AX95" i="1"/>
  <c r="AX124" i="1"/>
  <c r="AX125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225" i="1"/>
  <c r="AX226" i="1"/>
  <c r="AX227" i="1"/>
  <c r="AX228" i="1"/>
  <c r="AX229" i="1"/>
  <c r="AX230" i="1"/>
  <c r="AX231" i="1"/>
  <c r="AX232" i="1"/>
  <c r="AX233" i="1"/>
  <c r="AX234" i="1"/>
  <c r="AX277" i="1"/>
  <c r="AX278" i="1"/>
  <c r="AX279" i="1"/>
  <c r="AX280" i="1"/>
  <c r="AX281" i="1"/>
  <c r="AX282" i="1"/>
  <c r="AX283" i="1"/>
  <c r="AX284" i="1"/>
  <c r="AX373" i="1"/>
  <c r="AX374" i="1"/>
  <c r="AX375" i="1"/>
  <c r="AX388" i="1"/>
  <c r="AX389" i="1"/>
  <c r="AX390" i="1"/>
  <c r="AX391" i="1"/>
  <c r="AX392" i="1"/>
  <c r="AX394" i="1"/>
  <c r="AX419" i="1"/>
  <c r="AX420" i="1"/>
  <c r="AX421" i="1"/>
  <c r="AX422" i="1"/>
  <c r="AX423" i="1"/>
  <c r="AX424" i="1"/>
  <c r="AX425" i="1"/>
  <c r="AX426" i="1"/>
  <c r="AX427" i="1"/>
  <c r="AX428" i="1"/>
  <c r="AX460" i="1"/>
  <c r="AX461" i="1"/>
  <c r="AX462" i="1"/>
  <c r="AX481" i="1"/>
  <c r="AX482" i="1"/>
  <c r="AX483" i="1"/>
  <c r="AX484" i="1"/>
  <c r="AX485" i="1"/>
  <c r="AX487" i="1"/>
  <c r="AX488" i="1"/>
  <c r="AY310" i="1"/>
  <c r="AY311" i="1"/>
  <c r="AY356" i="1"/>
  <c r="AY357" i="1"/>
  <c r="AY358" i="1"/>
  <c r="AY359" i="1"/>
  <c r="AY360" i="1"/>
  <c r="AY361" i="1"/>
  <c r="AY363" i="1"/>
  <c r="AY364" i="1"/>
  <c r="AY365" i="1"/>
  <c r="AY366" i="1"/>
  <c r="AY367" i="1"/>
  <c r="AY368" i="1"/>
  <c r="AY369" i="1"/>
  <c r="AY370" i="1"/>
  <c r="AY371" i="1"/>
  <c r="AY372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93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6" i="1"/>
  <c r="AY489" i="1"/>
  <c r="AY490" i="1"/>
  <c r="AY491" i="1"/>
  <c r="AY492" i="1"/>
  <c r="AY493" i="1"/>
  <c r="AY494" i="1"/>
  <c r="AY495" i="1"/>
  <c r="AY496" i="1"/>
  <c r="AY497" i="1"/>
  <c r="AY498" i="1"/>
  <c r="AY499" i="1"/>
  <c r="AY557" i="1"/>
  <c r="AY558" i="1"/>
  <c r="AY559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6" i="1"/>
  <c r="AY97" i="1"/>
  <c r="AY98" i="1"/>
  <c r="AY99" i="1"/>
  <c r="AY116" i="1"/>
  <c r="AY117" i="1"/>
  <c r="AY118" i="1"/>
  <c r="AY119" i="1"/>
  <c r="AY120" i="1"/>
  <c r="AY121" i="1"/>
  <c r="AY122" i="1"/>
  <c r="AY123" i="1"/>
  <c r="AY126" i="1"/>
  <c r="AY127" i="1"/>
  <c r="AY128" i="1"/>
  <c r="AY305" i="1"/>
  <c r="AY306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41" i="1"/>
  <c r="AY342" i="1"/>
  <c r="AY503" i="1"/>
  <c r="AY504" i="1"/>
  <c r="AY505" i="1"/>
  <c r="AY506" i="1"/>
  <c r="AY521" i="1"/>
  <c r="AY522" i="1"/>
  <c r="AY523" i="1"/>
  <c r="AY524" i="1"/>
  <c r="AY550" i="1"/>
  <c r="AY551" i="1"/>
  <c r="AY552" i="1"/>
  <c r="AY553" i="1"/>
  <c r="AY554" i="1"/>
  <c r="AY4" i="1"/>
  <c r="AY5" i="1"/>
  <c r="AY38" i="1"/>
  <c r="AY39" i="1"/>
  <c r="AY40" i="1"/>
  <c r="AY41" i="1"/>
  <c r="AY42" i="1"/>
  <c r="AY43" i="1"/>
  <c r="AY45" i="1"/>
  <c r="AY46" i="1"/>
  <c r="AY16" i="1"/>
  <c r="AY17" i="1"/>
  <c r="AY18" i="1"/>
  <c r="AY59" i="1"/>
  <c r="AY60" i="1"/>
  <c r="AY61" i="1"/>
  <c r="AY62" i="1"/>
  <c r="AY63" i="1"/>
  <c r="AY64" i="1"/>
  <c r="AY65" i="1"/>
  <c r="AY66" i="1"/>
  <c r="AY19" i="1"/>
  <c r="AY67" i="1"/>
  <c r="AY68" i="1"/>
  <c r="AY151" i="1"/>
  <c r="AY152" i="1"/>
  <c r="AY153" i="1"/>
  <c r="AY158" i="1"/>
  <c r="AY159" i="1"/>
  <c r="AY160" i="1"/>
  <c r="AY161" i="1"/>
  <c r="AY180" i="1"/>
  <c r="AY181" i="1"/>
  <c r="AY182" i="1"/>
  <c r="AY183" i="1"/>
  <c r="AY190" i="1"/>
  <c r="AY191" i="1"/>
  <c r="AY192" i="1"/>
  <c r="AY193" i="1"/>
  <c r="AY194" i="1"/>
  <c r="AY290" i="1"/>
  <c r="AY291" i="1"/>
  <c r="AY292" i="1"/>
  <c r="AY293" i="1"/>
  <c r="AY294" i="1"/>
  <c r="AY314" i="1"/>
  <c r="AY335" i="1"/>
  <c r="AY336" i="1"/>
  <c r="AY337" i="1"/>
  <c r="AY338" i="1"/>
  <c r="AY339" i="1"/>
  <c r="AY343" i="1"/>
  <c r="AY344" i="1"/>
  <c r="AY345" i="1"/>
  <c r="AY346" i="1"/>
  <c r="AY347" i="1"/>
  <c r="AY348" i="1"/>
  <c r="AY350" i="1"/>
  <c r="AY351" i="1"/>
  <c r="AY352" i="1"/>
  <c r="AY353" i="1"/>
  <c r="AY354" i="1"/>
  <c r="AY355" i="1"/>
  <c r="AY407" i="1"/>
  <c r="AY408" i="1"/>
  <c r="AY409" i="1"/>
  <c r="AY410" i="1"/>
  <c r="AY411" i="1"/>
  <c r="AY412" i="1"/>
  <c r="AY248" i="1"/>
  <c r="AY249" i="1"/>
  <c r="AY250" i="1"/>
  <c r="AY545" i="1"/>
  <c r="AY546" i="1"/>
  <c r="AY252" i="1"/>
  <c r="AY547" i="1"/>
  <c r="AY548" i="1"/>
  <c r="AY253" i="1"/>
  <c r="AY555" i="1"/>
  <c r="AY556" i="1"/>
  <c r="AY44" i="1"/>
  <c r="AY235" i="1"/>
  <c r="AY20" i="1"/>
  <c r="AY21" i="1"/>
  <c r="AY47" i="1"/>
  <c r="AY48" i="1"/>
  <c r="AY49" i="1"/>
  <c r="AY50" i="1"/>
  <c r="AY51" i="1"/>
  <c r="AY106" i="1"/>
  <c r="AY107" i="1"/>
  <c r="AY108" i="1"/>
  <c r="AY109" i="1"/>
  <c r="AY110" i="1"/>
  <c r="AY111" i="1"/>
  <c r="AY112" i="1"/>
  <c r="AY113" i="1"/>
  <c r="AY177" i="1"/>
  <c r="AY178" i="1"/>
  <c r="AY179" i="1"/>
  <c r="AY216" i="1"/>
  <c r="AY217" i="1"/>
  <c r="AY218" i="1"/>
  <c r="AY219" i="1"/>
  <c r="AY220" i="1"/>
  <c r="AY221" i="1"/>
  <c r="AY266" i="1"/>
  <c r="AY267" i="1"/>
  <c r="AY417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500" i="1"/>
  <c r="AY533" i="1"/>
  <c r="AY534" i="1"/>
  <c r="AY535" i="1"/>
  <c r="AY536" i="1"/>
  <c r="AY537" i="1"/>
  <c r="AY538" i="1"/>
  <c r="AY539" i="1"/>
  <c r="AY540" i="1"/>
  <c r="AY541" i="1"/>
  <c r="AY100" i="1"/>
  <c r="AY101" i="1"/>
  <c r="AY197" i="1"/>
  <c r="AY198" i="1"/>
  <c r="AY130" i="1"/>
  <c r="AY199" i="1"/>
  <c r="AY200" i="1"/>
  <c r="AY201" i="1"/>
  <c r="AY202" i="1"/>
  <c r="AY203" i="1"/>
  <c r="AY204" i="1"/>
  <c r="AY205" i="1"/>
  <c r="AY129" i="1"/>
  <c r="AY206" i="1"/>
  <c r="AY207" i="1"/>
  <c r="AY208" i="1"/>
  <c r="AY209" i="1"/>
  <c r="AY210" i="1"/>
  <c r="AY211" i="1"/>
  <c r="AY212" i="1"/>
  <c r="AY213" i="1"/>
  <c r="AY214" i="1"/>
  <c r="AY215" i="1"/>
  <c r="AY525" i="1"/>
  <c r="AY526" i="1"/>
  <c r="AY527" i="1"/>
  <c r="AY25" i="1"/>
  <c r="AY26" i="1"/>
  <c r="AY27" i="1"/>
  <c r="AY28" i="1"/>
  <c r="AY29" i="1"/>
  <c r="AY30" i="1"/>
  <c r="AY31" i="1"/>
  <c r="AY32" i="1"/>
  <c r="AY33" i="1"/>
  <c r="AY34" i="1"/>
  <c r="AY35" i="1"/>
  <c r="AY55" i="1"/>
  <c r="AY56" i="1"/>
  <c r="AY57" i="1"/>
  <c r="AY58" i="1"/>
  <c r="AY81" i="1"/>
  <c r="AY103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5" i="1"/>
  <c r="AY156" i="1"/>
  <c r="AY157" i="1"/>
  <c r="AY236" i="1"/>
  <c r="AY237" i="1"/>
  <c r="AY238" i="1"/>
  <c r="AY240" i="1"/>
  <c r="AY241" i="1"/>
  <c r="AY242" i="1"/>
  <c r="AY243" i="1"/>
  <c r="AY244" i="1"/>
  <c r="AY245" i="1"/>
  <c r="AY246" i="1"/>
  <c r="AY247" i="1"/>
  <c r="AY255" i="1"/>
  <c r="AY256" i="1"/>
  <c r="AY257" i="1"/>
  <c r="AY258" i="1"/>
  <c r="AY259" i="1"/>
  <c r="AY260" i="1"/>
  <c r="AY261" i="1"/>
  <c r="AY262" i="1"/>
  <c r="AY265" i="1"/>
  <c r="AY268" i="1"/>
  <c r="AY269" i="1"/>
  <c r="AY270" i="1"/>
  <c r="AY272" i="1"/>
  <c r="AY273" i="1"/>
  <c r="AY299" i="1"/>
  <c r="AY300" i="1"/>
  <c r="AY301" i="1"/>
  <c r="AY302" i="1"/>
  <c r="AY303" i="1"/>
  <c r="AY304" i="1"/>
  <c r="AY307" i="1"/>
  <c r="AY308" i="1"/>
  <c r="AY309" i="1"/>
  <c r="AY413" i="1"/>
  <c r="AY414" i="1"/>
  <c r="AY415" i="1"/>
  <c r="AY416" i="1"/>
  <c r="AY510" i="1"/>
  <c r="AY511" i="1"/>
  <c r="AY542" i="1"/>
  <c r="AY543" i="1"/>
  <c r="AY544" i="1"/>
  <c r="AY560" i="1"/>
  <c r="AY561" i="1"/>
  <c r="AY564" i="1"/>
  <c r="AY565" i="1"/>
  <c r="AY7" i="1"/>
  <c r="AY8" i="1"/>
  <c r="AY9" i="1"/>
  <c r="AY10" i="1"/>
  <c r="AY11" i="1"/>
  <c r="AY12" i="1"/>
  <c r="AY13" i="1"/>
  <c r="AY14" i="1"/>
  <c r="AY22" i="1"/>
  <c r="AY23" i="1"/>
  <c r="AY24" i="1"/>
  <c r="AY36" i="1"/>
  <c r="AY37" i="1"/>
  <c r="AY102" i="1"/>
  <c r="AY187" i="1"/>
  <c r="AY188" i="1"/>
  <c r="AY189" i="1"/>
  <c r="AY528" i="1"/>
  <c r="AY532" i="1"/>
  <c r="AY52" i="1"/>
  <c r="AY274" i="1"/>
  <c r="AY501" i="1"/>
  <c r="AY184" i="1"/>
  <c r="AY185" i="1"/>
  <c r="AY53" i="1"/>
  <c r="AY186" i="1"/>
  <c r="AY263" i="1"/>
  <c r="AY529" i="1"/>
  <c r="AY530" i="1"/>
  <c r="AY275" i="1"/>
  <c r="AY531" i="1"/>
  <c r="AY298" i="1"/>
  <c r="AY264" i="1"/>
  <c r="AY340" i="1"/>
  <c r="AY295" i="1"/>
  <c r="AY502" i="1"/>
  <c r="AY104" i="1"/>
  <c r="AY512" i="1"/>
  <c r="AY77" i="1"/>
  <c r="AY285" i="1"/>
  <c r="AY549" i="1"/>
  <c r="AY418" i="1"/>
  <c r="AY276" i="1"/>
  <c r="AY223" i="1"/>
  <c r="AY224" i="1"/>
  <c r="AY362" i="1"/>
  <c r="AY509" i="1"/>
  <c r="AY508" i="1"/>
  <c r="AY80" i="1"/>
  <c r="AY78" i="1"/>
  <c r="AY519" i="1"/>
  <c r="AY520" i="1"/>
  <c r="AY518" i="1"/>
  <c r="AY517" i="1"/>
  <c r="AY79" i="1"/>
  <c r="AY72" i="1"/>
  <c r="AY71" i="1"/>
  <c r="AY70" i="1"/>
  <c r="AY69" i="1"/>
  <c r="AY76" i="1"/>
  <c r="AY75" i="1"/>
  <c r="AY74" i="1"/>
  <c r="AY73" i="1"/>
  <c r="AY115" i="1"/>
  <c r="AY114" i="1"/>
  <c r="AY222" i="1"/>
  <c r="AY54" i="1"/>
  <c r="AY154" i="1"/>
  <c r="AY254" i="1"/>
  <c r="AY286" i="1"/>
  <c r="AY507" i="1"/>
  <c r="AY94" i="1"/>
  <c r="AY95" i="1"/>
  <c r="AY124" i="1"/>
  <c r="AY125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225" i="1"/>
  <c r="AY226" i="1"/>
  <c r="AY227" i="1"/>
  <c r="AY228" i="1"/>
  <c r="AY229" i="1"/>
  <c r="AY230" i="1"/>
  <c r="AY231" i="1"/>
  <c r="AY232" i="1"/>
  <c r="AY233" i="1"/>
  <c r="AY234" i="1"/>
  <c r="AY277" i="1"/>
  <c r="AY278" i="1"/>
  <c r="AY279" i="1"/>
  <c r="AY280" i="1"/>
  <c r="AY281" i="1"/>
  <c r="AY282" i="1"/>
  <c r="AY283" i="1"/>
  <c r="AY284" i="1"/>
  <c r="AY373" i="1"/>
  <c r="AY374" i="1"/>
  <c r="AY375" i="1"/>
  <c r="AY388" i="1"/>
  <c r="AY389" i="1"/>
  <c r="AY390" i="1"/>
  <c r="AY391" i="1"/>
  <c r="AY392" i="1"/>
  <c r="AY394" i="1"/>
  <c r="AY419" i="1"/>
  <c r="AY420" i="1"/>
  <c r="AY421" i="1"/>
  <c r="AY422" i="1"/>
  <c r="AY423" i="1"/>
  <c r="AY424" i="1"/>
  <c r="AY425" i="1"/>
  <c r="AY426" i="1"/>
  <c r="AY427" i="1"/>
  <c r="AY428" i="1"/>
  <c r="AY460" i="1"/>
  <c r="AY461" i="1"/>
  <c r="AY462" i="1"/>
  <c r="AY481" i="1"/>
  <c r="AY482" i="1"/>
  <c r="AY483" i="1"/>
  <c r="AY484" i="1"/>
  <c r="AY485" i="1"/>
  <c r="AY487" i="1"/>
  <c r="AY488" i="1"/>
  <c r="M311" i="1"/>
  <c r="I311" i="1"/>
  <c r="M356" i="1"/>
  <c r="I356" i="1"/>
  <c r="M357" i="1"/>
  <c r="I357" i="1"/>
  <c r="M358" i="1"/>
  <c r="I358" i="1"/>
  <c r="M359" i="1"/>
  <c r="I359" i="1"/>
  <c r="M360" i="1"/>
  <c r="I360" i="1"/>
  <c r="M361" i="1"/>
  <c r="I361" i="1"/>
  <c r="M363" i="1"/>
  <c r="I363" i="1"/>
  <c r="M364" i="1"/>
  <c r="I364" i="1"/>
  <c r="M365" i="1"/>
  <c r="I365" i="1"/>
  <c r="M366" i="1"/>
  <c r="I366" i="1"/>
  <c r="M367" i="1"/>
  <c r="I367" i="1"/>
  <c r="M368" i="1"/>
  <c r="I368" i="1"/>
  <c r="M369" i="1"/>
  <c r="I369" i="1"/>
  <c r="M370" i="1"/>
  <c r="I370" i="1"/>
  <c r="M371" i="1"/>
  <c r="I371" i="1"/>
  <c r="M372" i="1"/>
  <c r="I372" i="1"/>
  <c r="M376" i="1"/>
  <c r="I376" i="1"/>
  <c r="M377" i="1"/>
  <c r="I377" i="1"/>
  <c r="M378" i="1"/>
  <c r="I378" i="1"/>
  <c r="M379" i="1"/>
  <c r="I379" i="1"/>
  <c r="M380" i="1"/>
  <c r="I380" i="1"/>
  <c r="M381" i="1"/>
  <c r="I381" i="1"/>
  <c r="M382" i="1"/>
  <c r="I382" i="1"/>
  <c r="M383" i="1"/>
  <c r="I383" i="1"/>
  <c r="M384" i="1"/>
  <c r="I384" i="1"/>
  <c r="M385" i="1"/>
  <c r="I385" i="1"/>
  <c r="M386" i="1"/>
  <c r="I386" i="1"/>
  <c r="M387" i="1"/>
  <c r="I387" i="1"/>
  <c r="M393" i="1"/>
  <c r="I393" i="1"/>
  <c r="M395" i="1"/>
  <c r="I395" i="1"/>
  <c r="M396" i="1"/>
  <c r="I396" i="1"/>
  <c r="M397" i="1"/>
  <c r="I397" i="1"/>
  <c r="M398" i="1"/>
  <c r="I398" i="1"/>
  <c r="M399" i="1"/>
  <c r="I399" i="1"/>
  <c r="M400" i="1"/>
  <c r="I400" i="1"/>
  <c r="M401" i="1"/>
  <c r="I401" i="1"/>
  <c r="M402" i="1"/>
  <c r="I402" i="1"/>
  <c r="M403" i="1"/>
  <c r="I403" i="1"/>
  <c r="M404" i="1"/>
  <c r="I404" i="1"/>
  <c r="M405" i="1"/>
  <c r="I405" i="1"/>
  <c r="M406" i="1"/>
  <c r="I406" i="1"/>
  <c r="M444" i="1"/>
  <c r="I444" i="1"/>
  <c r="M445" i="1"/>
  <c r="I445" i="1"/>
  <c r="M446" i="1"/>
  <c r="I446" i="1"/>
  <c r="M447" i="1"/>
  <c r="I447" i="1"/>
  <c r="M448" i="1"/>
  <c r="I448" i="1"/>
  <c r="M449" i="1"/>
  <c r="I449" i="1"/>
  <c r="M450" i="1"/>
  <c r="I450" i="1"/>
  <c r="M451" i="1"/>
  <c r="I451" i="1"/>
  <c r="M452" i="1"/>
  <c r="I452" i="1"/>
  <c r="M453" i="1"/>
  <c r="I453" i="1"/>
  <c r="M454" i="1"/>
  <c r="I454" i="1"/>
  <c r="M455" i="1"/>
  <c r="I455" i="1"/>
  <c r="M456" i="1"/>
  <c r="I456" i="1"/>
  <c r="M457" i="1"/>
  <c r="I457" i="1"/>
  <c r="M458" i="1"/>
  <c r="I458" i="1"/>
  <c r="M459" i="1"/>
  <c r="I459" i="1"/>
  <c r="M463" i="1"/>
  <c r="I463" i="1"/>
  <c r="M464" i="1"/>
  <c r="I464" i="1"/>
  <c r="M465" i="1"/>
  <c r="I465" i="1"/>
  <c r="M466" i="1"/>
  <c r="I466" i="1"/>
  <c r="M467" i="1"/>
  <c r="I467" i="1"/>
  <c r="M468" i="1"/>
  <c r="I468" i="1"/>
  <c r="M469" i="1"/>
  <c r="I469" i="1"/>
  <c r="M470" i="1"/>
  <c r="I470" i="1"/>
  <c r="M471" i="1"/>
  <c r="I471" i="1"/>
  <c r="M472" i="1"/>
  <c r="I472" i="1"/>
  <c r="M473" i="1"/>
  <c r="I473" i="1"/>
  <c r="M474" i="1"/>
  <c r="I474" i="1"/>
  <c r="M475" i="1"/>
  <c r="I475" i="1"/>
  <c r="M476" i="1"/>
  <c r="I476" i="1"/>
  <c r="M477" i="1"/>
  <c r="I477" i="1"/>
  <c r="M478" i="1"/>
  <c r="I478" i="1"/>
  <c r="M479" i="1"/>
  <c r="I479" i="1"/>
  <c r="M480" i="1"/>
  <c r="I480" i="1"/>
  <c r="M486" i="1"/>
  <c r="I486" i="1"/>
  <c r="M489" i="1"/>
  <c r="I489" i="1"/>
  <c r="M490" i="1"/>
  <c r="I490" i="1"/>
  <c r="M491" i="1"/>
  <c r="I491" i="1"/>
  <c r="M492" i="1"/>
  <c r="I492" i="1"/>
  <c r="M493" i="1"/>
  <c r="I493" i="1"/>
  <c r="M494" i="1"/>
  <c r="I494" i="1"/>
  <c r="M495" i="1"/>
  <c r="I495" i="1"/>
  <c r="M496" i="1"/>
  <c r="I496" i="1"/>
  <c r="M497" i="1"/>
  <c r="I497" i="1"/>
  <c r="M498" i="1"/>
  <c r="I498" i="1"/>
  <c r="M499" i="1"/>
  <c r="I499" i="1"/>
  <c r="M557" i="1"/>
  <c r="I557" i="1"/>
  <c r="M558" i="1"/>
  <c r="I558" i="1"/>
  <c r="M559" i="1"/>
  <c r="I559" i="1"/>
  <c r="M82" i="1"/>
  <c r="I82" i="1"/>
  <c r="M83" i="1"/>
  <c r="I83" i="1"/>
  <c r="M84" i="1"/>
  <c r="I84" i="1"/>
  <c r="M85" i="1"/>
  <c r="I85" i="1"/>
  <c r="M86" i="1"/>
  <c r="I86" i="1"/>
  <c r="M87" i="1"/>
  <c r="I87" i="1"/>
  <c r="M88" i="1"/>
  <c r="I88" i="1"/>
  <c r="M89" i="1"/>
  <c r="I89" i="1"/>
  <c r="M90" i="1"/>
  <c r="I90" i="1"/>
  <c r="M91" i="1"/>
  <c r="I91" i="1"/>
  <c r="M92" i="1"/>
  <c r="I92" i="1"/>
  <c r="M93" i="1"/>
  <c r="I93" i="1"/>
  <c r="M96" i="1"/>
  <c r="I96" i="1"/>
  <c r="M97" i="1"/>
  <c r="I97" i="1"/>
  <c r="M98" i="1"/>
  <c r="I98" i="1"/>
  <c r="M99" i="1"/>
  <c r="I99" i="1"/>
  <c r="M116" i="1"/>
  <c r="I116" i="1"/>
  <c r="M117" i="1"/>
  <c r="I117" i="1"/>
  <c r="M118" i="1"/>
  <c r="I118" i="1"/>
  <c r="M119" i="1"/>
  <c r="I119" i="1"/>
  <c r="M120" i="1"/>
  <c r="I120" i="1"/>
  <c r="M121" i="1"/>
  <c r="I121" i="1"/>
  <c r="M122" i="1"/>
  <c r="I122" i="1"/>
  <c r="M123" i="1"/>
  <c r="I123" i="1"/>
  <c r="M126" i="1"/>
  <c r="I126" i="1"/>
  <c r="M127" i="1"/>
  <c r="I127" i="1"/>
  <c r="M128" i="1"/>
  <c r="I128" i="1"/>
  <c r="M305" i="1"/>
  <c r="I305" i="1"/>
  <c r="M306" i="1"/>
  <c r="I306" i="1"/>
  <c r="M315" i="1"/>
  <c r="I315" i="1"/>
  <c r="M316" i="1"/>
  <c r="I316" i="1"/>
  <c r="M317" i="1"/>
  <c r="I317" i="1"/>
  <c r="M318" i="1"/>
  <c r="I318" i="1"/>
  <c r="M319" i="1"/>
  <c r="I319" i="1"/>
  <c r="M320" i="1"/>
  <c r="I320" i="1"/>
  <c r="M321" i="1"/>
  <c r="I321" i="1"/>
  <c r="M322" i="1"/>
  <c r="I322" i="1"/>
  <c r="M323" i="1"/>
  <c r="I323" i="1"/>
  <c r="M324" i="1"/>
  <c r="I324" i="1"/>
  <c r="M325" i="1"/>
  <c r="I325" i="1"/>
  <c r="M326" i="1"/>
  <c r="I326" i="1"/>
  <c r="M327" i="1"/>
  <c r="I327" i="1"/>
  <c r="M328" i="1"/>
  <c r="I328" i="1"/>
  <c r="M329" i="1"/>
  <c r="I329" i="1"/>
  <c r="M330" i="1"/>
  <c r="I330" i="1"/>
  <c r="M331" i="1"/>
  <c r="I331" i="1"/>
  <c r="M332" i="1"/>
  <c r="I332" i="1"/>
  <c r="M333" i="1"/>
  <c r="I333" i="1"/>
  <c r="M334" i="1"/>
  <c r="I334" i="1"/>
  <c r="M341" i="1"/>
  <c r="I341" i="1"/>
  <c r="M342" i="1"/>
  <c r="I342" i="1"/>
  <c r="M503" i="1"/>
  <c r="I503" i="1"/>
  <c r="M504" i="1"/>
  <c r="I504" i="1"/>
  <c r="M505" i="1"/>
  <c r="I505" i="1"/>
  <c r="M506" i="1"/>
  <c r="I506" i="1"/>
  <c r="M521" i="1"/>
  <c r="I521" i="1"/>
  <c r="M522" i="1"/>
  <c r="I522" i="1"/>
  <c r="M523" i="1"/>
  <c r="I523" i="1"/>
  <c r="M524" i="1"/>
  <c r="I524" i="1"/>
  <c r="M550" i="1"/>
  <c r="I550" i="1"/>
  <c r="M551" i="1"/>
  <c r="I551" i="1"/>
  <c r="M552" i="1"/>
  <c r="I552" i="1"/>
  <c r="M553" i="1"/>
  <c r="I553" i="1"/>
  <c r="M554" i="1"/>
  <c r="I554" i="1"/>
  <c r="M4" i="1"/>
  <c r="I4" i="1"/>
  <c r="M5" i="1"/>
  <c r="I5" i="1"/>
  <c r="M38" i="1"/>
  <c r="I38" i="1"/>
  <c r="M39" i="1"/>
  <c r="I39" i="1"/>
  <c r="M40" i="1"/>
  <c r="I40" i="1"/>
  <c r="M41" i="1"/>
  <c r="I41" i="1"/>
  <c r="M42" i="1"/>
  <c r="I42" i="1"/>
  <c r="M43" i="1"/>
  <c r="I43" i="1"/>
  <c r="M45" i="1"/>
  <c r="I45" i="1"/>
  <c r="M46" i="1"/>
  <c r="I46" i="1"/>
  <c r="M16" i="1"/>
  <c r="I16" i="1"/>
  <c r="M17" i="1"/>
  <c r="I17" i="1"/>
  <c r="M18" i="1"/>
  <c r="I18" i="1"/>
  <c r="M59" i="1"/>
  <c r="I59" i="1"/>
  <c r="M60" i="1"/>
  <c r="I60" i="1"/>
  <c r="M61" i="1"/>
  <c r="I61" i="1"/>
  <c r="M62" i="1"/>
  <c r="I62" i="1"/>
  <c r="M63" i="1"/>
  <c r="I63" i="1"/>
  <c r="M64" i="1"/>
  <c r="I64" i="1"/>
  <c r="M65" i="1"/>
  <c r="I65" i="1"/>
  <c r="M66" i="1"/>
  <c r="I66" i="1"/>
  <c r="M19" i="1"/>
  <c r="I19" i="1"/>
  <c r="M67" i="1"/>
  <c r="I67" i="1"/>
  <c r="M68" i="1"/>
  <c r="I68" i="1"/>
  <c r="M151" i="1"/>
  <c r="I151" i="1"/>
  <c r="M152" i="1"/>
  <c r="I152" i="1"/>
  <c r="M153" i="1"/>
  <c r="I153" i="1"/>
  <c r="M158" i="1"/>
  <c r="I158" i="1"/>
  <c r="M159" i="1"/>
  <c r="I159" i="1"/>
  <c r="M160" i="1"/>
  <c r="I160" i="1"/>
  <c r="M161" i="1"/>
  <c r="I161" i="1"/>
  <c r="M180" i="1"/>
  <c r="I180" i="1"/>
  <c r="M181" i="1"/>
  <c r="I181" i="1"/>
  <c r="M182" i="1"/>
  <c r="I182" i="1"/>
  <c r="M183" i="1"/>
  <c r="I183" i="1"/>
  <c r="M190" i="1"/>
  <c r="I190" i="1"/>
  <c r="M191" i="1"/>
  <c r="I191" i="1"/>
  <c r="M192" i="1"/>
  <c r="I192" i="1"/>
  <c r="M193" i="1"/>
  <c r="I193" i="1"/>
  <c r="M194" i="1"/>
  <c r="I194" i="1"/>
  <c r="M290" i="1"/>
  <c r="I290" i="1"/>
  <c r="M291" i="1"/>
  <c r="I291" i="1"/>
  <c r="M292" i="1"/>
  <c r="I292" i="1"/>
  <c r="M293" i="1"/>
  <c r="I293" i="1"/>
  <c r="M294" i="1"/>
  <c r="I294" i="1"/>
  <c r="M314" i="1"/>
  <c r="I314" i="1"/>
  <c r="M335" i="1"/>
  <c r="I335" i="1"/>
  <c r="M336" i="1"/>
  <c r="I336" i="1"/>
  <c r="M337" i="1"/>
  <c r="I337" i="1"/>
  <c r="M338" i="1"/>
  <c r="I338" i="1"/>
  <c r="M339" i="1"/>
  <c r="I339" i="1"/>
  <c r="M343" i="1"/>
  <c r="I343" i="1"/>
  <c r="M344" i="1"/>
  <c r="I344" i="1"/>
  <c r="M345" i="1"/>
  <c r="I345" i="1"/>
  <c r="M346" i="1"/>
  <c r="I346" i="1"/>
  <c r="M347" i="1"/>
  <c r="I347" i="1"/>
  <c r="M348" i="1"/>
  <c r="I348" i="1"/>
  <c r="M350" i="1"/>
  <c r="I350" i="1"/>
  <c r="M351" i="1"/>
  <c r="I351" i="1"/>
  <c r="M352" i="1"/>
  <c r="I352" i="1"/>
  <c r="M353" i="1"/>
  <c r="I353" i="1"/>
  <c r="M354" i="1"/>
  <c r="I354" i="1"/>
  <c r="M355" i="1"/>
  <c r="I355" i="1"/>
  <c r="M407" i="1"/>
  <c r="I407" i="1"/>
  <c r="M408" i="1"/>
  <c r="I408" i="1"/>
  <c r="M409" i="1"/>
  <c r="I409" i="1"/>
  <c r="M410" i="1"/>
  <c r="I410" i="1"/>
  <c r="M411" i="1"/>
  <c r="I411" i="1"/>
  <c r="M412" i="1"/>
  <c r="I412" i="1"/>
  <c r="M248" i="1"/>
  <c r="I248" i="1"/>
  <c r="M249" i="1"/>
  <c r="I249" i="1"/>
  <c r="M250" i="1"/>
  <c r="I250" i="1"/>
  <c r="M545" i="1"/>
  <c r="I545" i="1"/>
  <c r="M546" i="1"/>
  <c r="I546" i="1"/>
  <c r="M252" i="1"/>
  <c r="I252" i="1"/>
  <c r="M547" i="1"/>
  <c r="I547" i="1"/>
  <c r="M548" i="1"/>
  <c r="I548" i="1"/>
  <c r="M253" i="1"/>
  <c r="I253" i="1"/>
  <c r="M555" i="1"/>
  <c r="I555" i="1"/>
  <c r="M556" i="1"/>
  <c r="I556" i="1"/>
  <c r="M44" i="1"/>
  <c r="I44" i="1"/>
  <c r="M235" i="1"/>
  <c r="I235" i="1"/>
  <c r="M20" i="1"/>
  <c r="I20" i="1"/>
  <c r="M21" i="1"/>
  <c r="I21" i="1"/>
  <c r="M47" i="1"/>
  <c r="I47" i="1"/>
  <c r="M48" i="1"/>
  <c r="I48" i="1"/>
  <c r="M49" i="1"/>
  <c r="I49" i="1"/>
  <c r="M50" i="1"/>
  <c r="I50" i="1"/>
  <c r="M51" i="1"/>
  <c r="I51" i="1"/>
  <c r="M106" i="1"/>
  <c r="I106" i="1"/>
  <c r="M107" i="1"/>
  <c r="I107" i="1"/>
  <c r="M108" i="1"/>
  <c r="I108" i="1"/>
  <c r="M109" i="1"/>
  <c r="I109" i="1"/>
  <c r="M110" i="1"/>
  <c r="I110" i="1"/>
  <c r="M111" i="1"/>
  <c r="I111" i="1"/>
  <c r="M112" i="1"/>
  <c r="I112" i="1"/>
  <c r="M113" i="1"/>
  <c r="I113" i="1"/>
  <c r="M177" i="1"/>
  <c r="I177" i="1"/>
  <c r="M178" i="1"/>
  <c r="I178" i="1"/>
  <c r="M179" i="1"/>
  <c r="I179" i="1"/>
  <c r="M216" i="1"/>
  <c r="I216" i="1"/>
  <c r="M217" i="1"/>
  <c r="I217" i="1"/>
  <c r="M218" i="1"/>
  <c r="I218" i="1"/>
  <c r="M219" i="1"/>
  <c r="I219" i="1"/>
  <c r="M220" i="1"/>
  <c r="I220" i="1"/>
  <c r="M221" i="1"/>
  <c r="I221" i="1"/>
  <c r="M266" i="1"/>
  <c r="I266" i="1"/>
  <c r="M267" i="1"/>
  <c r="I267" i="1"/>
  <c r="M417" i="1"/>
  <c r="I417" i="1"/>
  <c r="M429" i="1"/>
  <c r="I429" i="1"/>
  <c r="M430" i="1"/>
  <c r="I430" i="1"/>
  <c r="M431" i="1"/>
  <c r="I431" i="1"/>
  <c r="M432" i="1"/>
  <c r="I432" i="1"/>
  <c r="M433" i="1"/>
  <c r="I433" i="1"/>
  <c r="M434" i="1"/>
  <c r="I434" i="1"/>
  <c r="M435" i="1"/>
  <c r="I435" i="1"/>
  <c r="M436" i="1"/>
  <c r="I436" i="1"/>
  <c r="M437" i="1"/>
  <c r="I437" i="1"/>
  <c r="M438" i="1"/>
  <c r="I438" i="1"/>
  <c r="M439" i="1"/>
  <c r="I439" i="1"/>
  <c r="M440" i="1"/>
  <c r="I440" i="1"/>
  <c r="M441" i="1"/>
  <c r="I441" i="1"/>
  <c r="M442" i="1"/>
  <c r="I442" i="1"/>
  <c r="M443" i="1"/>
  <c r="I443" i="1"/>
  <c r="M500" i="1"/>
  <c r="I500" i="1"/>
  <c r="M533" i="1"/>
  <c r="I533" i="1"/>
  <c r="M534" i="1"/>
  <c r="I534" i="1"/>
  <c r="M535" i="1"/>
  <c r="I535" i="1"/>
  <c r="M536" i="1"/>
  <c r="I536" i="1"/>
  <c r="M537" i="1"/>
  <c r="I537" i="1"/>
  <c r="M538" i="1"/>
  <c r="I538" i="1"/>
  <c r="M539" i="1"/>
  <c r="I539" i="1"/>
  <c r="M540" i="1"/>
  <c r="I540" i="1"/>
  <c r="M541" i="1"/>
  <c r="I541" i="1"/>
  <c r="M100" i="1"/>
  <c r="I100" i="1"/>
  <c r="M101" i="1"/>
  <c r="I101" i="1"/>
  <c r="M197" i="1"/>
  <c r="I197" i="1"/>
  <c r="M198" i="1"/>
  <c r="I198" i="1"/>
  <c r="M130" i="1"/>
  <c r="I130" i="1"/>
  <c r="M199" i="1"/>
  <c r="I199" i="1"/>
  <c r="M200" i="1"/>
  <c r="I200" i="1"/>
  <c r="M201" i="1"/>
  <c r="I201" i="1"/>
  <c r="M202" i="1"/>
  <c r="I202" i="1"/>
  <c r="M203" i="1"/>
  <c r="I203" i="1"/>
  <c r="M204" i="1"/>
  <c r="I204" i="1"/>
  <c r="M205" i="1"/>
  <c r="I205" i="1"/>
  <c r="M129" i="1"/>
  <c r="I129" i="1"/>
  <c r="M206" i="1"/>
  <c r="I206" i="1"/>
  <c r="M207" i="1"/>
  <c r="I207" i="1"/>
  <c r="M208" i="1"/>
  <c r="I208" i="1"/>
  <c r="M209" i="1"/>
  <c r="I209" i="1"/>
  <c r="M210" i="1"/>
  <c r="I210" i="1"/>
  <c r="M211" i="1"/>
  <c r="I211" i="1"/>
  <c r="M212" i="1"/>
  <c r="I212" i="1"/>
  <c r="M213" i="1"/>
  <c r="I213" i="1"/>
  <c r="M214" i="1"/>
  <c r="I214" i="1"/>
  <c r="M215" i="1"/>
  <c r="I215" i="1"/>
  <c r="M525" i="1"/>
  <c r="I525" i="1"/>
  <c r="M526" i="1"/>
  <c r="I526" i="1"/>
  <c r="M527" i="1"/>
  <c r="I527" i="1"/>
  <c r="M25" i="1"/>
  <c r="I25" i="1"/>
  <c r="M26" i="1"/>
  <c r="I26" i="1"/>
  <c r="M27" i="1"/>
  <c r="I27" i="1"/>
  <c r="M28" i="1"/>
  <c r="I28" i="1"/>
  <c r="M29" i="1"/>
  <c r="I29" i="1"/>
  <c r="M30" i="1"/>
  <c r="I30" i="1"/>
  <c r="M31" i="1"/>
  <c r="I31" i="1"/>
  <c r="M32" i="1"/>
  <c r="I32" i="1"/>
  <c r="M33" i="1"/>
  <c r="I33" i="1"/>
  <c r="M34" i="1"/>
  <c r="I34" i="1"/>
  <c r="M35" i="1"/>
  <c r="I35" i="1"/>
  <c r="M55" i="1"/>
  <c r="I55" i="1"/>
  <c r="M56" i="1"/>
  <c r="I56" i="1"/>
  <c r="M57" i="1"/>
  <c r="I57" i="1"/>
  <c r="M58" i="1"/>
  <c r="I58" i="1"/>
  <c r="M81" i="1"/>
  <c r="I81" i="1"/>
  <c r="M103" i="1"/>
  <c r="I103" i="1"/>
  <c r="M131" i="1"/>
  <c r="I131" i="1"/>
  <c r="M132" i="1"/>
  <c r="I132" i="1"/>
  <c r="M133" i="1"/>
  <c r="I133" i="1"/>
  <c r="M134" i="1"/>
  <c r="I134" i="1"/>
  <c r="M135" i="1"/>
  <c r="I135" i="1"/>
  <c r="M136" i="1"/>
  <c r="I136" i="1"/>
  <c r="M137" i="1"/>
  <c r="I137" i="1"/>
  <c r="M138" i="1"/>
  <c r="I138" i="1"/>
  <c r="M139" i="1"/>
  <c r="I139" i="1"/>
  <c r="M140" i="1"/>
  <c r="I140" i="1"/>
  <c r="M141" i="1"/>
  <c r="I141" i="1"/>
  <c r="M142" i="1"/>
  <c r="I142" i="1"/>
  <c r="M143" i="1"/>
  <c r="I143" i="1"/>
  <c r="M144" i="1"/>
  <c r="I144" i="1"/>
  <c r="M145" i="1"/>
  <c r="I145" i="1"/>
  <c r="M146" i="1"/>
  <c r="I146" i="1"/>
  <c r="M147" i="1"/>
  <c r="I147" i="1"/>
  <c r="M148" i="1"/>
  <c r="I148" i="1"/>
  <c r="M149" i="1"/>
  <c r="I149" i="1"/>
  <c r="M150" i="1"/>
  <c r="I150" i="1"/>
  <c r="M155" i="1"/>
  <c r="I155" i="1"/>
  <c r="M156" i="1"/>
  <c r="I156" i="1"/>
  <c r="M157" i="1"/>
  <c r="I157" i="1"/>
  <c r="M236" i="1"/>
  <c r="I236" i="1"/>
  <c r="M237" i="1"/>
  <c r="I237" i="1"/>
  <c r="M238" i="1"/>
  <c r="I238" i="1"/>
  <c r="M240" i="1"/>
  <c r="I240" i="1"/>
  <c r="M241" i="1"/>
  <c r="I241" i="1"/>
  <c r="M242" i="1"/>
  <c r="I242" i="1"/>
  <c r="M243" i="1"/>
  <c r="I243" i="1"/>
  <c r="M244" i="1"/>
  <c r="I244" i="1"/>
  <c r="M245" i="1"/>
  <c r="I245" i="1"/>
  <c r="M246" i="1"/>
  <c r="I246" i="1"/>
  <c r="M247" i="1"/>
  <c r="I247" i="1"/>
  <c r="M255" i="1"/>
  <c r="I255" i="1"/>
  <c r="M256" i="1"/>
  <c r="I256" i="1"/>
  <c r="M257" i="1"/>
  <c r="I257" i="1"/>
  <c r="M258" i="1"/>
  <c r="I258" i="1"/>
  <c r="M259" i="1"/>
  <c r="I259" i="1"/>
  <c r="M260" i="1"/>
  <c r="I260" i="1"/>
  <c r="M261" i="1"/>
  <c r="I261" i="1"/>
  <c r="M262" i="1"/>
  <c r="I262" i="1"/>
  <c r="M265" i="1"/>
  <c r="I265" i="1"/>
  <c r="M268" i="1"/>
  <c r="I268" i="1"/>
  <c r="M269" i="1"/>
  <c r="I269" i="1"/>
  <c r="M270" i="1"/>
  <c r="I270" i="1"/>
  <c r="M272" i="1"/>
  <c r="I272" i="1"/>
  <c r="M273" i="1"/>
  <c r="I273" i="1"/>
  <c r="M299" i="1"/>
  <c r="I299" i="1"/>
  <c r="M300" i="1"/>
  <c r="I300" i="1"/>
  <c r="M301" i="1"/>
  <c r="I301" i="1"/>
  <c r="M302" i="1"/>
  <c r="I302" i="1"/>
  <c r="M303" i="1"/>
  <c r="I303" i="1"/>
  <c r="M304" i="1"/>
  <c r="I304" i="1"/>
  <c r="M307" i="1"/>
  <c r="I307" i="1"/>
  <c r="M308" i="1"/>
  <c r="I308" i="1"/>
  <c r="M309" i="1"/>
  <c r="I309" i="1"/>
  <c r="M413" i="1"/>
  <c r="I413" i="1"/>
  <c r="M414" i="1"/>
  <c r="I414" i="1"/>
  <c r="M415" i="1"/>
  <c r="I415" i="1"/>
  <c r="M416" i="1"/>
  <c r="I416" i="1"/>
  <c r="M510" i="1"/>
  <c r="I510" i="1"/>
  <c r="M511" i="1"/>
  <c r="I511" i="1"/>
  <c r="M542" i="1"/>
  <c r="I542" i="1"/>
  <c r="M543" i="1"/>
  <c r="I543" i="1"/>
  <c r="M544" i="1"/>
  <c r="I544" i="1"/>
  <c r="M560" i="1"/>
  <c r="I560" i="1"/>
  <c r="M561" i="1"/>
  <c r="I561" i="1"/>
  <c r="M564" i="1"/>
  <c r="I564" i="1"/>
  <c r="M565" i="1"/>
  <c r="I565" i="1"/>
  <c r="M7" i="1"/>
  <c r="I7" i="1"/>
  <c r="M8" i="1"/>
  <c r="I8" i="1"/>
  <c r="M9" i="1"/>
  <c r="I9" i="1"/>
  <c r="M10" i="1"/>
  <c r="I10" i="1"/>
  <c r="M11" i="1"/>
  <c r="I11" i="1"/>
  <c r="M12" i="1"/>
  <c r="I12" i="1"/>
  <c r="M13" i="1"/>
  <c r="I13" i="1"/>
  <c r="M14" i="1"/>
  <c r="I14" i="1"/>
  <c r="M22" i="1"/>
  <c r="I22" i="1"/>
  <c r="M23" i="1"/>
  <c r="I23" i="1"/>
  <c r="M24" i="1"/>
  <c r="I24" i="1"/>
  <c r="M36" i="1"/>
  <c r="I36" i="1"/>
  <c r="M37" i="1"/>
  <c r="I37" i="1"/>
  <c r="M102" i="1"/>
  <c r="I102" i="1"/>
  <c r="M187" i="1"/>
  <c r="I187" i="1"/>
  <c r="M188" i="1"/>
  <c r="I188" i="1"/>
  <c r="M189" i="1"/>
  <c r="I189" i="1"/>
  <c r="M528" i="1"/>
  <c r="I528" i="1"/>
  <c r="M532" i="1"/>
  <c r="I532" i="1"/>
  <c r="M52" i="1"/>
  <c r="I52" i="1"/>
  <c r="M274" i="1"/>
  <c r="I274" i="1"/>
  <c r="M501" i="1"/>
  <c r="I501" i="1"/>
  <c r="M184" i="1"/>
  <c r="I184" i="1"/>
  <c r="M185" i="1"/>
  <c r="I185" i="1"/>
  <c r="M53" i="1"/>
  <c r="I53" i="1"/>
  <c r="M186" i="1"/>
  <c r="I186" i="1"/>
  <c r="M263" i="1"/>
  <c r="I263" i="1"/>
  <c r="M529" i="1"/>
  <c r="I529" i="1"/>
  <c r="M530" i="1"/>
  <c r="I530" i="1"/>
  <c r="M275" i="1"/>
  <c r="I275" i="1"/>
  <c r="M531" i="1"/>
  <c r="I531" i="1"/>
  <c r="M298" i="1"/>
  <c r="I298" i="1"/>
  <c r="M264" i="1"/>
  <c r="I264" i="1"/>
  <c r="M340" i="1"/>
  <c r="I340" i="1"/>
  <c r="M295" i="1"/>
  <c r="I295" i="1"/>
  <c r="M502" i="1"/>
  <c r="I502" i="1"/>
  <c r="M104" i="1"/>
  <c r="I104" i="1"/>
  <c r="M512" i="1"/>
  <c r="I512" i="1"/>
  <c r="M77" i="1"/>
  <c r="I77" i="1"/>
  <c r="M285" i="1"/>
  <c r="I285" i="1"/>
  <c r="M549" i="1"/>
  <c r="I549" i="1"/>
  <c r="M418" i="1"/>
  <c r="I418" i="1"/>
  <c r="M276" i="1"/>
  <c r="I276" i="1"/>
  <c r="M223" i="1"/>
  <c r="I223" i="1"/>
  <c r="M224" i="1"/>
  <c r="I224" i="1"/>
  <c r="M362" i="1"/>
  <c r="I362" i="1"/>
  <c r="M509" i="1"/>
  <c r="I509" i="1"/>
  <c r="M508" i="1"/>
  <c r="I508" i="1"/>
  <c r="M80" i="1"/>
  <c r="I80" i="1"/>
  <c r="M78" i="1"/>
  <c r="I78" i="1"/>
  <c r="M519" i="1"/>
  <c r="I519" i="1"/>
  <c r="M520" i="1"/>
  <c r="I520" i="1"/>
  <c r="M518" i="1"/>
  <c r="I518" i="1"/>
  <c r="M517" i="1"/>
  <c r="I517" i="1"/>
  <c r="M79" i="1"/>
  <c r="I79" i="1"/>
  <c r="M72" i="1"/>
  <c r="I72" i="1"/>
  <c r="M71" i="1"/>
  <c r="I71" i="1"/>
  <c r="M70" i="1"/>
  <c r="I70" i="1"/>
  <c r="M69" i="1"/>
  <c r="I69" i="1"/>
  <c r="M76" i="1"/>
  <c r="I76" i="1"/>
  <c r="M75" i="1"/>
  <c r="I75" i="1"/>
  <c r="M74" i="1"/>
  <c r="I74" i="1"/>
  <c r="M73" i="1"/>
  <c r="I73" i="1"/>
  <c r="M115" i="1"/>
  <c r="I115" i="1"/>
  <c r="M114" i="1"/>
  <c r="I114" i="1"/>
  <c r="M222" i="1"/>
  <c r="I222" i="1"/>
  <c r="M54" i="1"/>
  <c r="I54" i="1"/>
  <c r="M154" i="1"/>
  <c r="I154" i="1"/>
  <c r="M254" i="1"/>
  <c r="I254" i="1"/>
  <c r="M286" i="1"/>
  <c r="I286" i="1"/>
  <c r="M507" i="1"/>
  <c r="I507" i="1"/>
  <c r="M94" i="1"/>
  <c r="I94" i="1"/>
  <c r="M95" i="1"/>
  <c r="I95" i="1"/>
  <c r="M124" i="1"/>
  <c r="I124" i="1"/>
  <c r="M125" i="1"/>
  <c r="I125" i="1"/>
  <c r="M162" i="1"/>
  <c r="I162" i="1"/>
  <c r="M163" i="1"/>
  <c r="I163" i="1"/>
  <c r="M164" i="1"/>
  <c r="I164" i="1"/>
  <c r="M165" i="1"/>
  <c r="I165" i="1"/>
  <c r="M166" i="1"/>
  <c r="I166" i="1"/>
  <c r="M167" i="1"/>
  <c r="I167" i="1"/>
  <c r="M168" i="1"/>
  <c r="I168" i="1"/>
  <c r="M169" i="1"/>
  <c r="I169" i="1"/>
  <c r="M170" i="1"/>
  <c r="I170" i="1"/>
  <c r="M171" i="1"/>
  <c r="I171" i="1"/>
  <c r="M172" i="1"/>
  <c r="I172" i="1"/>
  <c r="M173" i="1"/>
  <c r="I173" i="1"/>
  <c r="M174" i="1"/>
  <c r="I174" i="1"/>
  <c r="M175" i="1"/>
  <c r="I175" i="1"/>
  <c r="M225" i="1"/>
  <c r="I225" i="1"/>
  <c r="M226" i="1"/>
  <c r="I226" i="1"/>
  <c r="M227" i="1"/>
  <c r="I227" i="1"/>
  <c r="M228" i="1"/>
  <c r="I228" i="1"/>
  <c r="M229" i="1"/>
  <c r="I229" i="1"/>
  <c r="M230" i="1"/>
  <c r="I230" i="1"/>
  <c r="M231" i="1"/>
  <c r="I231" i="1"/>
  <c r="M232" i="1"/>
  <c r="I232" i="1"/>
  <c r="M233" i="1"/>
  <c r="I233" i="1"/>
  <c r="M234" i="1"/>
  <c r="I234" i="1"/>
  <c r="M277" i="1"/>
  <c r="I277" i="1"/>
  <c r="M278" i="1"/>
  <c r="I278" i="1"/>
  <c r="M279" i="1"/>
  <c r="I279" i="1"/>
  <c r="M280" i="1"/>
  <c r="I280" i="1"/>
  <c r="M281" i="1"/>
  <c r="I281" i="1"/>
  <c r="M282" i="1"/>
  <c r="I282" i="1"/>
  <c r="M283" i="1"/>
  <c r="I283" i="1"/>
  <c r="M284" i="1"/>
  <c r="I284" i="1"/>
  <c r="M373" i="1"/>
  <c r="I373" i="1"/>
  <c r="M374" i="1"/>
  <c r="I374" i="1"/>
  <c r="M375" i="1"/>
  <c r="I375" i="1"/>
  <c r="M388" i="1"/>
  <c r="I388" i="1"/>
  <c r="M389" i="1"/>
  <c r="I389" i="1"/>
  <c r="M390" i="1"/>
  <c r="I390" i="1"/>
  <c r="M391" i="1"/>
  <c r="I391" i="1"/>
  <c r="M392" i="1"/>
  <c r="I392" i="1"/>
  <c r="M394" i="1"/>
  <c r="I394" i="1"/>
  <c r="M419" i="1"/>
  <c r="I419" i="1"/>
  <c r="M420" i="1"/>
  <c r="I420" i="1"/>
  <c r="M421" i="1"/>
  <c r="I421" i="1"/>
  <c r="M422" i="1"/>
  <c r="I422" i="1"/>
  <c r="M423" i="1"/>
  <c r="I423" i="1"/>
  <c r="M424" i="1"/>
  <c r="I424" i="1"/>
  <c r="M425" i="1"/>
  <c r="I425" i="1"/>
  <c r="M426" i="1"/>
  <c r="I426" i="1"/>
  <c r="M427" i="1"/>
  <c r="I427" i="1"/>
  <c r="M428" i="1"/>
  <c r="I428" i="1"/>
  <c r="M460" i="1"/>
  <c r="I460" i="1"/>
  <c r="M461" i="1"/>
  <c r="I461" i="1"/>
  <c r="M462" i="1"/>
  <c r="I462" i="1"/>
  <c r="M481" i="1"/>
  <c r="I481" i="1"/>
  <c r="M482" i="1"/>
  <c r="I482" i="1"/>
  <c r="M483" i="1"/>
  <c r="I483" i="1"/>
  <c r="M484" i="1"/>
  <c r="I484" i="1"/>
  <c r="M485" i="1"/>
  <c r="I485" i="1"/>
  <c r="M487" i="1"/>
  <c r="I487" i="1"/>
  <c r="M488" i="1"/>
  <c r="I488" i="1"/>
  <c r="M310" i="1"/>
  <c r="I310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G509" i="1"/>
  <c r="G508" i="1"/>
  <c r="G80" i="1"/>
  <c r="G78" i="1"/>
  <c r="G519" i="1"/>
  <c r="G520" i="1"/>
  <c r="G518" i="1"/>
  <c r="G517" i="1"/>
  <c r="G79" i="1"/>
  <c r="G72" i="1"/>
  <c r="G71" i="1"/>
  <c r="G70" i="1"/>
  <c r="G69" i="1"/>
  <c r="G76" i="1"/>
  <c r="G75" i="1"/>
  <c r="G74" i="1"/>
  <c r="G73" i="1"/>
  <c r="G115" i="1"/>
  <c r="G114" i="1"/>
  <c r="G222" i="1"/>
  <c r="G54" i="1"/>
  <c r="G154" i="1"/>
  <c r="G254" i="1"/>
  <c r="G286" i="1"/>
  <c r="G507" i="1"/>
  <c r="G94" i="1"/>
  <c r="G95" i="1"/>
  <c r="G124" i="1"/>
  <c r="G125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225" i="1"/>
  <c r="G226" i="1"/>
  <c r="G227" i="1"/>
  <c r="G228" i="1"/>
  <c r="G229" i="1"/>
  <c r="G230" i="1"/>
  <c r="G231" i="1"/>
  <c r="G232" i="1"/>
  <c r="G233" i="1"/>
  <c r="G234" i="1"/>
  <c r="G277" i="1"/>
  <c r="G278" i="1"/>
  <c r="G279" i="1"/>
  <c r="G280" i="1"/>
  <c r="G281" i="1"/>
  <c r="G282" i="1"/>
  <c r="G283" i="1"/>
  <c r="G284" i="1"/>
  <c r="G373" i="1"/>
  <c r="G374" i="1"/>
  <c r="G375" i="1"/>
  <c r="G388" i="1"/>
  <c r="G389" i="1"/>
  <c r="G390" i="1"/>
  <c r="G391" i="1"/>
  <c r="G392" i="1"/>
  <c r="G394" i="1"/>
  <c r="G419" i="1"/>
  <c r="G420" i="1"/>
  <c r="G421" i="1"/>
  <c r="G422" i="1"/>
  <c r="G423" i="1"/>
  <c r="G424" i="1"/>
  <c r="G425" i="1"/>
  <c r="G426" i="1"/>
  <c r="G427" i="1"/>
  <c r="G428" i="1"/>
  <c r="G460" i="1"/>
  <c r="G461" i="1"/>
  <c r="G462" i="1"/>
  <c r="G481" i="1"/>
  <c r="G482" i="1"/>
  <c r="G483" i="1"/>
  <c r="G484" i="1"/>
  <c r="G485" i="1"/>
  <c r="G487" i="1"/>
  <c r="G488" i="1"/>
  <c r="E509" i="1"/>
  <c r="E508" i="1"/>
  <c r="E80" i="1"/>
  <c r="E78" i="1"/>
  <c r="E519" i="1"/>
  <c r="E520" i="1"/>
  <c r="E518" i="1"/>
  <c r="E517" i="1"/>
  <c r="E79" i="1"/>
  <c r="E72" i="1"/>
  <c r="E71" i="1"/>
  <c r="E70" i="1"/>
  <c r="E69" i="1"/>
  <c r="E76" i="1"/>
  <c r="E75" i="1"/>
  <c r="E74" i="1"/>
  <c r="E73" i="1"/>
  <c r="E115" i="1"/>
  <c r="E114" i="1"/>
  <c r="E222" i="1"/>
  <c r="E54" i="1"/>
  <c r="E154" i="1"/>
  <c r="E254" i="1"/>
  <c r="E286" i="1"/>
  <c r="E507" i="1"/>
  <c r="E94" i="1"/>
  <c r="E95" i="1"/>
  <c r="E124" i="1"/>
  <c r="E125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225" i="1"/>
  <c r="E226" i="1"/>
  <c r="E227" i="1"/>
  <c r="E228" i="1"/>
  <c r="E229" i="1"/>
  <c r="E230" i="1"/>
  <c r="E231" i="1"/>
  <c r="E232" i="1"/>
  <c r="E233" i="1"/>
  <c r="E234" i="1"/>
  <c r="E277" i="1"/>
  <c r="E278" i="1"/>
  <c r="E279" i="1"/>
  <c r="E280" i="1"/>
  <c r="E281" i="1"/>
  <c r="E282" i="1"/>
  <c r="E283" i="1"/>
  <c r="E284" i="1"/>
  <c r="E373" i="1"/>
  <c r="E374" i="1"/>
  <c r="E375" i="1"/>
  <c r="E388" i="1"/>
  <c r="E389" i="1"/>
  <c r="E390" i="1"/>
  <c r="E391" i="1"/>
  <c r="E392" i="1"/>
  <c r="E394" i="1"/>
  <c r="E419" i="1"/>
  <c r="E420" i="1"/>
  <c r="E421" i="1"/>
  <c r="E422" i="1"/>
  <c r="E423" i="1"/>
  <c r="E424" i="1"/>
  <c r="E425" i="1"/>
  <c r="E426" i="1"/>
  <c r="E427" i="1"/>
  <c r="E428" i="1"/>
  <c r="E460" i="1"/>
  <c r="E461" i="1"/>
  <c r="E462" i="1"/>
  <c r="E481" i="1"/>
  <c r="E482" i="1"/>
  <c r="E483" i="1"/>
  <c r="E484" i="1"/>
  <c r="E485" i="1"/>
  <c r="E487" i="1"/>
  <c r="E488" i="1"/>
  <c r="G275" i="1"/>
  <c r="G531" i="1"/>
  <c r="G298" i="1"/>
  <c r="G264" i="1"/>
  <c r="G340" i="1"/>
  <c r="G295" i="1"/>
  <c r="G502" i="1"/>
  <c r="G104" i="1"/>
  <c r="G512" i="1"/>
  <c r="G77" i="1"/>
  <c r="G285" i="1"/>
  <c r="G549" i="1"/>
  <c r="G418" i="1"/>
  <c r="G276" i="1"/>
  <c r="G223" i="1"/>
  <c r="G224" i="1"/>
  <c r="G362" i="1"/>
  <c r="E275" i="1"/>
  <c r="E531" i="1"/>
  <c r="E298" i="1"/>
  <c r="E264" i="1"/>
  <c r="E340" i="1"/>
  <c r="E295" i="1"/>
  <c r="E502" i="1"/>
  <c r="E104" i="1"/>
  <c r="E512" i="1"/>
  <c r="E77" i="1"/>
  <c r="E285" i="1"/>
  <c r="E549" i="1"/>
  <c r="E418" i="1"/>
  <c r="E276" i="1"/>
  <c r="E223" i="1"/>
  <c r="E224" i="1"/>
  <c r="E362" i="1"/>
  <c r="G52" i="1"/>
  <c r="G274" i="1"/>
  <c r="G501" i="1"/>
  <c r="G184" i="1"/>
  <c r="G185" i="1"/>
  <c r="G53" i="1"/>
  <c r="G186" i="1"/>
  <c r="G263" i="1"/>
  <c r="G529" i="1"/>
  <c r="G530" i="1"/>
  <c r="E52" i="1"/>
  <c r="E274" i="1"/>
  <c r="E501" i="1"/>
  <c r="E184" i="1"/>
  <c r="E185" i="1"/>
  <c r="E53" i="1"/>
  <c r="E186" i="1"/>
  <c r="E263" i="1"/>
  <c r="E529" i="1"/>
  <c r="E530" i="1"/>
  <c r="G25" i="1"/>
  <c r="G26" i="1"/>
  <c r="G27" i="1"/>
  <c r="G28" i="1"/>
  <c r="G29" i="1"/>
  <c r="G30" i="1"/>
  <c r="G31" i="1"/>
  <c r="G32" i="1"/>
  <c r="G33" i="1"/>
  <c r="G34" i="1"/>
  <c r="G35" i="1"/>
  <c r="G55" i="1"/>
  <c r="G56" i="1"/>
  <c r="G57" i="1"/>
  <c r="G58" i="1"/>
  <c r="G81" i="1"/>
  <c r="G103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5" i="1"/>
  <c r="G156" i="1"/>
  <c r="G157" i="1"/>
  <c r="G236" i="1"/>
  <c r="G237" i="1"/>
  <c r="G238" i="1"/>
  <c r="G240" i="1"/>
  <c r="G241" i="1"/>
  <c r="G242" i="1"/>
  <c r="G243" i="1"/>
  <c r="G244" i="1"/>
  <c r="G245" i="1"/>
  <c r="G246" i="1"/>
  <c r="G247" i="1"/>
  <c r="G255" i="1"/>
  <c r="G256" i="1"/>
  <c r="G257" i="1"/>
  <c r="G258" i="1"/>
  <c r="G259" i="1"/>
  <c r="G260" i="1"/>
  <c r="G261" i="1"/>
  <c r="G262" i="1"/>
  <c r="G265" i="1"/>
  <c r="G268" i="1"/>
  <c r="G269" i="1"/>
  <c r="G270" i="1"/>
  <c r="G272" i="1"/>
  <c r="G273" i="1"/>
  <c r="G299" i="1"/>
  <c r="G300" i="1"/>
  <c r="G301" i="1"/>
  <c r="G302" i="1"/>
  <c r="G303" i="1"/>
  <c r="G304" i="1"/>
  <c r="G307" i="1"/>
  <c r="G308" i="1"/>
  <c r="G309" i="1"/>
  <c r="G413" i="1"/>
  <c r="G414" i="1"/>
  <c r="G415" i="1"/>
  <c r="G416" i="1"/>
  <c r="G510" i="1"/>
  <c r="G511" i="1"/>
  <c r="G542" i="1"/>
  <c r="G543" i="1"/>
  <c r="G544" i="1"/>
  <c r="G560" i="1"/>
  <c r="G561" i="1"/>
  <c r="G564" i="1"/>
  <c r="G565" i="1"/>
  <c r="G7" i="1"/>
  <c r="G8" i="1"/>
  <c r="G9" i="1"/>
  <c r="G10" i="1"/>
  <c r="G11" i="1"/>
  <c r="G12" i="1"/>
  <c r="G13" i="1"/>
  <c r="G14" i="1"/>
  <c r="G22" i="1"/>
  <c r="G23" i="1"/>
  <c r="G24" i="1"/>
  <c r="G36" i="1"/>
  <c r="G37" i="1"/>
  <c r="G102" i="1"/>
  <c r="G187" i="1"/>
  <c r="G188" i="1"/>
  <c r="G189" i="1"/>
  <c r="G528" i="1"/>
  <c r="G532" i="1"/>
  <c r="E25" i="1"/>
  <c r="E26" i="1"/>
  <c r="E27" i="1"/>
  <c r="E28" i="1"/>
  <c r="E29" i="1"/>
  <c r="E30" i="1"/>
  <c r="E31" i="1"/>
  <c r="E32" i="1"/>
  <c r="E33" i="1"/>
  <c r="E34" i="1"/>
  <c r="E35" i="1"/>
  <c r="E55" i="1"/>
  <c r="E56" i="1"/>
  <c r="E57" i="1"/>
  <c r="E58" i="1"/>
  <c r="E81" i="1"/>
  <c r="E103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5" i="1"/>
  <c r="E156" i="1"/>
  <c r="E157" i="1"/>
  <c r="E236" i="1"/>
  <c r="E237" i="1"/>
  <c r="E238" i="1"/>
  <c r="E240" i="1"/>
  <c r="E241" i="1"/>
  <c r="E242" i="1"/>
  <c r="E243" i="1"/>
  <c r="E244" i="1"/>
  <c r="E245" i="1"/>
  <c r="E246" i="1"/>
  <c r="E247" i="1"/>
  <c r="E255" i="1"/>
  <c r="E256" i="1"/>
  <c r="E257" i="1"/>
  <c r="E258" i="1"/>
  <c r="E259" i="1"/>
  <c r="E260" i="1"/>
  <c r="E261" i="1"/>
  <c r="E262" i="1"/>
  <c r="E265" i="1"/>
  <c r="E268" i="1"/>
  <c r="E269" i="1"/>
  <c r="E270" i="1"/>
  <c r="E272" i="1"/>
  <c r="E273" i="1"/>
  <c r="E299" i="1"/>
  <c r="E300" i="1"/>
  <c r="E301" i="1"/>
  <c r="E302" i="1"/>
  <c r="E303" i="1"/>
  <c r="E304" i="1"/>
  <c r="E307" i="1"/>
  <c r="E308" i="1"/>
  <c r="E309" i="1"/>
  <c r="E413" i="1"/>
  <c r="E414" i="1"/>
  <c r="E415" i="1"/>
  <c r="E416" i="1"/>
  <c r="E510" i="1"/>
  <c r="E511" i="1"/>
  <c r="E542" i="1"/>
  <c r="E543" i="1"/>
  <c r="E544" i="1"/>
  <c r="E560" i="1"/>
  <c r="E561" i="1"/>
  <c r="E564" i="1"/>
  <c r="E565" i="1"/>
  <c r="E7" i="1"/>
  <c r="E8" i="1"/>
  <c r="E9" i="1"/>
  <c r="E10" i="1"/>
  <c r="E11" i="1"/>
  <c r="E12" i="1"/>
  <c r="E13" i="1"/>
  <c r="E14" i="1"/>
  <c r="E22" i="1"/>
  <c r="E23" i="1"/>
  <c r="E24" i="1"/>
  <c r="E36" i="1"/>
  <c r="E37" i="1"/>
  <c r="E102" i="1"/>
  <c r="E187" i="1"/>
  <c r="E188" i="1"/>
  <c r="E189" i="1"/>
  <c r="E528" i="1"/>
  <c r="E532" i="1"/>
  <c r="G100" i="1"/>
  <c r="G101" i="1"/>
  <c r="G197" i="1"/>
  <c r="G198" i="1"/>
  <c r="G130" i="1"/>
  <c r="G199" i="1"/>
  <c r="G200" i="1"/>
  <c r="G201" i="1"/>
  <c r="G202" i="1"/>
  <c r="G203" i="1"/>
  <c r="G204" i="1"/>
  <c r="G205" i="1"/>
  <c r="G129" i="1"/>
  <c r="G206" i="1"/>
  <c r="G207" i="1"/>
  <c r="G208" i="1"/>
  <c r="G209" i="1"/>
  <c r="G210" i="1"/>
  <c r="G211" i="1"/>
  <c r="G212" i="1"/>
  <c r="G213" i="1"/>
  <c r="G214" i="1"/>
  <c r="G215" i="1"/>
  <c r="G525" i="1"/>
  <c r="G526" i="1"/>
  <c r="G527" i="1"/>
  <c r="E100" i="1"/>
  <c r="E101" i="1"/>
  <c r="E197" i="1"/>
  <c r="E198" i="1"/>
  <c r="E130" i="1"/>
  <c r="E199" i="1"/>
  <c r="E200" i="1"/>
  <c r="E201" i="1"/>
  <c r="E202" i="1"/>
  <c r="E203" i="1"/>
  <c r="E204" i="1"/>
  <c r="E205" i="1"/>
  <c r="E129" i="1"/>
  <c r="E206" i="1"/>
  <c r="E207" i="1"/>
  <c r="E208" i="1"/>
  <c r="E209" i="1"/>
  <c r="E210" i="1"/>
  <c r="E211" i="1"/>
  <c r="E212" i="1"/>
  <c r="E213" i="1"/>
  <c r="E214" i="1"/>
  <c r="E215" i="1"/>
  <c r="E525" i="1"/>
  <c r="E526" i="1"/>
  <c r="E527" i="1"/>
  <c r="E20" i="1"/>
  <c r="E21" i="1"/>
  <c r="E47" i="1"/>
  <c r="E48" i="1"/>
  <c r="E49" i="1"/>
  <c r="E50" i="1"/>
  <c r="E51" i="1"/>
  <c r="E106" i="1"/>
  <c r="E107" i="1"/>
  <c r="E108" i="1"/>
  <c r="E109" i="1"/>
  <c r="E110" i="1"/>
  <c r="E111" i="1"/>
  <c r="E112" i="1"/>
  <c r="E113" i="1"/>
  <c r="E177" i="1"/>
  <c r="E178" i="1"/>
  <c r="E179" i="1"/>
  <c r="E216" i="1"/>
  <c r="E217" i="1"/>
  <c r="E218" i="1"/>
  <c r="E219" i="1"/>
  <c r="E220" i="1"/>
  <c r="E221" i="1"/>
  <c r="E266" i="1"/>
  <c r="E267" i="1"/>
  <c r="E417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500" i="1"/>
  <c r="E533" i="1"/>
  <c r="E534" i="1"/>
  <c r="E535" i="1"/>
  <c r="E536" i="1"/>
  <c r="E537" i="1"/>
  <c r="E538" i="1"/>
  <c r="E539" i="1"/>
  <c r="E540" i="1"/>
  <c r="E541" i="1"/>
  <c r="G20" i="1"/>
  <c r="G21" i="1"/>
  <c r="G47" i="1"/>
  <c r="G48" i="1"/>
  <c r="G49" i="1"/>
  <c r="G50" i="1"/>
  <c r="G51" i="1"/>
  <c r="G106" i="1"/>
  <c r="G107" i="1"/>
  <c r="G108" i="1"/>
  <c r="G109" i="1"/>
  <c r="G110" i="1"/>
  <c r="G111" i="1"/>
  <c r="G112" i="1"/>
  <c r="G113" i="1"/>
  <c r="G177" i="1"/>
  <c r="G178" i="1"/>
  <c r="G179" i="1"/>
  <c r="G216" i="1"/>
  <c r="G217" i="1"/>
  <c r="G218" i="1"/>
  <c r="G219" i="1"/>
  <c r="G220" i="1"/>
  <c r="G221" i="1"/>
  <c r="G266" i="1"/>
  <c r="G267" i="1"/>
  <c r="G417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500" i="1"/>
  <c r="G533" i="1"/>
  <c r="G534" i="1"/>
  <c r="G535" i="1"/>
  <c r="G536" i="1"/>
  <c r="G537" i="1"/>
  <c r="G538" i="1"/>
  <c r="G539" i="1"/>
  <c r="G540" i="1"/>
  <c r="G541" i="1"/>
  <c r="G4" i="1"/>
  <c r="G5" i="1"/>
  <c r="G38" i="1"/>
  <c r="G39" i="1"/>
  <c r="G40" i="1"/>
  <c r="G41" i="1"/>
  <c r="G42" i="1"/>
  <c r="G43" i="1"/>
  <c r="G45" i="1"/>
  <c r="G46" i="1"/>
  <c r="G16" i="1"/>
  <c r="G17" i="1"/>
  <c r="G18" i="1"/>
  <c r="G59" i="1"/>
  <c r="G60" i="1"/>
  <c r="G61" i="1"/>
  <c r="G62" i="1"/>
  <c r="G63" i="1"/>
  <c r="G64" i="1"/>
  <c r="G65" i="1"/>
  <c r="G66" i="1"/>
  <c r="G19" i="1"/>
  <c r="G67" i="1"/>
  <c r="G68" i="1"/>
  <c r="G151" i="1"/>
  <c r="G152" i="1"/>
  <c r="G153" i="1"/>
  <c r="G158" i="1"/>
  <c r="G159" i="1"/>
  <c r="G160" i="1"/>
  <c r="G161" i="1"/>
  <c r="G180" i="1"/>
  <c r="G181" i="1"/>
  <c r="G182" i="1"/>
  <c r="G183" i="1"/>
  <c r="G190" i="1"/>
  <c r="G191" i="1"/>
  <c r="G192" i="1"/>
  <c r="G193" i="1"/>
  <c r="G194" i="1"/>
  <c r="G290" i="1"/>
  <c r="G291" i="1"/>
  <c r="G292" i="1"/>
  <c r="G293" i="1"/>
  <c r="G294" i="1"/>
  <c r="G314" i="1"/>
  <c r="G335" i="1"/>
  <c r="G336" i="1"/>
  <c r="G337" i="1"/>
  <c r="G338" i="1"/>
  <c r="G339" i="1"/>
  <c r="G343" i="1"/>
  <c r="G344" i="1"/>
  <c r="G345" i="1"/>
  <c r="G346" i="1"/>
  <c r="G347" i="1"/>
  <c r="G348" i="1"/>
  <c r="G350" i="1"/>
  <c r="G351" i="1"/>
  <c r="G352" i="1"/>
  <c r="G353" i="1"/>
  <c r="G354" i="1"/>
  <c r="G355" i="1"/>
  <c r="G407" i="1"/>
  <c r="G408" i="1"/>
  <c r="G409" i="1"/>
  <c r="G410" i="1"/>
  <c r="G411" i="1"/>
  <c r="G412" i="1"/>
  <c r="G248" i="1"/>
  <c r="G249" i="1"/>
  <c r="G250" i="1"/>
  <c r="G545" i="1"/>
  <c r="G546" i="1"/>
  <c r="G252" i="1"/>
  <c r="G547" i="1"/>
  <c r="G548" i="1"/>
  <c r="G253" i="1"/>
  <c r="G555" i="1"/>
  <c r="G556" i="1"/>
  <c r="E4" i="1"/>
  <c r="E5" i="1"/>
  <c r="E38" i="1"/>
  <c r="E39" i="1"/>
  <c r="E40" i="1"/>
  <c r="E41" i="1"/>
  <c r="E42" i="1"/>
  <c r="E43" i="1"/>
  <c r="E45" i="1"/>
  <c r="E46" i="1"/>
  <c r="E16" i="1"/>
  <c r="E17" i="1"/>
  <c r="E18" i="1"/>
  <c r="E59" i="1"/>
  <c r="E60" i="1"/>
  <c r="E61" i="1"/>
  <c r="E62" i="1"/>
  <c r="E63" i="1"/>
  <c r="E64" i="1"/>
  <c r="E65" i="1"/>
  <c r="E66" i="1"/>
  <c r="E19" i="1"/>
  <c r="E67" i="1"/>
  <c r="E68" i="1"/>
  <c r="E151" i="1"/>
  <c r="E152" i="1"/>
  <c r="E153" i="1"/>
  <c r="E158" i="1"/>
  <c r="E159" i="1"/>
  <c r="E160" i="1"/>
  <c r="E161" i="1"/>
  <c r="E180" i="1"/>
  <c r="E181" i="1"/>
  <c r="E182" i="1"/>
  <c r="E183" i="1"/>
  <c r="E190" i="1"/>
  <c r="E191" i="1"/>
  <c r="E192" i="1"/>
  <c r="E193" i="1"/>
  <c r="E194" i="1"/>
  <c r="E290" i="1"/>
  <c r="E291" i="1"/>
  <c r="E292" i="1"/>
  <c r="E293" i="1"/>
  <c r="E294" i="1"/>
  <c r="E314" i="1"/>
  <c r="E335" i="1"/>
  <c r="E336" i="1"/>
  <c r="E337" i="1"/>
  <c r="E338" i="1"/>
  <c r="E339" i="1"/>
  <c r="E343" i="1"/>
  <c r="E344" i="1"/>
  <c r="E345" i="1"/>
  <c r="E346" i="1"/>
  <c r="E347" i="1"/>
  <c r="E348" i="1"/>
  <c r="E350" i="1"/>
  <c r="E351" i="1"/>
  <c r="E352" i="1"/>
  <c r="E353" i="1"/>
  <c r="E354" i="1"/>
  <c r="E355" i="1"/>
  <c r="E407" i="1"/>
  <c r="E408" i="1"/>
  <c r="E409" i="1"/>
  <c r="E410" i="1"/>
  <c r="E411" i="1"/>
  <c r="E412" i="1"/>
  <c r="E248" i="1"/>
  <c r="E249" i="1"/>
  <c r="E250" i="1"/>
  <c r="E545" i="1"/>
  <c r="E546" i="1"/>
  <c r="E252" i="1"/>
  <c r="E547" i="1"/>
  <c r="E548" i="1"/>
  <c r="E253" i="1"/>
  <c r="E555" i="1"/>
  <c r="E556" i="1"/>
  <c r="G82" i="1"/>
  <c r="G83" i="1"/>
  <c r="G84" i="1"/>
  <c r="G85" i="1"/>
  <c r="G86" i="1"/>
  <c r="G87" i="1"/>
  <c r="G88" i="1"/>
  <c r="G89" i="1"/>
  <c r="G90" i="1"/>
  <c r="G91" i="1"/>
  <c r="G92" i="1"/>
  <c r="G93" i="1"/>
  <c r="G96" i="1"/>
  <c r="G97" i="1"/>
  <c r="G98" i="1"/>
  <c r="G99" i="1"/>
  <c r="G116" i="1"/>
  <c r="G117" i="1"/>
  <c r="G118" i="1"/>
  <c r="G119" i="1"/>
  <c r="G120" i="1"/>
  <c r="G121" i="1"/>
  <c r="G122" i="1"/>
  <c r="G123" i="1"/>
  <c r="G126" i="1"/>
  <c r="G127" i="1"/>
  <c r="G128" i="1"/>
  <c r="G305" i="1"/>
  <c r="G306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41" i="1"/>
  <c r="G342" i="1"/>
  <c r="G503" i="1"/>
  <c r="G504" i="1"/>
  <c r="G505" i="1"/>
  <c r="G506" i="1"/>
  <c r="G521" i="1"/>
  <c r="G522" i="1"/>
  <c r="G523" i="1"/>
  <c r="G524" i="1"/>
  <c r="G550" i="1"/>
  <c r="G551" i="1"/>
  <c r="G552" i="1"/>
  <c r="G553" i="1"/>
  <c r="G554" i="1"/>
  <c r="E82" i="1"/>
  <c r="E83" i="1"/>
  <c r="E84" i="1"/>
  <c r="E85" i="1"/>
  <c r="E86" i="1"/>
  <c r="E87" i="1"/>
  <c r="E88" i="1"/>
  <c r="E89" i="1"/>
  <c r="E90" i="1"/>
  <c r="E91" i="1"/>
  <c r="E92" i="1"/>
  <c r="E93" i="1"/>
  <c r="E96" i="1"/>
  <c r="E97" i="1"/>
  <c r="E98" i="1"/>
  <c r="E99" i="1"/>
  <c r="E116" i="1"/>
  <c r="E117" i="1"/>
  <c r="E118" i="1"/>
  <c r="E119" i="1"/>
  <c r="E120" i="1"/>
  <c r="E121" i="1"/>
  <c r="E122" i="1"/>
  <c r="E123" i="1"/>
  <c r="E126" i="1"/>
  <c r="E127" i="1"/>
  <c r="E128" i="1"/>
  <c r="E305" i="1"/>
  <c r="E306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41" i="1"/>
  <c r="E342" i="1"/>
  <c r="E503" i="1"/>
  <c r="E504" i="1"/>
  <c r="E505" i="1"/>
  <c r="E506" i="1"/>
  <c r="E521" i="1"/>
  <c r="E522" i="1"/>
  <c r="E523" i="1"/>
  <c r="E524" i="1"/>
  <c r="E550" i="1"/>
  <c r="E551" i="1"/>
  <c r="E552" i="1"/>
  <c r="E553" i="1"/>
  <c r="E554" i="1"/>
  <c r="G356" i="1"/>
  <c r="G357" i="1"/>
  <c r="G358" i="1"/>
  <c r="G359" i="1"/>
  <c r="G360" i="1"/>
  <c r="G361" i="1"/>
  <c r="G363" i="1"/>
  <c r="G364" i="1"/>
  <c r="G365" i="1"/>
  <c r="G366" i="1"/>
  <c r="G367" i="1"/>
  <c r="G368" i="1"/>
  <c r="G369" i="1"/>
  <c r="G370" i="1"/>
  <c r="G371" i="1"/>
  <c r="G372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93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6" i="1"/>
  <c r="G489" i="1"/>
  <c r="G490" i="1"/>
  <c r="G491" i="1"/>
  <c r="G492" i="1"/>
  <c r="G493" i="1"/>
  <c r="G494" i="1"/>
  <c r="G495" i="1"/>
  <c r="G496" i="1"/>
  <c r="G497" i="1"/>
  <c r="G498" i="1"/>
  <c r="G499" i="1"/>
  <c r="E356" i="1"/>
  <c r="E357" i="1"/>
  <c r="E358" i="1"/>
  <c r="E359" i="1"/>
  <c r="E360" i="1"/>
  <c r="E361" i="1"/>
  <c r="E363" i="1"/>
  <c r="E364" i="1"/>
  <c r="E365" i="1"/>
  <c r="E366" i="1"/>
  <c r="E367" i="1"/>
  <c r="E368" i="1"/>
  <c r="E369" i="1"/>
  <c r="E370" i="1"/>
  <c r="E371" i="1"/>
  <c r="E372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93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6" i="1"/>
  <c r="E489" i="1"/>
  <c r="E490" i="1"/>
  <c r="E491" i="1"/>
  <c r="E492" i="1"/>
  <c r="E493" i="1"/>
  <c r="E494" i="1"/>
  <c r="E495" i="1"/>
  <c r="E496" i="1"/>
  <c r="E497" i="1"/>
  <c r="E498" i="1"/>
  <c r="E499" i="1"/>
  <c r="E558" i="1"/>
  <c r="E311" i="1"/>
  <c r="E559" i="1"/>
  <c r="E310" i="1"/>
  <c r="E557" i="1"/>
  <c r="E44" i="1"/>
  <c r="E235" i="1"/>
  <c r="G557" i="1"/>
  <c r="G558" i="1"/>
  <c r="G311" i="1"/>
  <c r="G559" i="1"/>
  <c r="G310" i="1"/>
  <c r="G44" i="1"/>
  <c r="G2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<sst xmlns="http://schemas.openxmlformats.org/spreadsheetml/2006/main" count="2137" uniqueCount="1289">
  <si>
    <t>Kategorie</t>
  </si>
  <si>
    <t>Wasser [g/100g]</t>
  </si>
  <si>
    <t>Rohasche [g/100g]</t>
  </si>
  <si>
    <t>Biotin [µg/100g]</t>
  </si>
  <si>
    <t>Natrium [mg/100g]</t>
  </si>
  <si>
    <t>Chlorid [mg/100g]</t>
  </si>
  <si>
    <t>Kalium [mg/100g]</t>
  </si>
  <si>
    <t>Calcium [mg/100g]</t>
  </si>
  <si>
    <t>Magnesium [mg/100g]</t>
  </si>
  <si>
    <t>Phosphor [mg/100g]</t>
  </si>
  <si>
    <t>Schwefel [mg/100g]</t>
  </si>
  <si>
    <t>Eisen [mg/100g]</t>
  </si>
  <si>
    <t>Zink [mg/100g]</t>
  </si>
  <si>
    <t>Kupfer [µg/100g]</t>
  </si>
  <si>
    <t>Mangan [µg/100g]</t>
  </si>
  <si>
    <t>Lactose [g/100g]</t>
  </si>
  <si>
    <t>Omega-6, gesamt [g/100g]</t>
  </si>
  <si>
    <t>Linolsäure [g/100g]</t>
  </si>
  <si>
    <t>Arginin [g/100g]</t>
  </si>
  <si>
    <t>Cystein [g/100g]</t>
  </si>
  <si>
    <t>Histidin [g/100g]</t>
  </si>
  <si>
    <t>Lysin [g/100g]</t>
  </si>
  <si>
    <t>Methionin [g/100g]</t>
  </si>
  <si>
    <t>BLS Code</t>
  </si>
  <si>
    <t>Rohprotein [g/100g]</t>
  </si>
  <si>
    <t>Energie [kcal/100g]</t>
  </si>
  <si>
    <t>vRP</t>
  </si>
  <si>
    <t>Rohfett [g/100g]</t>
  </si>
  <si>
    <t>Jod [µg/100g]</t>
  </si>
  <si>
    <t>Vitamin D3 [µg/100g]</t>
  </si>
  <si>
    <t>Vitamin E [mg/100g]</t>
  </si>
  <si>
    <t>Vitamin B1 [mg/100g]</t>
  </si>
  <si>
    <t>Vitamin B2 [mg/100g]</t>
  </si>
  <si>
    <t>Vit. B3/Niacin [mg/100g]</t>
  </si>
  <si>
    <t>Vitamin B6 [µg/100g]</t>
  </si>
  <si>
    <t>Vitamin B12 [µg/100g]</t>
  </si>
  <si>
    <t>Vitamin C [mg/100g]</t>
  </si>
  <si>
    <t>Vitamin K [µg/100g]</t>
  </si>
  <si>
    <t>Folsäure [µg/100g]</t>
  </si>
  <si>
    <t>Omega-3, gesamt [g/100g]</t>
  </si>
  <si>
    <t>EPA [g/100g]</t>
  </si>
  <si>
    <t>DHA [g/100g]</t>
  </si>
  <si>
    <t>Energie [MJ/100g]</t>
  </si>
  <si>
    <t>Futtermittel</t>
  </si>
  <si>
    <t>NfE  [g/100g]</t>
  </si>
  <si>
    <t>V112100</t>
  </si>
  <si>
    <t>Pferd Fleisch, roh</t>
  </si>
  <si>
    <t>-</t>
  </si>
  <si>
    <t>V112142</t>
  </si>
  <si>
    <t>Pferd Fleisch, geschmort ohne Fett</t>
  </si>
  <si>
    <t>V112162</t>
  </si>
  <si>
    <t>Pferd Fleisch, gebraten ohne Fett (Ofen)</t>
  </si>
  <si>
    <t>V122162</t>
  </si>
  <si>
    <t>Ziege Fleisch, gebraten ohne Fett (Ofen)</t>
  </si>
  <si>
    <t>V122142</t>
  </si>
  <si>
    <t>Ziege Fleisch, geschmort ohne Fett</t>
  </si>
  <si>
    <t>V122100</t>
  </si>
  <si>
    <t>Ziege Fleisch, roh</t>
  </si>
  <si>
    <t>Fleisch</t>
  </si>
  <si>
    <t>Vitamin D I.E.</t>
  </si>
  <si>
    <t>Rohfaser [g/100g]</t>
  </si>
  <si>
    <t>Selen [µg/100g]</t>
  </si>
  <si>
    <t>Vitamin A [µg/100g]</t>
  </si>
  <si>
    <t>Vitamin A IE</t>
  </si>
  <si>
    <t>Vitamin E IE</t>
  </si>
  <si>
    <t>U171162</t>
  </si>
  <si>
    <t>Rind Bratenfleisch (Bug) gebraten ohne Fett (Ofen)</t>
  </si>
  <si>
    <t>U171142</t>
  </si>
  <si>
    <t>Rind Bratenfleisch (Bug) geschmort ohne Fett</t>
  </si>
  <si>
    <t>U171100</t>
  </si>
  <si>
    <t>Rind Bratenfleisch (Bug) roh</t>
  </si>
  <si>
    <t>U261162</t>
  </si>
  <si>
    <t>Rind Bug/Schulter, gebraten ohne Fett (Ofen)</t>
  </si>
  <si>
    <t>U261142</t>
  </si>
  <si>
    <t>Rind Bug/Schulter, geschmort ohne Fett</t>
  </si>
  <si>
    <t>U261100</t>
  </si>
  <si>
    <t>Rind Bug/Schulter, roh</t>
  </si>
  <si>
    <t>U151182</t>
  </si>
  <si>
    <t>Rind Gulasch (Bug) gebraten ohne Fett (Pfanne)</t>
  </si>
  <si>
    <t>U151142</t>
  </si>
  <si>
    <t>Rind Gulasch (Bug) geschmort ohne Fett</t>
  </si>
  <si>
    <t>U151100</t>
  </si>
  <si>
    <t>Rind Gulasch (Bug) roh</t>
  </si>
  <si>
    <t>U010182</t>
  </si>
  <si>
    <t>Rind Hackfleisch, gebraten ohne Fett (Pfanne)</t>
  </si>
  <si>
    <t>U010132</t>
  </si>
  <si>
    <t>Rind Hackfleisch, gekocht</t>
  </si>
  <si>
    <t>U010142</t>
  </si>
  <si>
    <t>Rind Hackfleisch, geschmort ohne Fett</t>
  </si>
  <si>
    <t>U010100</t>
  </si>
  <si>
    <t>Rind Hackfleisch, roh</t>
  </si>
  <si>
    <t>U231132</t>
  </si>
  <si>
    <t>Rind Hals/Kamm/Nacken, gekocht</t>
  </si>
  <si>
    <t>U231142</t>
  </si>
  <si>
    <t>Rind Hals/Kamm/Nacken, geschmort ohne Fett</t>
  </si>
  <si>
    <t>U231100</t>
  </si>
  <si>
    <t>Rind Hals/Kamm/Nacken, roh</t>
  </si>
  <si>
    <t>U235162</t>
  </si>
  <si>
    <t>Rind Hochrippe, gebraten ohne Fett (Ofen)</t>
  </si>
  <si>
    <t>U235132</t>
  </si>
  <si>
    <t>Rind Hochrippe, gekocht</t>
  </si>
  <si>
    <t>U235142</t>
  </si>
  <si>
    <t>Rind Hochrippe, geschmort ohne Fett</t>
  </si>
  <si>
    <t>U235100</t>
  </si>
  <si>
    <t>Rind Hochrippe, roh</t>
  </si>
  <si>
    <t>U284162</t>
  </si>
  <si>
    <t>Rind Hüfte, gebraten ohne Fett (Ofen)</t>
  </si>
  <si>
    <t>U284132</t>
  </si>
  <si>
    <t>Rind Hüfte, gekocht</t>
  </si>
  <si>
    <t>U284142</t>
  </si>
  <si>
    <t>Rind Hüfte, geschmort ohne Fett</t>
  </si>
  <si>
    <t>U284100</t>
  </si>
  <si>
    <t>Rind Hüfte, roh</t>
  </si>
  <si>
    <t>U281162</t>
  </si>
  <si>
    <t>Rind Keule, gebraten ohne Fett (Ofen)</t>
  </si>
  <si>
    <t>U281132</t>
  </si>
  <si>
    <t>Rind Keule, gekocht</t>
  </si>
  <si>
    <t>U281142</t>
  </si>
  <si>
    <t>Rind Keule, geschmort ohne Fett</t>
  </si>
  <si>
    <t>U281100</t>
  </si>
  <si>
    <t>Rind Keule, roh</t>
  </si>
  <si>
    <t>U201000</t>
  </si>
  <si>
    <t>Rind Muskelfleisch, roh</t>
  </si>
  <si>
    <t>U287162</t>
  </si>
  <si>
    <t>Rind Oberschale, gebraten ohne Fett (Ofen)</t>
  </si>
  <si>
    <t>U287132</t>
  </si>
  <si>
    <t>Rind Oberschale, gekocht</t>
  </si>
  <si>
    <t>U287100</t>
  </si>
  <si>
    <t>Rind Oberschale, roh</t>
  </si>
  <si>
    <t>U109142</t>
  </si>
  <si>
    <t>Rind Ochsenschwanz, geschmort ohne Fett</t>
  </si>
  <si>
    <t>U109100</t>
  </si>
  <si>
    <t>Rind Ochsenschwanz, roh</t>
  </si>
  <si>
    <t>U131162</t>
  </si>
  <si>
    <t>Rind Steak (Rücken) gebraten ohne Fett (Ofen)</t>
  </si>
  <si>
    <t>U131182</t>
  </si>
  <si>
    <t>Rind Steak (Rücken) gebraten ohne Fett (Pfanne)</t>
  </si>
  <si>
    <t>U131100</t>
  </si>
  <si>
    <t>Rind Steak (Rücken) roh</t>
  </si>
  <si>
    <t>U070162</t>
  </si>
  <si>
    <t>Rind Tatar/Schabefleisch, gebraten ohne Fett (Ofen)</t>
  </si>
  <si>
    <t>U070182</t>
  </si>
  <si>
    <t>Rind Tatar/Schabefleisch, gebraten ohne Fett (Pfanne)</t>
  </si>
  <si>
    <t>U070100</t>
  </si>
  <si>
    <t>Rind Tatar/Schabefleisch, roh</t>
  </si>
  <si>
    <t>U070232</t>
  </si>
  <si>
    <t>Rind Tatar/Schabefleisch, tiefgefroren, gekocht</t>
  </si>
  <si>
    <t>U642162</t>
  </si>
  <si>
    <t>Schwein Bauch (wie gewachsen) gebraten ohne Fett (Ofen)</t>
  </si>
  <si>
    <t>U642132</t>
  </si>
  <si>
    <t>Schwein Bauch (wie gewachsen) gekocht</t>
  </si>
  <si>
    <t>U642100</t>
  </si>
  <si>
    <t>Schwein Bauch (wie gewachsen) roh</t>
  </si>
  <si>
    <t>U575162</t>
  </si>
  <si>
    <t>Schwein Bratenfleisch (Nuss) gebraten ohne Fett (Ofen)</t>
  </si>
  <si>
    <t>U575100</t>
  </si>
  <si>
    <t>Schwein Bratenfleisch (Nuss) roh</t>
  </si>
  <si>
    <t>U602200</t>
  </si>
  <si>
    <t>Schwein Fleisch, geringer Feinsehnenanteil, sichtbarer Fettanteil max. 3 - 5 % (S II/III) roh</t>
  </si>
  <si>
    <t>U603000</t>
  </si>
  <si>
    <t>Schwein Fleisch, höherer Sehnenanteil, sichtbarer Fettanteil max. 7 - 10 % (S III) roh</t>
  </si>
  <si>
    <t>U602100</t>
  </si>
  <si>
    <t>Schwein Fleisch, sehnenfrei, sichtbarer Fettanteil max. 5 % (S II) roh</t>
  </si>
  <si>
    <t>U554182</t>
  </si>
  <si>
    <t>Schwein Gulasch (Restbug) gebraten ohne Fett (Pfanne)</t>
  </si>
  <si>
    <t>U554142</t>
  </si>
  <si>
    <t>Schwein Gulasch (Restbug) geschmort ohne Fett</t>
  </si>
  <si>
    <t>U554100</t>
  </si>
  <si>
    <t>Schwein Gulasch (Restbug) roh</t>
  </si>
  <si>
    <t>U020162</t>
  </si>
  <si>
    <t>Schwein Hackfleisch, gebraten ohne Fett (Ofen)</t>
  </si>
  <si>
    <t>U020182</t>
  </si>
  <si>
    <t>Schwein Hackfleisch, gebraten ohne Fett (Pfanne)</t>
  </si>
  <si>
    <t>U020132</t>
  </si>
  <si>
    <t>Schwein Hackfleisch, gekocht</t>
  </si>
  <si>
    <t>U020142</t>
  </si>
  <si>
    <t>Schwein Hackfleisch, geschmort ohne Fett</t>
  </si>
  <si>
    <t>U020100</t>
  </si>
  <si>
    <t>Schwein Hackfleisch, roh</t>
  </si>
  <si>
    <t>U685162</t>
  </si>
  <si>
    <t>Schwein Hüfte/Schinkenspeck, gebraten ohne Fett (Ofen)</t>
  </si>
  <si>
    <t>U685142</t>
  </si>
  <si>
    <t>Schwein Hüfte/Schinkenspeck, geschmort ohne Fett</t>
  </si>
  <si>
    <t>U685100</t>
  </si>
  <si>
    <t>Schwein Hüfte/Schinkenspeck, roh</t>
  </si>
  <si>
    <t>U632162</t>
  </si>
  <si>
    <t>Schwein Kamm, gebraten ohne Fett (Ofen)</t>
  </si>
  <si>
    <t>U632100</t>
  </si>
  <si>
    <t>Schwein Kamm, roh</t>
  </si>
  <si>
    <t>U577162</t>
  </si>
  <si>
    <t>Schwein Kammbraten, gebraten, ohne Fett (Ofen)</t>
  </si>
  <si>
    <t>U577100</t>
  </si>
  <si>
    <t>Schwein Kammbraten, roh</t>
  </si>
  <si>
    <t>U532182</t>
  </si>
  <si>
    <t>Schwein Kammsteak, gebraten ohne Fett (Pfanne)</t>
  </si>
  <si>
    <t>U532100</t>
  </si>
  <si>
    <t>Schwein Kammsteak, roh</t>
  </si>
  <si>
    <t>U583132</t>
  </si>
  <si>
    <t>Schwein Kochfleisch (Bauch) gekocht</t>
  </si>
  <si>
    <t>U583100</t>
  </si>
  <si>
    <t>Schwein Kochfleisch (Bauch) roh</t>
  </si>
  <si>
    <t>U624162</t>
  </si>
  <si>
    <t>Schwein Kotelett (Rücken/caudal) gebraten ohne Fett (Ofen)</t>
  </si>
  <si>
    <t>U624100</t>
  </si>
  <si>
    <t>Schwein Kotelett (Rücken/caudal) roh</t>
  </si>
  <si>
    <t>U622142</t>
  </si>
  <si>
    <t>Schwein Kotelett (Rücken/cranial) geschmort ohne Fett</t>
  </si>
  <si>
    <t>U622100</t>
  </si>
  <si>
    <t>Schwein Kotelett (Rücken/cranial) roh</t>
  </si>
  <si>
    <t>U578162</t>
  </si>
  <si>
    <t>Schwein Lachsbraten, gebraten, ohne Fett (Ofen)</t>
  </si>
  <si>
    <t>U578100</t>
  </si>
  <si>
    <t>Schwein Lachsbraten, roh</t>
  </si>
  <si>
    <t>U57B162</t>
  </si>
  <si>
    <t>Schwein Ladenbauch, gebraten ohne Fett (Ofen)</t>
  </si>
  <si>
    <t>U601000</t>
  </si>
  <si>
    <t>Schwein Muskelfleisch, roh</t>
  </si>
  <si>
    <t>U684162</t>
  </si>
  <si>
    <t>Schwein Nuss, gebraten ohne Fett (Ofen)</t>
  </si>
  <si>
    <t>U684100</t>
  </si>
  <si>
    <t>Schwein Nuss, roh</t>
  </si>
  <si>
    <t>U687062</t>
  </si>
  <si>
    <t>Schwein Oberschale (ohne Deckel) gebraten ohne Fett (Ofen)</t>
  </si>
  <si>
    <t>U687032</t>
  </si>
  <si>
    <t>Schwein Oberschale (ohne Deckel) gekocht</t>
  </si>
  <si>
    <t>U687000</t>
  </si>
  <si>
    <t>Schwein Oberschale (ohne Deckel) roh</t>
  </si>
  <si>
    <t>U543162</t>
  </si>
  <si>
    <t>Schwein Schnitzel (Nuss) gebraten ohne Fett (Ofen)</t>
  </si>
  <si>
    <t>U543182</t>
  </si>
  <si>
    <t>Schwein Schnitzel (Nuss) gebraten ohne Fett (Pfanne)</t>
  </si>
  <si>
    <t>U543100</t>
  </si>
  <si>
    <t>Schwein Schnitzel (Nuss) roh</t>
  </si>
  <si>
    <t>U541062</t>
  </si>
  <si>
    <t>Schwein Schnitzel (Oberschale) gebraten ohne Fett (Ofen)</t>
  </si>
  <si>
    <t>U541082</t>
  </si>
  <si>
    <t>Schwein Schnitzel (Oberschale) gebraten ohne Fett (Pfanne)</t>
  </si>
  <si>
    <t>U541100</t>
  </si>
  <si>
    <t>Schwein Schnitzel (Oberschale) roh</t>
  </si>
  <si>
    <t>V466162</t>
  </si>
  <si>
    <t>Ente Brust, mit Haut, gebraten ohne Fett (Ofen)</t>
  </si>
  <si>
    <t>V466182</t>
  </si>
  <si>
    <t>Ente Brust, mit Haut, gebraten ohne Fett (Pfanne)</t>
  </si>
  <si>
    <t>V464162</t>
  </si>
  <si>
    <t>Ente Fleisch, mit Haut, gebraten ohne Fett (Ofen)</t>
  </si>
  <si>
    <t>V464182</t>
  </si>
  <si>
    <t>Ente Fleisch, mit Haut, gebraten ohne Fett (Pfanne)</t>
  </si>
  <si>
    <t>V464132</t>
  </si>
  <si>
    <t>Ente Fleisch, mit Haut, gekocht</t>
  </si>
  <si>
    <t>V464142</t>
  </si>
  <si>
    <t>Ente Fleisch, mit Haut, geschmort ohne Fett</t>
  </si>
  <si>
    <t>V464100</t>
  </si>
  <si>
    <t>Ente Fleisch, mit Haut, roh</t>
  </si>
  <si>
    <t>V463162</t>
  </si>
  <si>
    <t>Ente Fleisch, ohne Haut, gebraten ohne Fett (Ofen)</t>
  </si>
  <si>
    <t>V463182</t>
  </si>
  <si>
    <t>Ente Fleisch, ohne Haut, gebraten ohne Fett (Pfanne)</t>
  </si>
  <si>
    <t>V463132</t>
  </si>
  <si>
    <t>Ente Fleisch, ohne Haut, gekocht</t>
  </si>
  <si>
    <t>V463042</t>
  </si>
  <si>
    <t>Ente Fleisch, ohne Haut, geschmort ohne Fett</t>
  </si>
  <si>
    <t>V463000</t>
  </si>
  <si>
    <t>Ente Fleisch, ohne Haut, roh</t>
  </si>
  <si>
    <t>V465162</t>
  </si>
  <si>
    <t>Ente Schenkel, mit Haut, gebraten ohne Fett (Ofen)</t>
  </si>
  <si>
    <t>V465182</t>
  </si>
  <si>
    <t>Ente Schenkel, mit Haut, gebraten ohne Fett (Pfanne)</t>
  </si>
  <si>
    <t>V465142</t>
  </si>
  <si>
    <t>Ente Schenkel, mit Haut, geschmort ohne Fett</t>
  </si>
  <si>
    <t>V465100</t>
  </si>
  <si>
    <t>Ente Schenkel, mit Haut, roh</t>
  </si>
  <si>
    <t>V474162</t>
  </si>
  <si>
    <t>Gans Fleisch, mit Haut, gebraten ohne Fett (Ofen)</t>
  </si>
  <si>
    <t>V474182</t>
  </si>
  <si>
    <t>Gans Fleisch, mit Haut, gebraten ohne Fett (Pfanne)</t>
  </si>
  <si>
    <t>V474132</t>
  </si>
  <si>
    <t>Gans Fleisch, mit Haut, gekocht</t>
  </si>
  <si>
    <t>V474100</t>
  </si>
  <si>
    <t>Gans Fleisch, mit Haut, roh</t>
  </si>
  <si>
    <t>V476162</t>
  </si>
  <si>
    <t>Gans Fleisch, ohne Haut, gebraten ohne Fett (Ofen)</t>
  </si>
  <si>
    <t>V476182</t>
  </si>
  <si>
    <t>Gans Fleisch, ohne Haut, gebraten ohne Fett (Pfanne)</t>
  </si>
  <si>
    <t>V476132</t>
  </si>
  <si>
    <t>Gans Fleisch, ohne Haut, gekocht</t>
  </si>
  <si>
    <t>V471100</t>
  </si>
  <si>
    <t>Gans Fleisch, ohne Haut, roh</t>
  </si>
  <si>
    <t>V475182</t>
  </si>
  <si>
    <t>Gans Schenkel, mit Haut, gebraten ohne Fett (Pfanne)</t>
  </si>
  <si>
    <t>V475142</t>
  </si>
  <si>
    <t>Gans Schenkel, mit Haut, geschmort ohne Fett</t>
  </si>
  <si>
    <t>V475100</t>
  </si>
  <si>
    <t>Gans Schenkel, mit Haut, roh</t>
  </si>
  <si>
    <t>V454162</t>
  </si>
  <si>
    <t>Perlhuhn Fleisch, mit Haut, gebraten ohne Fett (Ofen)</t>
  </si>
  <si>
    <t>V454100</t>
  </si>
  <si>
    <t>Perlhuhn Fleisch, mit Haut, roh</t>
  </si>
  <si>
    <t>V486162</t>
  </si>
  <si>
    <t>Pute Brust, ohne Haut, gebraten ohne Fett (Ofen)</t>
  </si>
  <si>
    <t>V486182</t>
  </si>
  <si>
    <t>Pute Brust, ohne Haut, gebraten ohne Fett (Pfanne)</t>
  </si>
  <si>
    <t>V486132</t>
  </si>
  <si>
    <t>Pute Brust, ohne Haut, gekocht</t>
  </si>
  <si>
    <t>V486142</t>
  </si>
  <si>
    <t>Pute Brust, ohne Haut, geschmort ohne Fett</t>
  </si>
  <si>
    <t>V486100</t>
  </si>
  <si>
    <t>Pute Brust, ohne Haut, roh</t>
  </si>
  <si>
    <t>V484162</t>
  </si>
  <si>
    <t>Pute Fleisch, mit Haut, gebraten ohne Fett (Ofen)</t>
  </si>
  <si>
    <t>V484182</t>
  </si>
  <si>
    <t>Pute Fleisch, mit Haut, gebraten ohne Fett (Pfanne)</t>
  </si>
  <si>
    <t>V484142</t>
  </si>
  <si>
    <t>Pute Fleisch, mit Haut, geschmort ohne Fett</t>
  </si>
  <si>
    <t>V484100</t>
  </si>
  <si>
    <t>Pute Fleisch, mit Haut, roh</t>
  </si>
  <si>
    <t>V481162</t>
  </si>
  <si>
    <t>Pute Fleisch, ohne Haut, gebraten ohne Fett (Ofen)</t>
  </si>
  <si>
    <t>V481182</t>
  </si>
  <si>
    <t>Pute Fleisch, ohne Haut, gebraten ohne Fett (Pfanne)</t>
  </si>
  <si>
    <t>V481132</t>
  </si>
  <si>
    <t>Pute Fleisch, ohne Haut, gekocht</t>
  </si>
  <si>
    <t>V481000</t>
  </si>
  <si>
    <t>Pute Fleisch, ohne Haut, roh</t>
  </si>
  <si>
    <t>V487132</t>
  </si>
  <si>
    <t>Pute Flügel, mit Haut, gekocht</t>
  </si>
  <si>
    <t>V487142</t>
  </si>
  <si>
    <t>Pute Flügel, mit Haut, geschmort ohne Fett</t>
  </si>
  <si>
    <t>V487100</t>
  </si>
  <si>
    <t>Pute Flügel, mit Haut, roh</t>
  </si>
  <si>
    <t>V485162</t>
  </si>
  <si>
    <t>Pute Keule, ohne Haut, gebraten ohne Fett (Ofen)</t>
  </si>
  <si>
    <t>V485182</t>
  </si>
  <si>
    <t>Pute Keule, ohne Haut, gebraten ohne Fett (Pfanne)</t>
  </si>
  <si>
    <t>V485142</t>
  </si>
  <si>
    <t>Pute Keule, ohne Haut, geschmort ohne Fett</t>
  </si>
  <si>
    <t>V485100</t>
  </si>
  <si>
    <t>Pute Keule, ohne Haut, roh</t>
  </si>
  <si>
    <t>V320162</t>
  </si>
  <si>
    <t>Rebhuhn Fleisch, gebraten ohne Fett (Ofen)</t>
  </si>
  <si>
    <t>V320100</t>
  </si>
  <si>
    <t>Rebhuhn Fleisch, roh</t>
  </si>
  <si>
    <t>V432132</t>
  </si>
  <si>
    <t>Suppenhuhn Fleisch, mit Haut, gekocht</t>
  </si>
  <si>
    <t>V434100</t>
  </si>
  <si>
    <t>Suppenhuhn Fleisch, mit Haut, roh</t>
  </si>
  <si>
    <t>V435132</t>
  </si>
  <si>
    <t>Suppenhuhn Schenkel, mit Haut, gekocht</t>
  </si>
  <si>
    <t>V435100</t>
  </si>
  <si>
    <t>Suppenhuhn Schenkel, mit Haut, roh</t>
  </si>
  <si>
    <t>V354162</t>
  </si>
  <si>
    <t>Wachtel Fleisch, ohne Haut, gebraten ohne Fett (Ofen)</t>
  </si>
  <si>
    <t>V351182</t>
  </si>
  <si>
    <t>Wachtel Fleisch, ohne Haut, gebraten ohne Fett (Pfanne)</t>
  </si>
  <si>
    <t>V354142</t>
  </si>
  <si>
    <t>Wachtel Fleisch, ohne Haut, geschmort ohne Fett</t>
  </si>
  <si>
    <t>V354100</t>
  </si>
  <si>
    <t>Wachtel Fleisch, ohne Haut, roh</t>
  </si>
  <si>
    <t>V334162</t>
  </si>
  <si>
    <t>Wildente Fleisch, mit Haut, gebraten ohne Fett (Ofen)</t>
  </si>
  <si>
    <t>V334100</t>
  </si>
  <si>
    <t>Wildente Fleisch, mit Haut, roh</t>
  </si>
  <si>
    <t>V335162</t>
  </si>
  <si>
    <t>Wildente Schenkel, mit Haut, gebraten ohne Fett (Ofen)</t>
  </si>
  <si>
    <t>V335182</t>
  </si>
  <si>
    <t>Wildente Schenkel, mit Haut, gebraten ohne Fett (Pfanne)</t>
  </si>
  <si>
    <t>V335100</t>
  </si>
  <si>
    <t>Wildente Schenkel, mit Haut, roh</t>
  </si>
  <si>
    <t>C335032</t>
  </si>
  <si>
    <t>Amaranth gekocht</t>
  </si>
  <si>
    <t>C530100</t>
  </si>
  <si>
    <t>Amaranth gepufft, ungesüßt</t>
  </si>
  <si>
    <t>C335000</t>
  </si>
  <si>
    <t>Amaranth roh</t>
  </si>
  <si>
    <t>C320032</t>
  </si>
  <si>
    <t>Buchweizen gekocht</t>
  </si>
  <si>
    <t>C326000</t>
  </si>
  <si>
    <t>Buchweizen Grieß</t>
  </si>
  <si>
    <t>C326032</t>
  </si>
  <si>
    <t>Buchweizen Grieß, gekocht</t>
  </si>
  <si>
    <t>C424000</t>
  </si>
  <si>
    <t>Buchweizen Mehl</t>
  </si>
  <si>
    <t>C322000</t>
  </si>
  <si>
    <t>Buchweizen roh</t>
  </si>
  <si>
    <t>&lt;LOD or &lt;LOQ</t>
  </si>
  <si>
    <t>C421000</t>
  </si>
  <si>
    <t>Buchweizen Vollkornmehl</t>
  </si>
  <si>
    <t>C119132</t>
  </si>
  <si>
    <t>Bulgur (Hartweizen) gekocht</t>
  </si>
  <si>
    <t>C119100</t>
  </si>
  <si>
    <t>Bulgur (Hartweizen) roh</t>
  </si>
  <si>
    <t>K420162</t>
  </si>
  <si>
    <t>Batate/Süßkartoffel, gebacken</t>
  </si>
  <si>
    <t>K420182</t>
  </si>
  <si>
    <t>Batate/Süßkartoffel, gebraten ohne Fett (Pfanne)</t>
  </si>
  <si>
    <t>K420132</t>
  </si>
  <si>
    <t>Batate/Süßkartoffel, gekocht</t>
  </si>
  <si>
    <t>C119232</t>
  </si>
  <si>
    <t>Couscous (Hartweizen) gekocht</t>
  </si>
  <si>
    <t>C119200</t>
  </si>
  <si>
    <t>Couscous (Hartweizen) roh</t>
  </si>
  <si>
    <t>C236100</t>
  </si>
  <si>
    <t>Dinkel Flocken</t>
  </si>
  <si>
    <t>C238000</t>
  </si>
  <si>
    <t>Dinkel Grieß</t>
  </si>
  <si>
    <t>C238032</t>
  </si>
  <si>
    <t>Dinkel Grieß, gekocht</t>
  </si>
  <si>
    <t>C237000</t>
  </si>
  <si>
    <t>Dinkel Kleie</t>
  </si>
  <si>
    <t>C234200</t>
  </si>
  <si>
    <t>Dinkel Mehl, Type 1050</t>
  </si>
  <si>
    <t>C234000</t>
  </si>
  <si>
    <t>Dinkel Mehl, Type 630</t>
  </si>
  <si>
    <t>K420100</t>
  </si>
  <si>
    <t>Batate/Süßkartoffel, roh</t>
  </si>
  <si>
    <t>C234100</t>
  </si>
  <si>
    <t>Dinkel Mehl, Type 812</t>
  </si>
  <si>
    <t>C235000</t>
  </si>
  <si>
    <t>Dinkel Vollkornmehl</t>
  </si>
  <si>
    <t>C143000</t>
  </si>
  <si>
    <t>Gerste Flocken</t>
  </si>
  <si>
    <t>C143032</t>
  </si>
  <si>
    <t>Gerste Flocken, gekocht</t>
  </si>
  <si>
    <t>C243000</t>
  </si>
  <si>
    <t>Gerste Mehl</t>
  </si>
  <si>
    <t>C133000</t>
  </si>
  <si>
    <t>Hafer Flocken</t>
  </si>
  <si>
    <t>C133032</t>
  </si>
  <si>
    <t>Hafer Flocken, gekocht</t>
  </si>
  <si>
    <t>C138000</t>
  </si>
  <si>
    <t>Hafer Kleie</t>
  </si>
  <si>
    <t>C233000</t>
  </si>
  <si>
    <t>Hafer Mehl</t>
  </si>
  <si>
    <t>C219232</t>
  </si>
  <si>
    <t>Hartweizen ganzes Korn, gekocht</t>
  </si>
  <si>
    <t>C219200</t>
  </si>
  <si>
    <t>Hartweizen ganzes Korn, roh</t>
  </si>
  <si>
    <t>C219300</t>
  </si>
  <si>
    <t>Hartweizen Grieß</t>
  </si>
  <si>
    <t>C219332</t>
  </si>
  <si>
    <t>Hartweizen Grieß, gekocht</t>
  </si>
  <si>
    <t>C333100</t>
  </si>
  <si>
    <t>Hirse Flocken</t>
  </si>
  <si>
    <t>C333132</t>
  </si>
  <si>
    <t>Hirse Flocken, gekocht</t>
  </si>
  <si>
    <t>C334032</t>
  </si>
  <si>
    <t>Hirse gekocht</t>
  </si>
  <si>
    <t>C433000</t>
  </si>
  <si>
    <t>Hirse Mehl</t>
  </si>
  <si>
    <t>C332000</t>
  </si>
  <si>
    <t>Hirse roh</t>
  </si>
  <si>
    <t>C341032</t>
  </si>
  <si>
    <t>Mais gekocht</t>
  </si>
  <si>
    <t>C341162</t>
  </si>
  <si>
    <t>Mais gekocht, gebacken</t>
  </si>
  <si>
    <t>C443000</t>
  </si>
  <si>
    <t>Mais Mehl</t>
  </si>
  <si>
    <t>C341000</t>
  </si>
  <si>
    <t>Mais roh</t>
  </si>
  <si>
    <t>C446000</t>
  </si>
  <si>
    <t>Mais Stärke</t>
  </si>
  <si>
    <t>C533000</t>
  </si>
  <si>
    <t>Popcorn ungesüßt</t>
  </si>
  <si>
    <t>C530200</t>
  </si>
  <si>
    <t>Quinoa gepufft, ungesüßt</t>
  </si>
  <si>
    <t>C118122</t>
  </si>
  <si>
    <t>Quinoa tricolore, gekocht</t>
  </si>
  <si>
    <t>C118100</t>
  </si>
  <si>
    <t>Quinoa tricolore, roh</t>
  </si>
  <si>
    <t>C118032</t>
  </si>
  <si>
    <t>Quinoa weiß, gekocht</t>
  </si>
  <si>
    <t>C118000</t>
  </si>
  <si>
    <t>Quinoa weiß, roh</t>
  </si>
  <si>
    <t>C532000</t>
  </si>
  <si>
    <t>Reis gepufft, ungesüßt</t>
  </si>
  <si>
    <t>C457000</t>
  </si>
  <si>
    <t>Reis Kleie</t>
  </si>
  <si>
    <t>C453000</t>
  </si>
  <si>
    <t>Reis Mehl</t>
  </si>
  <si>
    <t>C359032</t>
  </si>
  <si>
    <t>Reis parboiled, poliert, gekocht</t>
  </si>
  <si>
    <t>C359000</t>
  </si>
  <si>
    <t>Reis parboiled, poliert, roh</t>
  </si>
  <si>
    <t>C352032</t>
  </si>
  <si>
    <t>Reis poliert, gekocht</t>
  </si>
  <si>
    <t>C352000</t>
  </si>
  <si>
    <t>Reis poliert, roh</t>
  </si>
  <si>
    <t>C456000</t>
  </si>
  <si>
    <t>Reis Stärke</t>
  </si>
  <si>
    <t>C351032</t>
  </si>
  <si>
    <t>Reis unpoliert, gekocht</t>
  </si>
  <si>
    <t>C351000</t>
  </si>
  <si>
    <t>Reis unpoliert, roh</t>
  </si>
  <si>
    <t>C559032</t>
  </si>
  <si>
    <t>Reisnudeln gekocht</t>
  </si>
  <si>
    <t>C559000</t>
  </si>
  <si>
    <t>Reisnudeln roh</t>
  </si>
  <si>
    <t>C532700</t>
  </si>
  <si>
    <t>Reiswaffeln ungesalzen</t>
  </si>
  <si>
    <t>C223300</t>
  </si>
  <si>
    <t>Roggen Mehl, Type 1150</t>
  </si>
  <si>
    <t>C223400</t>
  </si>
  <si>
    <t>Roggen Mehl, Type 1370</t>
  </si>
  <si>
    <t>C223600</t>
  </si>
  <si>
    <t>Roggen Mehl, Type 1740</t>
  </si>
  <si>
    <t>C223100</t>
  </si>
  <si>
    <t>Roggen Mehl, Type 815</t>
  </si>
  <si>
    <t>C223200</t>
  </si>
  <si>
    <t>Roggen Mehl, Type 997</t>
  </si>
  <si>
    <t>C221000</t>
  </si>
  <si>
    <t>Roggen Vollkornmehl</t>
  </si>
  <si>
    <t>K110143</t>
  </si>
  <si>
    <t>Kartoffel geschält, druckgedämpft</t>
  </si>
  <si>
    <t>K110162</t>
  </si>
  <si>
    <t>Kartoffel geschält, gebacken</t>
  </si>
  <si>
    <t>K110182</t>
  </si>
  <si>
    <t>Kartoffel geschält, gebraten ohne Fett (Pfanne)</t>
  </si>
  <si>
    <t>C113000</t>
  </si>
  <si>
    <t>Weizen Flocken</t>
  </si>
  <si>
    <t>K110132</t>
  </si>
  <si>
    <t>Kartoffel geschält, gekocht</t>
  </si>
  <si>
    <t>C113032</t>
  </si>
  <si>
    <t>Weizen Flocken, gekocht</t>
  </si>
  <si>
    <t>K110100</t>
  </si>
  <si>
    <t>Kartoffel geschält, roh</t>
  </si>
  <si>
    <t>C214100</t>
  </si>
  <si>
    <t>Weizen Mehl, Type 405</t>
  </si>
  <si>
    <t>C216000</t>
  </si>
  <si>
    <t>Weizen Stärke</t>
  </si>
  <si>
    <t>K213000</t>
  </si>
  <si>
    <t>Kartoffelpüree Instantpulver</t>
  </si>
  <si>
    <t>C353132</t>
  </si>
  <si>
    <t>Wildreis gekocht</t>
  </si>
  <si>
    <t>C353100</t>
  </si>
  <si>
    <t>Wildreis roh</t>
  </si>
  <si>
    <t>Kohlenhydrate</t>
  </si>
  <si>
    <t>Büffel Muskelfleisch, roh</t>
  </si>
  <si>
    <t>Känguru, Muskelfleisch, roh</t>
  </si>
  <si>
    <t>M302600</t>
  </si>
  <si>
    <t>Bergkäse mind. 45 % Fett i. Tr.</t>
  </si>
  <si>
    <t>M302700</t>
  </si>
  <si>
    <t>Bergkäse mind. 50 % Fett i. Tr.</t>
  </si>
  <si>
    <t>M501600</t>
  </si>
  <si>
    <t>Butterkäse mind. 45 % Fett i. Tr.</t>
  </si>
  <si>
    <t>M501700</t>
  </si>
  <si>
    <t>Butterkäse mind. 50 % Fett i. Tr.</t>
  </si>
  <si>
    <t>M501800</t>
  </si>
  <si>
    <t>Butterkäse mind. 60 % Fett i. Tr.</t>
  </si>
  <si>
    <t>M150000</t>
  </si>
  <si>
    <t>Buttermilch</t>
  </si>
  <si>
    <t>M886000</t>
  </si>
  <si>
    <t>Buttermilchpulver</t>
  </si>
  <si>
    <t>M7B1600</t>
  </si>
  <si>
    <t>Frischkäse aus Schafmilch, Natur, mind. 45 % Fett i. Tr.</t>
  </si>
  <si>
    <t>M7A1600</t>
  </si>
  <si>
    <t>Frischkäse aus Ziegenmilch, Natur, mind. 45 % Fett i. Tr.</t>
  </si>
  <si>
    <t>M820100</t>
  </si>
  <si>
    <t>Frischkäsezubereitung Natur &lt; 10 % Fett i. Tr.</t>
  </si>
  <si>
    <t>M820200</t>
  </si>
  <si>
    <t>Frischkäsezubereitung Natur, mind. 10 % Fett i. Tr.</t>
  </si>
  <si>
    <t>M820500</t>
  </si>
  <si>
    <t>Frischkäsezubereitung Natur, mind. 40 % Fett i. Tr.</t>
  </si>
  <si>
    <t>M820600</t>
  </si>
  <si>
    <t>Frischkäsezubereitung Natur, mind. 45 % Fett i. Tr.</t>
  </si>
  <si>
    <t>M710700</t>
  </si>
  <si>
    <t>Frischkäsezubereitung Natur, mind. 50 % Fett i. Tr.</t>
  </si>
  <si>
    <t>M710800</t>
  </si>
  <si>
    <t>Frischkäsezubereitung Natur, mind. 60 % Fett i. Tr.</t>
  </si>
  <si>
    <t>M300400</t>
  </si>
  <si>
    <t>Hartkäse mind. 30 % Fett i. Tr.</t>
  </si>
  <si>
    <t>M300600</t>
  </si>
  <si>
    <t>Hartkäse mind. 45 % Fett i. Tr.</t>
  </si>
  <si>
    <t>M300700</t>
  </si>
  <si>
    <t>Hartkäse mind. 50 % Fett i. Tr.</t>
  </si>
  <si>
    <t>M141100</t>
  </si>
  <si>
    <t>Joghurt aus entrahmter Milch, max. 0,5 % Fett</t>
  </si>
  <si>
    <t>M1B1100</t>
  </si>
  <si>
    <t>Joghurt aus entrahmter Milch, max. 0,5 % Fett, laktosefrei</t>
  </si>
  <si>
    <t>M141200</t>
  </si>
  <si>
    <t>Joghurt fettarm, mind. 1,5 % bis max. 1,8 % Fett</t>
  </si>
  <si>
    <t>M1B2200</t>
  </si>
  <si>
    <t>Joghurt fettarm, mind. 1,5 % bis max. 1,8 % Fett, laktosefrei</t>
  </si>
  <si>
    <t>M141300</t>
  </si>
  <si>
    <t>Joghurt mild, mind. 3,5 % Fett</t>
  </si>
  <si>
    <t>M1E3300</t>
  </si>
  <si>
    <t>Joghurt mind. 3,5 % Fett, laktosefrei</t>
  </si>
  <si>
    <t>M711100</t>
  </si>
  <si>
    <t>Körniger Frischkäse &lt; 10 % Fett i. Tr.</t>
  </si>
  <si>
    <t>M711300</t>
  </si>
  <si>
    <t>Körniger Frischkäse mind. 20 % Fett i. Tr.</t>
  </si>
  <si>
    <t>M141500</t>
  </si>
  <si>
    <t>Sahnejoghurt mind. 10 % Fett</t>
  </si>
  <si>
    <t>M149500</t>
  </si>
  <si>
    <t>Schafjoghurt</t>
  </si>
  <si>
    <t>M410700</t>
  </si>
  <si>
    <t>Schnittkäse aus Schafmilch, mind. 50 % Fett i. Tr.</t>
  </si>
  <si>
    <t>M6A3700</t>
  </si>
  <si>
    <t>Schnittkäse aus Ziegenmilch, mind. 50 % Fett i. Tr.</t>
  </si>
  <si>
    <t>M500300</t>
  </si>
  <si>
    <t>Schnittkäse halbfest mind. 20 % Fett i. Tr.</t>
  </si>
  <si>
    <t>M500400</t>
  </si>
  <si>
    <t>Schnittkäse halbfest mind. 30 % Fett i. Tr.</t>
  </si>
  <si>
    <t>M500500</t>
  </si>
  <si>
    <t>Schnittkäse halbfest mind. 40 % Fett i. Tr.</t>
  </si>
  <si>
    <t>M500600</t>
  </si>
  <si>
    <t>Schnittkäse halbfest mind. 45 % Fett i. Tr.</t>
  </si>
  <si>
    <t>M500700</t>
  </si>
  <si>
    <t>Schnittkäse halbfest mind. 50 % Fett i. Tr.</t>
  </si>
  <si>
    <t>M500800</t>
  </si>
  <si>
    <t>Schnittkäse halbfest mind. 60 % Fett i. Tr.</t>
  </si>
  <si>
    <t>M400300</t>
  </si>
  <si>
    <t>Schnittkäse mind. 20 % Fett i. Tr.</t>
  </si>
  <si>
    <t>M400400</t>
  </si>
  <si>
    <t>Schnittkäse mind. 30 % Fett i. Tr.</t>
  </si>
  <si>
    <t>M400500</t>
  </si>
  <si>
    <t>Schnittkäse mind. 40 % Fett i. Tr.</t>
  </si>
  <si>
    <t>M400600</t>
  </si>
  <si>
    <t>Schnittkäse mind. 45 % Fett i. Tr.</t>
  </si>
  <si>
    <t>M400700</t>
  </si>
  <si>
    <t>Schnittkäse mind. 50 % Fett i. Tr.</t>
  </si>
  <si>
    <t>M400800</t>
  </si>
  <si>
    <t>Schnittkäse mind. 60 % Fett i. Tr.</t>
  </si>
  <si>
    <t>M710100</t>
  </si>
  <si>
    <t>Skyr, Frischkäse &lt; 10 % Fett i. Tr.</t>
  </si>
  <si>
    <t>M6A5700</t>
  </si>
  <si>
    <t>Weichkäse aus Schafmilch, mind. 45 % Fett i. Tr.</t>
  </si>
  <si>
    <t>M6A9600</t>
  </si>
  <si>
    <t>Weichkäse aus Ziegenmilch, mind. 45 % Fett i. Tr.</t>
  </si>
  <si>
    <t>M600300</t>
  </si>
  <si>
    <t>Weichkäse mind. 20 % Fett i. Tr.</t>
  </si>
  <si>
    <t>M600400</t>
  </si>
  <si>
    <t>Weichkäse mind. 30 % Fett i. Tr.</t>
  </si>
  <si>
    <t>M600500</t>
  </si>
  <si>
    <t>Weichkäse mind. 40 % Fett i. Tr.</t>
  </si>
  <si>
    <t>M600600</t>
  </si>
  <si>
    <t>Weichkäse mind. 45 % Fett i. Tr.</t>
  </si>
  <si>
    <t>M600700</t>
  </si>
  <si>
    <t>Weichkäse mind. 50 % Fett i. Tr.</t>
  </si>
  <si>
    <t>M600800</t>
  </si>
  <si>
    <t>Weichkäse mind. 60 % Fett i. Tr.</t>
  </si>
  <si>
    <t>M600900</t>
  </si>
  <si>
    <t>Weichkäse mind. 70 % Fett i. Tr.</t>
  </si>
  <si>
    <t>Milchprodukte</t>
  </si>
  <si>
    <t>E131132</t>
  </si>
  <si>
    <t>Entenei gekocht</t>
  </si>
  <si>
    <t>E131100</t>
  </si>
  <si>
    <t>Entenei roh</t>
  </si>
  <si>
    <t>E112162</t>
  </si>
  <si>
    <t>Hühnerei Eigelb, gebacken</t>
  </si>
  <si>
    <t>E112182</t>
  </si>
  <si>
    <t>Hühnerei Eigelb, gebraten ohne Fett (Pfanne)</t>
  </si>
  <si>
    <t>E141100</t>
  </si>
  <si>
    <t>Gänseei roh</t>
  </si>
  <si>
    <t>E112132</t>
  </si>
  <si>
    <t>Hühnerei Eigelb, gekocht</t>
  </si>
  <si>
    <t>E112400</t>
  </si>
  <si>
    <t>Hühnerei Eigelb, getrocknet</t>
  </si>
  <si>
    <t>E112500</t>
  </si>
  <si>
    <t>Hühnerei Eigelb, Pulver</t>
  </si>
  <si>
    <t>E112100</t>
  </si>
  <si>
    <t>Hühnerei Eigelb, roh</t>
  </si>
  <si>
    <t>E113162</t>
  </si>
  <si>
    <t>Hühnerei Eiklar, gebacken</t>
  </si>
  <si>
    <t>E113182</t>
  </si>
  <si>
    <t>Hühnerei Eiklar, gebraten ohne Fett (Pfanne)</t>
  </si>
  <si>
    <t>E113132</t>
  </si>
  <si>
    <t>Hühnerei Eiklar, gekocht</t>
  </si>
  <si>
    <t>E141132</t>
  </si>
  <si>
    <t>Gänseei gekocht</t>
  </si>
  <si>
    <t>E113400</t>
  </si>
  <si>
    <t>Hühnerei Eiklar, getrocknet</t>
  </si>
  <si>
    <t>E108122</t>
  </si>
  <si>
    <t>Hühnerei Eiklar, pochiert</t>
  </si>
  <si>
    <t>E113500</t>
  </si>
  <si>
    <t>Hühnerei Eiklar, Pulver</t>
  </si>
  <si>
    <t>E113100</t>
  </si>
  <si>
    <t>Hühnerei Eiklar, roh</t>
  </si>
  <si>
    <t>E111162</t>
  </si>
  <si>
    <t>Hühnerei gebacken</t>
  </si>
  <si>
    <t>E111182</t>
  </si>
  <si>
    <t>Hühnerei gebraten ohne Fett (Pfanne)</t>
  </si>
  <si>
    <t>E111132</t>
  </si>
  <si>
    <t>Hühnerei gekocht</t>
  </si>
  <si>
    <t>E107122</t>
  </si>
  <si>
    <t>Hühnerei pochiert</t>
  </si>
  <si>
    <t>E111500</t>
  </si>
  <si>
    <t>Hühnerei Pulver</t>
  </si>
  <si>
    <t>E111100</t>
  </si>
  <si>
    <t>Hühnerei roh</t>
  </si>
  <si>
    <t>E105182</t>
  </si>
  <si>
    <t>Wachtelei gebraten ohne Fett (Pfanne)</t>
  </si>
  <si>
    <t>E101132</t>
  </si>
  <si>
    <t>Wachtelei gekocht</t>
  </si>
  <si>
    <t>E106100</t>
  </si>
  <si>
    <t>Wachtelei roh</t>
  </si>
  <si>
    <t>Eier</t>
  </si>
  <si>
    <t>G311162</t>
  </si>
  <si>
    <t>Blumenkohl gebacken</t>
  </si>
  <si>
    <t>G311182</t>
  </si>
  <si>
    <t>Blumenkohl gebraten ohne Fett (Pfanne)</t>
  </si>
  <si>
    <t>G311142</t>
  </si>
  <si>
    <t>Blumenkohl gedämpft</t>
  </si>
  <si>
    <t>G311152</t>
  </si>
  <si>
    <t>Blumenkohl gedünstet</t>
  </si>
  <si>
    <t>G311132</t>
  </si>
  <si>
    <t>Blumenkohl gekocht</t>
  </si>
  <si>
    <t>G311100</t>
  </si>
  <si>
    <t>Blumenkohl roh</t>
  </si>
  <si>
    <t>G312162</t>
  </si>
  <si>
    <t>Broccoli gebacken</t>
  </si>
  <si>
    <t>G312182</t>
  </si>
  <si>
    <t>Broccoli gebraten ohne Fett (Pfanne)</t>
  </si>
  <si>
    <t>G312152</t>
  </si>
  <si>
    <t>Broccoli gedünstet</t>
  </si>
  <si>
    <t>G312132</t>
  </si>
  <si>
    <t>Broccoli gekocht</t>
  </si>
  <si>
    <t>G312100</t>
  </si>
  <si>
    <t>Broccoli roh</t>
  </si>
  <si>
    <t>G101162</t>
  </si>
  <si>
    <t>Chicoree gebacken</t>
  </si>
  <si>
    <t>G101182</t>
  </si>
  <si>
    <t>Chicoree gebraten ohne Fett (Pfanne)</t>
  </si>
  <si>
    <t>G101152</t>
  </si>
  <si>
    <t>Chicoree gedünstet</t>
  </si>
  <si>
    <t>G101100</t>
  </si>
  <si>
    <t>Chicoree roh</t>
  </si>
  <si>
    <t>G103100</t>
  </si>
  <si>
    <t>Eisbergsalat roh</t>
  </si>
  <si>
    <t>G104100</t>
  </si>
  <si>
    <t>Feldsalat/Rapunzel, roh</t>
  </si>
  <si>
    <t>G430162</t>
  </si>
  <si>
    <t>Gemüsefenchel gebacken</t>
  </si>
  <si>
    <t>G430182</t>
  </si>
  <si>
    <t>Gemüsefenchel gebraten ohne Fett (Pfanne)</t>
  </si>
  <si>
    <t>G430152</t>
  </si>
  <si>
    <t>Gemüsefenchel gedünstet</t>
  </si>
  <si>
    <t>G430132</t>
  </si>
  <si>
    <t>Gemüsefenchel gekocht</t>
  </si>
  <si>
    <t>G430100</t>
  </si>
  <si>
    <t>Gemüsefenchel roh</t>
  </si>
  <si>
    <t>G992152</t>
  </si>
  <si>
    <t>Gemüsemischung Erbsen-Karotten, gedünstet</t>
  </si>
  <si>
    <t>G992132</t>
  </si>
  <si>
    <t>Gemüsemischung Erbsen-Karotten, gekocht</t>
  </si>
  <si>
    <t>G992100</t>
  </si>
  <si>
    <t>Gemüsemischung Erbsen-Karotten, roh</t>
  </si>
  <si>
    <t>G992200</t>
  </si>
  <si>
    <t>Gemüsemischung Erbsen-Karotten, tiefgefroren</t>
  </si>
  <si>
    <t>G992252</t>
  </si>
  <si>
    <t>Gemüsemischung Erbsen-Karotten, tiefgefroren, gedünstet</t>
  </si>
  <si>
    <t>G992232</t>
  </si>
  <si>
    <t>Gemüsemischung Erbsen-Karotten, tiefgefroren, gekocht</t>
  </si>
  <si>
    <t>G090132</t>
  </si>
  <si>
    <t>Gemüsemischung Kaisergemüse, gekocht</t>
  </si>
  <si>
    <t>G090100</t>
  </si>
  <si>
    <t>Gemüsemischung Kaisergemüse, roh</t>
  </si>
  <si>
    <t>G090200</t>
  </si>
  <si>
    <t>Gemüsemischung Kaisergemüse, tiefgefroren</t>
  </si>
  <si>
    <t>G090232</t>
  </si>
  <si>
    <t>Gemüsemischung Kaisergemüse, tiefgefroren, gekocht</t>
  </si>
  <si>
    <t>G542132</t>
  </si>
  <si>
    <t>Gemüsepaprika gelb, gekocht</t>
  </si>
  <si>
    <t>G542100</t>
  </si>
  <si>
    <t>Gemüsepaprika gelb, roh</t>
  </si>
  <si>
    <t>G543032</t>
  </si>
  <si>
    <t>Gemüsepaprika rot, gekocht</t>
  </si>
  <si>
    <t>G543100</t>
  </si>
  <si>
    <t>Gemüsepaprika rot, roh</t>
  </si>
  <si>
    <t>G620600</t>
  </si>
  <si>
    <t>Gemüsesaft aus Karotte/Möhre</t>
  </si>
  <si>
    <t>G520152</t>
  </si>
  <si>
    <t>Gurke gedünstet</t>
  </si>
  <si>
    <t>G520132</t>
  </si>
  <si>
    <t>Gurke gekocht</t>
  </si>
  <si>
    <t>G520100</t>
  </si>
  <si>
    <t>Gurke roh</t>
  </si>
  <si>
    <t>G620162</t>
  </si>
  <si>
    <t>Karotte/Möhre, gebacken</t>
  </si>
  <si>
    <t>G620182</t>
  </si>
  <si>
    <t>Karotte/Möhre, gebraten ohne Fett (Pfanne)</t>
  </si>
  <si>
    <t>G620152</t>
  </si>
  <si>
    <t>Karotte/Möhre, gedünstet</t>
  </si>
  <si>
    <t>G620132</t>
  </si>
  <si>
    <t>Karotte/Möhre, gekocht</t>
  </si>
  <si>
    <t>G620142</t>
  </si>
  <si>
    <t>Karotte/Möhre, geschmort ohne Fett</t>
  </si>
  <si>
    <t>G620100</t>
  </si>
  <si>
    <t>Karotte/Möhre, roh</t>
  </si>
  <si>
    <t>G620200</t>
  </si>
  <si>
    <t>Karotte/Möhre, tiefgefroren</t>
  </si>
  <si>
    <t>G620262</t>
  </si>
  <si>
    <t>Karotte/Möhre, tiefgefroren, gebacken</t>
  </si>
  <si>
    <t>G620282</t>
  </si>
  <si>
    <t>Karotte/Möhre, tiefgefroren, gebraten ohne Fett (Pfanne)</t>
  </si>
  <si>
    <t>G620252</t>
  </si>
  <si>
    <t>Karotte/Möhre, tiefgefroren, gedünstet</t>
  </si>
  <si>
    <t>G620232</t>
  </si>
  <si>
    <t>Karotte/Möhre, tiefgefroren, gekocht</t>
  </si>
  <si>
    <t>G620242</t>
  </si>
  <si>
    <t>Karotte/Möhre, tiefgefroren, geschmort ohne Fett</t>
  </si>
  <si>
    <t>G331162</t>
  </si>
  <si>
    <t>Kohlrabi gebacken</t>
  </si>
  <si>
    <t>G331182</t>
  </si>
  <si>
    <t>Kohlrabi gebraten ohne Fett (Pfanne)</t>
  </si>
  <si>
    <t>G331152</t>
  </si>
  <si>
    <t>Kohlrabi gedünstet</t>
  </si>
  <si>
    <t>G331132</t>
  </si>
  <si>
    <t>Kohlrabi gekocht</t>
  </si>
  <si>
    <t>G331100</t>
  </si>
  <si>
    <t>Kohlrabi roh</t>
  </si>
  <si>
    <t>G611152</t>
  </si>
  <si>
    <t>Kohlrübe/Steckrübe, gedünstet</t>
  </si>
  <si>
    <t>G611132</t>
  </si>
  <si>
    <t>Kohlrübe/Steckrübe, gekocht</t>
  </si>
  <si>
    <t>G611100</t>
  </si>
  <si>
    <t>Kohlrübe/Steckrübe, roh</t>
  </si>
  <si>
    <t>G105100</t>
  </si>
  <si>
    <t>Kopfsalat roh</t>
  </si>
  <si>
    <t>G581062</t>
  </si>
  <si>
    <t>Kürbis Hokkaido (C. maxima) gebacken</t>
  </si>
  <si>
    <t>G581082</t>
  </si>
  <si>
    <t>Kürbis Hokkaido (C. maxima) gebraten ohne Fett (Pfanne)</t>
  </si>
  <si>
    <t>G581052</t>
  </si>
  <si>
    <t>Kürbis Hokkaido (C. maxima) gedünstet</t>
  </si>
  <si>
    <t>G581032</t>
  </si>
  <si>
    <t>Kürbis Hokkaido (C. maxima) gekocht</t>
  </si>
  <si>
    <t>G581042</t>
  </si>
  <si>
    <t>Kürbis Hokkaido (C. maxima) geschmort ohne Fett</t>
  </si>
  <si>
    <t>G581000</t>
  </si>
  <si>
    <t>Kürbis Hokkaido (C. maxima) roh</t>
  </si>
  <si>
    <t>G640162</t>
  </si>
  <si>
    <t>Pastinake gebacken</t>
  </si>
  <si>
    <t>G640182</t>
  </si>
  <si>
    <t>Pastinake gebraten ohne Fett (Pfanne)</t>
  </si>
  <si>
    <t>G640152</t>
  </si>
  <si>
    <t>Pastinake gedünstet</t>
  </si>
  <si>
    <t>G640132</t>
  </si>
  <si>
    <t>Pastinake gekocht</t>
  </si>
  <si>
    <t>G640142</t>
  </si>
  <si>
    <t>Pastinake geschmort ohne Fett</t>
  </si>
  <si>
    <t>G640100</t>
  </si>
  <si>
    <t>Pastinake roh</t>
  </si>
  <si>
    <t>G250400</t>
  </si>
  <si>
    <t>Petersilienblatt getrocknet</t>
  </si>
  <si>
    <t>G250100</t>
  </si>
  <si>
    <t>Petersilienblatt roh</t>
  </si>
  <si>
    <t>G250200</t>
  </si>
  <si>
    <t>Petersilienblatt tiefgefroren</t>
  </si>
  <si>
    <t>G613152</t>
  </si>
  <si>
    <t>Rote Rübe/Rote Bete, gedünstet</t>
  </si>
  <si>
    <t>G613132</t>
  </si>
  <si>
    <t>Rote Rübe/Rote Bete, gekocht</t>
  </si>
  <si>
    <t>G613100</t>
  </si>
  <si>
    <t>Rote Rübe/Rote Bete, roh</t>
  </si>
  <si>
    <t>G130100</t>
  </si>
  <si>
    <t>Rucola roh</t>
  </si>
  <si>
    <t>G561132</t>
  </si>
  <si>
    <t>Tomate gekocht</t>
  </si>
  <si>
    <t>G561100</t>
  </si>
  <si>
    <t>Tomate roh</t>
  </si>
  <si>
    <t>G614152</t>
  </si>
  <si>
    <t>Weiße Rübe/Wasserrübe/Herbstrübe, gedünstet</t>
  </si>
  <si>
    <t>G614132</t>
  </si>
  <si>
    <t>Weiße Rübe/Wasserrübe/Herbstrübe, gekocht</t>
  </si>
  <si>
    <t>G614100</t>
  </si>
  <si>
    <t>Weiße Rübe/Wasserrübe/Herbstrübe, roh</t>
  </si>
  <si>
    <t>G582162</t>
  </si>
  <si>
    <t>Zucchini gebacken</t>
  </si>
  <si>
    <t>G582182</t>
  </si>
  <si>
    <t>Zucchini gebraten ohne Fett (Pfanne)</t>
  </si>
  <si>
    <t>G582152</t>
  </si>
  <si>
    <t>Zucchini gedünstet</t>
  </si>
  <si>
    <t>G582132</t>
  </si>
  <si>
    <t>Zucchini gekocht</t>
  </si>
  <si>
    <t>G582142</t>
  </si>
  <si>
    <t>Zucchini geschmort ohne Fett</t>
  </si>
  <si>
    <t>G582100</t>
  </si>
  <si>
    <t>Zucchini roh</t>
  </si>
  <si>
    <t>Gemüse</t>
  </si>
  <si>
    <t>F110152</t>
  </si>
  <si>
    <t>Apfel gedünstet</t>
  </si>
  <si>
    <t>F120400</t>
  </si>
  <si>
    <t>Apfel geschält, getrocknet</t>
  </si>
  <si>
    <t>F120100</t>
  </si>
  <si>
    <t>Apfel geschält, roh</t>
  </si>
  <si>
    <t>F110400</t>
  </si>
  <si>
    <t>Apfel getrocknet</t>
  </si>
  <si>
    <t>F110100</t>
  </si>
  <si>
    <t>Apfel roh</t>
  </si>
  <si>
    <t>F923900</t>
  </si>
  <si>
    <t>Apfelkompott/Apfelmark, ungesüßt, Konserve</t>
  </si>
  <si>
    <t>F503400</t>
  </si>
  <si>
    <t>Banane getrocknet</t>
  </si>
  <si>
    <t>F503100</t>
  </si>
  <si>
    <t>Banane roh</t>
  </si>
  <si>
    <t>F130152</t>
  </si>
  <si>
    <t>Birne gedünstet</t>
  </si>
  <si>
    <t>F130100</t>
  </si>
  <si>
    <t>Birne roh</t>
  </si>
  <si>
    <t>F131902</t>
  </si>
  <si>
    <t>Birne ungesüßt, Konserve, abgetropft</t>
  </si>
  <si>
    <t>F303400</t>
  </si>
  <si>
    <t>Brombeere getrocknet</t>
  </si>
  <si>
    <t>F303100</t>
  </si>
  <si>
    <t>Brombeere roh</t>
  </si>
  <si>
    <t>F301100</t>
  </si>
  <si>
    <t>Erdbeere roh</t>
  </si>
  <si>
    <t>F304100</t>
  </si>
  <si>
    <t>Heidelbeere roh</t>
  </si>
  <si>
    <t>F302400</t>
  </si>
  <si>
    <t>Himbeere getrocknet</t>
  </si>
  <si>
    <t>F302100</t>
  </si>
  <si>
    <t>Himbeere roh</t>
  </si>
  <si>
    <t>F411100</t>
  </si>
  <si>
    <t>Wald-Himbeere roh</t>
  </si>
  <si>
    <t>F535100</t>
  </si>
  <si>
    <t>Wassermelone roh</t>
  </si>
  <si>
    <t>Obst</t>
  </si>
  <si>
    <t>H170100</t>
  </si>
  <si>
    <t>H310100</t>
  </si>
  <si>
    <t>H430100</t>
  </si>
  <si>
    <t>H130100</t>
  </si>
  <si>
    <t>Haselnuss</t>
  </si>
  <si>
    <t>H130400</t>
  </si>
  <si>
    <t>Haselnuss gemahlen</t>
  </si>
  <si>
    <t>F960800</t>
  </si>
  <si>
    <t>Cashewnussmus</t>
  </si>
  <si>
    <t>H130800</t>
  </si>
  <si>
    <t>Haselnussmus</t>
  </si>
  <si>
    <t>H154000</t>
  </si>
  <si>
    <t>Kokosmilch/Kokosnussmilch</t>
  </si>
  <si>
    <t>H120100</t>
  </si>
  <si>
    <t>Walnuss</t>
  </si>
  <si>
    <t>H120400</t>
  </si>
  <si>
    <t>Walnuss gemahlen</t>
  </si>
  <si>
    <t>Nüsse/Kerne</t>
  </si>
  <si>
    <t>Q250000</t>
  </si>
  <si>
    <t>Kürbiskernöl</t>
  </si>
  <si>
    <t>Q310000</t>
  </si>
  <si>
    <t>Walnussöl</t>
  </si>
  <si>
    <t>Q120000</t>
  </si>
  <si>
    <t>Olivenöl</t>
  </si>
  <si>
    <t>Q550000</t>
  </si>
  <si>
    <t>Kokosöl</t>
  </si>
  <si>
    <t>Q180000</t>
  </si>
  <si>
    <t>Rapsöl/Rüböl</t>
  </si>
  <si>
    <t>Q260000</t>
  </si>
  <si>
    <t>Maiskeimöl</t>
  </si>
  <si>
    <t>Q320000</t>
  </si>
  <si>
    <t>Sonnenblumenöl</t>
  </si>
  <si>
    <t>Q730000</t>
  </si>
  <si>
    <t>Fischleberöl/Lebertran</t>
  </si>
  <si>
    <t>Q330000</t>
  </si>
  <si>
    <t>Traubenkernöl</t>
  </si>
  <si>
    <t>Q340000</t>
  </si>
  <si>
    <t>Distelöl/Safloröl</t>
  </si>
  <si>
    <t>Q160000</t>
  </si>
  <si>
    <t>Leinöl</t>
  </si>
  <si>
    <t>Q170000</t>
  </si>
  <si>
    <t>Hanföl</t>
  </si>
  <si>
    <t>Q220000</t>
  </si>
  <si>
    <t>Weizenkeimöl</t>
  </si>
  <si>
    <t>Fischprodukte</t>
  </si>
  <si>
    <t>U805800</t>
  </si>
  <si>
    <t>Schaf Fettgewebe, intermuskulär roh</t>
  </si>
  <si>
    <t>U807100</t>
  </si>
  <si>
    <t>Lamm Fettgewebe, intermuskulär roh</t>
  </si>
  <si>
    <t>U405800</t>
  </si>
  <si>
    <t>Kalb Fettgewebe, intermuskulär roh</t>
  </si>
  <si>
    <t>U405000</t>
  </si>
  <si>
    <t>Kalb Fettgewebe, subkutan roh</t>
  </si>
  <si>
    <t>U205000</t>
  </si>
  <si>
    <t>Rind Fettgewebe, subkutan roh</t>
  </si>
  <si>
    <t>Fette</t>
  </si>
  <si>
    <t>E401000</t>
  </si>
  <si>
    <t>Teigwaren eifrei, roh</t>
  </si>
  <si>
    <t>E401032</t>
  </si>
  <si>
    <t>Teigwaren eifrei, gekocht</t>
  </si>
  <si>
    <t>E432000</t>
  </si>
  <si>
    <t>Eierteigwaren roh</t>
  </si>
  <si>
    <t>E432032</t>
  </si>
  <si>
    <t>Eierteigwaren gekocht</t>
  </si>
  <si>
    <t>E500032</t>
  </si>
  <si>
    <t>Vollkornteigwaren eifrei, gekocht</t>
  </si>
  <si>
    <t>E510000</t>
  </si>
  <si>
    <t>Vollkornteigwaren eifrei, roh</t>
  </si>
  <si>
    <t>E530000</t>
  </si>
  <si>
    <t>Vollkorneierteigwaren roh</t>
  </si>
  <si>
    <t>E530032</t>
  </si>
  <si>
    <t>Vollkorneierteigwaren gekocht</t>
  </si>
  <si>
    <t>E612132</t>
  </si>
  <si>
    <t>Eierteigwaren glutenfrei, gekocht</t>
  </si>
  <si>
    <t>E632000</t>
  </si>
  <si>
    <t>Dinkelteigwaren eifrei, roh</t>
  </si>
  <si>
    <t>E632032</t>
  </si>
  <si>
    <t>Dinkelteigwaren eifrei, gekocht</t>
  </si>
  <si>
    <t>E632100</t>
  </si>
  <si>
    <t>Dinkeleierteigwaren roh</t>
  </si>
  <si>
    <t>E632132</t>
  </si>
  <si>
    <t>Dinkeleierteigwaren gekocht</t>
  </si>
  <si>
    <t>E632200</t>
  </si>
  <si>
    <t>Dinkelvollkornteigwaren eifrei, roh</t>
  </si>
  <si>
    <t>E632232</t>
  </si>
  <si>
    <t>Dinkelvollkornteigwaren eifrei, gekocht</t>
  </si>
  <si>
    <t>E632300</t>
  </si>
  <si>
    <t>Dinkelvollkorneierteigwaren roh</t>
  </si>
  <si>
    <t>E632332</t>
  </si>
  <si>
    <t>Dinkelvollkorneierteigwaren gekocht</t>
  </si>
  <si>
    <t>E811000</t>
  </si>
  <si>
    <t>Frischteigwaren eifrei, roh</t>
  </si>
  <si>
    <t>E811032</t>
  </si>
  <si>
    <t>Frischteigwaren eifrei, gekocht</t>
  </si>
  <si>
    <t>F321100</t>
  </si>
  <si>
    <t>Johannisbeere rot, roh</t>
  </si>
  <si>
    <t>H030432</t>
  </si>
  <si>
    <t>Glasnudeln aus Mungbohnenstärke, gekocht</t>
  </si>
  <si>
    <t>H720400</t>
  </si>
  <si>
    <t>Kichererbsenmehl</t>
  </si>
  <si>
    <t>H731400</t>
  </si>
  <si>
    <t>Lupinenmehl</t>
  </si>
  <si>
    <t>K512000</t>
  </si>
  <si>
    <t>Tapioka/Tapiokastärke</t>
  </si>
  <si>
    <t>V635182</t>
  </si>
  <si>
    <t>Ente Leber, gebraten ohne Fett (Pfanne)</t>
  </si>
  <si>
    <t>V635100</t>
  </si>
  <si>
    <t>Ente Leber, roh</t>
  </si>
  <si>
    <t>V636182</t>
  </si>
  <si>
    <t>Gans Leber, gebraten ohne Fett (Pfanne)</t>
  </si>
  <si>
    <t>V636100</t>
  </si>
  <si>
    <t>Gans Leber, roh</t>
  </si>
  <si>
    <t>V614182</t>
  </si>
  <si>
    <t>Hähnchen Herz, gebraten ohne Fett (Pfanne)</t>
  </si>
  <si>
    <t>V614142</t>
  </si>
  <si>
    <t>Hähnchen Herz, geschmort ohne Fett</t>
  </si>
  <si>
    <t>V614100</t>
  </si>
  <si>
    <t>Hähnchen Herz, roh</t>
  </si>
  <si>
    <t>V634182</t>
  </si>
  <si>
    <t>Hähnchen Leber, gebraten ohne Fett (Pfanne)</t>
  </si>
  <si>
    <t>V634100</t>
  </si>
  <si>
    <t>Hähnchen Leber, roh</t>
  </si>
  <si>
    <t>V516182</t>
  </si>
  <si>
    <t>Hammel Herz, gebraten ohne Fett (Pfanne)</t>
  </si>
  <si>
    <t>V516142</t>
  </si>
  <si>
    <t>Hammel Herz, geschmort ohne Fett</t>
  </si>
  <si>
    <t>V536182</t>
  </si>
  <si>
    <t>Hammel Leber, gebraten ohne Fett (Pfanne)</t>
  </si>
  <si>
    <t>V536100</t>
  </si>
  <si>
    <t>Hammel Leber, roh</t>
  </si>
  <si>
    <t>V546132</t>
  </si>
  <si>
    <t>Hammel Lunge, gekocht</t>
  </si>
  <si>
    <t>V546100</t>
  </si>
  <si>
    <t>Hammel Lunge, roh</t>
  </si>
  <si>
    <t>V566100</t>
  </si>
  <si>
    <t>Hammel Milz, roh</t>
  </si>
  <si>
    <t>V576142</t>
  </si>
  <si>
    <t>Hammel Niere, geschmort ohne Fett</t>
  </si>
  <si>
    <t>V576100</t>
  </si>
  <si>
    <t>Hammel Niere, roh</t>
  </si>
  <si>
    <t>V512182</t>
  </si>
  <si>
    <t>Kalb Herz, gebraten ohne Fett (Pfanne)</t>
  </si>
  <si>
    <t>V512142</t>
  </si>
  <si>
    <t>Kalb Herz, geschmort ohne Fett</t>
  </si>
  <si>
    <t>V512100</t>
  </si>
  <si>
    <t>Kalb Herz, roh</t>
  </si>
  <si>
    <t>V532182</t>
  </si>
  <si>
    <t>Kalb Leber, gebraten ohne Fett (Pfanne)</t>
  </si>
  <si>
    <t>V532100</t>
  </si>
  <si>
    <t>Kalb Leber, roh</t>
  </si>
  <si>
    <t>V542132</t>
  </si>
  <si>
    <t>Kalb Lunge, gekocht</t>
  </si>
  <si>
    <t>V542100</t>
  </si>
  <si>
    <t>Kalb Lunge, roh</t>
  </si>
  <si>
    <t>V562100</t>
  </si>
  <si>
    <t>Kalb Milz, roh</t>
  </si>
  <si>
    <t>V572142</t>
  </si>
  <si>
    <t>Kalb Niere, geschmort ohne Fett</t>
  </si>
  <si>
    <t>V572100</t>
  </si>
  <si>
    <t>Kalb Niere, roh</t>
  </si>
  <si>
    <t>V515182</t>
  </si>
  <si>
    <t>Lamm Herz, gebraten ohne Fett (Pfanne)</t>
  </si>
  <si>
    <t>V515142</t>
  </si>
  <si>
    <t>Lamm Herz, geschmort ohne Fett</t>
  </si>
  <si>
    <t>V515100</t>
  </si>
  <si>
    <t>Lamm Herz, roh</t>
  </si>
  <si>
    <t>V535182</t>
  </si>
  <si>
    <t>Lamm Leber, gebraten ohne Fett (Pfanne)</t>
  </si>
  <si>
    <t>V535100</t>
  </si>
  <si>
    <t>Lamm Leber, roh</t>
  </si>
  <si>
    <t>V565100</t>
  </si>
  <si>
    <t>Lamm Milz, roh</t>
  </si>
  <si>
    <t>V575142</t>
  </si>
  <si>
    <t>Lamm Niere, geschmort ohne Fett</t>
  </si>
  <si>
    <t>V575100</t>
  </si>
  <si>
    <t>Lamm Niere, roh</t>
  </si>
  <si>
    <t>V511182</t>
  </si>
  <si>
    <t>Rind Herz, gebraten ohne Fett (Pfanne)</t>
  </si>
  <si>
    <t>V511142</t>
  </si>
  <si>
    <t>Rind Herz, geschmort ohne Fett</t>
  </si>
  <si>
    <t>V511100</t>
  </si>
  <si>
    <t>Rind Herz, roh</t>
  </si>
  <si>
    <t>V531182</t>
  </si>
  <si>
    <t>Rind Leber, gebraten ohne Fett (Pfanne)</t>
  </si>
  <si>
    <t>V531100</t>
  </si>
  <si>
    <t>Rind Leber, roh</t>
  </si>
  <si>
    <t>V541132</t>
  </si>
  <si>
    <t>Rind Lunge, gekocht</t>
  </si>
  <si>
    <t>V541100</t>
  </si>
  <si>
    <t>Rind Lunge, roh</t>
  </si>
  <si>
    <t>V561100</t>
  </si>
  <si>
    <t>Rind Milz, roh</t>
  </si>
  <si>
    <t>V571100</t>
  </si>
  <si>
    <t>Rind Niere, roh</t>
  </si>
  <si>
    <t>V514182</t>
  </si>
  <si>
    <t>Schaf Herz, gebraten ohne Fett (Pfanne)</t>
  </si>
  <si>
    <t>V514142</t>
  </si>
  <si>
    <t>Schaf Herz, geschmort ohne Fett</t>
  </si>
  <si>
    <t>V514100</t>
  </si>
  <si>
    <t>Schaf Herz, roh</t>
  </si>
  <si>
    <t>V534182</t>
  </si>
  <si>
    <t>Schaf Leber, gebraten ohne Fett (Pfanne)</t>
  </si>
  <si>
    <t>V534100</t>
  </si>
  <si>
    <t>Schaf Leber, roh</t>
  </si>
  <si>
    <t>V544132</t>
  </si>
  <si>
    <t>Schaf Lunge, gekocht</t>
  </si>
  <si>
    <t>V544100</t>
  </si>
  <si>
    <t>Schaf Lunge, roh</t>
  </si>
  <si>
    <t>V564100</t>
  </si>
  <si>
    <t>Schaf Milz, roh</t>
  </si>
  <si>
    <t>V574142</t>
  </si>
  <si>
    <t>Schaf Niere, geschmort ohne Fett</t>
  </si>
  <si>
    <t>V574100</t>
  </si>
  <si>
    <t>Schaf Niere, roh</t>
  </si>
  <si>
    <t>V513182</t>
  </si>
  <si>
    <t>Schwein Herz, gebraten ohne Fett (Pfanne)</t>
  </si>
  <si>
    <t>V513142</t>
  </si>
  <si>
    <t>Schwein Herz, geschmort ohne Fett</t>
  </si>
  <si>
    <t>V513100</t>
  </si>
  <si>
    <t>Schwein Herz, roh</t>
  </si>
  <si>
    <t>V533182</t>
  </si>
  <si>
    <t>Schwein Leber, gebraten ohne Fett (Pfanne)</t>
  </si>
  <si>
    <t>V533100</t>
  </si>
  <si>
    <t>Schwein Leber, roh</t>
  </si>
  <si>
    <t>V543132</t>
  </si>
  <si>
    <t>Schwein Lunge, gekocht</t>
  </si>
  <si>
    <t>V543100</t>
  </si>
  <si>
    <t>Schwein Lunge, roh</t>
  </si>
  <si>
    <t>V563100</t>
  </si>
  <si>
    <t>Schwein Milz, roh</t>
  </si>
  <si>
    <t>V573142</t>
  </si>
  <si>
    <t>Schwein Niere, geschmort ohne Fett</t>
  </si>
  <si>
    <t>V573100</t>
  </si>
  <si>
    <t>Schwein Niere, roh</t>
  </si>
  <si>
    <t>Innereien</t>
  </si>
  <si>
    <t>Name des Hundes</t>
  </si>
  <si>
    <t>Gewicht</t>
  </si>
  <si>
    <t>Aktivitätsfaktor</t>
  </si>
  <si>
    <t>Cara</t>
  </si>
  <si>
    <t>Bedarf</t>
  </si>
  <si>
    <t>NRC</t>
  </si>
  <si>
    <t>Menge in g</t>
  </si>
  <si>
    <t>Zielgewicht</t>
  </si>
  <si>
    <t>TS</t>
  </si>
  <si>
    <t>Sonnenblumenkerne</t>
  </si>
  <si>
    <t>Kürbiskerne</t>
  </si>
  <si>
    <t>Cashewkerne</t>
  </si>
  <si>
    <t>Trockenbarf Pferd, reines Muskelfleisch (17,8% Fett)</t>
  </si>
  <si>
    <t>Zusätze</t>
  </si>
  <si>
    <t>Napfcheck Novomineral Balance</t>
  </si>
  <si>
    <t>Napfcheck Novomineral Sensitive</t>
  </si>
  <si>
    <t>Anchovisöl Kochen für Hunde</t>
  </si>
  <si>
    <t>Flohsamenschalen</t>
  </si>
  <si>
    <t>Soffwechselgewicht</t>
  </si>
  <si>
    <t>Pferdefett, ausgelassen</t>
  </si>
  <si>
    <t>Stoffwechselgewicht</t>
  </si>
  <si>
    <t>Multi</t>
  </si>
  <si>
    <t>Berechnung</t>
  </si>
  <si>
    <t>Ist</t>
  </si>
  <si>
    <t>Urin Analyse</t>
  </si>
  <si>
    <t>KAB</t>
  </si>
  <si>
    <t>Urin-PH-Wert</t>
  </si>
  <si>
    <t>Meyer/Zentek</t>
  </si>
  <si>
    <t>vRp</t>
  </si>
  <si>
    <t>Gewicht kg</t>
  </si>
  <si>
    <t>Mindestbedarf je kg KM</t>
  </si>
  <si>
    <t>Empfehlung je kg KM</t>
  </si>
  <si>
    <t>M/Z Minimum</t>
  </si>
  <si>
    <t>M/Z Empfehlung</t>
  </si>
  <si>
    <t>M/Z Maximum</t>
  </si>
  <si>
    <t>Verdaulichkeit</t>
  </si>
  <si>
    <t>Verdaulichkeit Protein</t>
  </si>
  <si>
    <t>Nassfutter</t>
  </si>
  <si>
    <t>Trockenfutter</t>
  </si>
  <si>
    <t>Trockenfleisch</t>
  </si>
  <si>
    <t>Rohes Fleisch</t>
  </si>
  <si>
    <t>Multiplikator Energie nach Alter</t>
  </si>
  <si>
    <t>&lt; 2 Jahre</t>
  </si>
  <si>
    <t>3-7 Jahre</t>
  </si>
  <si>
    <t>&gt; 7 Jahre</t>
  </si>
  <si>
    <t>MJ je kg Stoffwechselgewicht</t>
  </si>
  <si>
    <t>Gekocht</t>
  </si>
  <si>
    <t>Jod [µg]</t>
  </si>
  <si>
    <t>Kupfer [mg]</t>
  </si>
  <si>
    <t>Mangan [mg]</t>
  </si>
  <si>
    <t>Energie [kcal]</t>
  </si>
  <si>
    <t>Energie [MJ]</t>
  </si>
  <si>
    <t>Rohprotein [g]</t>
  </si>
  <si>
    <t>Rohfett [g]</t>
  </si>
  <si>
    <t>vRP [g]</t>
  </si>
  <si>
    <t>NfE  [g]</t>
  </si>
  <si>
    <t>Rohfaser [g]</t>
  </si>
  <si>
    <t>Rohasche [g]</t>
  </si>
  <si>
    <t>Wasser [g]</t>
  </si>
  <si>
    <t>Calcium [mg]</t>
  </si>
  <si>
    <t>Phosphor [mg]</t>
  </si>
  <si>
    <t>Magnesium [mg]</t>
  </si>
  <si>
    <t>Natrium [mg]</t>
  </si>
  <si>
    <t>Kalium [mg]</t>
  </si>
  <si>
    <t>Chlorid [mg]</t>
  </si>
  <si>
    <t>Eisen [mg]</t>
  </si>
  <si>
    <t>Zink [mg]</t>
  </si>
  <si>
    <t>Selen [µg]</t>
  </si>
  <si>
    <t>Schwefel [mg]</t>
  </si>
  <si>
    <t>Vitamin D3 [µg]</t>
  </si>
  <si>
    <t>Vitamin E [mg]</t>
  </si>
  <si>
    <t>Vitamin A [µg]</t>
  </si>
  <si>
    <t>Vitamin B1 [µg]</t>
  </si>
  <si>
    <t>Vitamin B2 [µg]</t>
  </si>
  <si>
    <t>Vit. B3/Niacin [µg]</t>
  </si>
  <si>
    <t>Vitamin B6 [µg]</t>
  </si>
  <si>
    <t>Vitamin B12 [µg]</t>
  </si>
  <si>
    <t>Vitamin C [mg]</t>
  </si>
  <si>
    <t>Vitamin K [µg]</t>
  </si>
  <si>
    <t>Folsäure/B9 [µg]</t>
  </si>
  <si>
    <t>Biotin/B7 [µg]</t>
  </si>
  <si>
    <t>Lactose [g]</t>
  </si>
  <si>
    <t>Linolsäure [mg]</t>
  </si>
  <si>
    <t>Omega-6, gesamt [mg]</t>
  </si>
  <si>
    <t>Omega-3, gesamt [mg]</t>
  </si>
  <si>
    <t>EPA [mg]</t>
  </si>
  <si>
    <t>DHA [mg]</t>
  </si>
  <si>
    <t>Arginin [mg]</t>
  </si>
  <si>
    <t>Cystein [mg]</t>
  </si>
  <si>
    <t>Histidin [mg]</t>
  </si>
  <si>
    <t>Lysin [mg]</t>
  </si>
  <si>
    <t>Methionin [mg]</t>
  </si>
  <si>
    <t>Folsäure [µg]</t>
  </si>
  <si>
    <t>Biotin [µg]</t>
  </si>
  <si>
    <t>Soll Min.</t>
  </si>
  <si>
    <t>Soll Max</t>
  </si>
  <si>
    <t>Soll Empf.</t>
  </si>
  <si>
    <t>Altersgruppe</t>
  </si>
  <si>
    <t>TS [g]</t>
  </si>
  <si>
    <t>Nährtoff</t>
  </si>
  <si>
    <t>Ist-Wert</t>
  </si>
  <si>
    <t>Soll Min</t>
  </si>
  <si>
    <t>Soll Max.</t>
  </si>
  <si>
    <t>Deckung (Empf.)</t>
  </si>
  <si>
    <t>Status</t>
  </si>
  <si>
    <t>Normal</t>
  </si>
  <si>
    <t>Energiebedarf</t>
  </si>
  <si>
    <t>Hopey's Pferd Pur ohne Innereien</t>
  </si>
  <si>
    <t>Hopey's Pferd Pur mit Brühe ohne Innereien</t>
  </si>
  <si>
    <t>BARF Kultur Algenöl</t>
  </si>
  <si>
    <t>Vet-Concept DOG SANA Pferd</t>
  </si>
  <si>
    <t>Vet-Concept SENSITIVE DIET Ziege</t>
  </si>
  <si>
    <t>Vet-Concept DOG SANA Büffel</t>
  </si>
  <si>
    <t>LYXHUND Junior Rind B.A.R.F. Menü</t>
  </si>
  <si>
    <t>LYXHUND Rind B.A.R.F. Menü</t>
  </si>
  <si>
    <t>LYXHUND Pferd Natural Menu</t>
  </si>
  <si>
    <t>Hopey's Pferd mit Kürbis &amp; Leinsamen</t>
  </si>
  <si>
    <t>Hopey's Ziege mit Süßkartoffel</t>
  </si>
  <si>
    <t>Happy Dog Supreme Sensible Montana</t>
  </si>
  <si>
    <t>Happy Dog Sensible Pure Montana</t>
  </si>
  <si>
    <t>Das Tierhotel EasyBARF Rind SINGLE</t>
  </si>
  <si>
    <t>Das Tierhotel EasyBARF Lamm</t>
  </si>
  <si>
    <t>Lyxhund Topping 2 Omega 369 Öl</t>
  </si>
  <si>
    <t>Hopey's Ziege pur</t>
  </si>
  <si>
    <t>BARF</t>
  </si>
  <si>
    <t>Trockenbarf Ziege, reines Muskelfleisch (41,19% Fett)</t>
  </si>
  <si>
    <t>Hundewurst Pferd (97% Pferdefleisch, 3% Tapioka) Gourmetpfoten</t>
  </si>
  <si>
    <t>Hundewurst Ziege (97% Ziegenfleisch, 3% Tapioka) Gourmetpfoten</t>
  </si>
  <si>
    <t>ProFuel Omega-3 Vegan Algenöl (Werte pro 1 Kapsel)</t>
  </si>
  <si>
    <t>Benutzername</t>
  </si>
  <si>
    <t>Vorname</t>
  </si>
  <si>
    <t>Passwort Hash</t>
  </si>
  <si>
    <t>Zugang aktiv</t>
  </si>
  <si>
    <t>Marina</t>
  </si>
  <si>
    <t>Tilda</t>
  </si>
  <si>
    <t>Ja</t>
  </si>
  <si>
    <t>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</si>
</sst>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9"/>
      </patternFill>
    </fill>
    <fill>
      <patternFill patternType="solid">
        <fgColor theme="9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89999084444715716"/>
        <bgColor theme="9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 tint="0.39997558519241921"/>
      </left>
      <right style="thin">
        <color theme="9"/>
      </right>
      <top style="thin">
        <color theme="9" tint="0.39997558519241921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 tint="0.39997558519241921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 tint="0.39997558519241921"/>
      </top>
      <bottom style="thin">
        <color theme="9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3" borderId="1" xfId="0" applyFill="1" applyBorder="1"/>
    <xf numFmtId="0" fontId="0" fillId="3" borderId="2" xfId="0" applyFill="1" applyBorder="1"/>
    <xf numFmtId="0" fontId="2" fillId="0" borderId="0" xfId="0" applyFont="1"/>
    <xf numFmtId="0" fontId="0" fillId="4" borderId="0" xfId="0" applyFill="1"/>
    <xf numFmtId="2" fontId="0" fillId="0" borderId="0" xfId="0" applyNumberFormat="1"/>
    <xf numFmtId="2" fontId="1" fillId="2" borderId="0" xfId="0" applyNumberFormat="1" applyFont="1" applyFill="1"/>
    <xf numFmtId="2" fontId="0" fillId="0" borderId="2" xfId="0" applyNumberFormat="1" applyBorder="1"/>
    <xf numFmtId="2" fontId="1" fillId="2" borderId="2" xfId="0" applyNumberFormat="1" applyFont="1" applyFill="1" applyBorder="1"/>
    <xf numFmtId="2" fontId="0" fillId="3" borderId="2" xfId="0" applyNumberFormat="1" applyFill="1" applyBorder="1"/>
    <xf numFmtId="0" fontId="0" fillId="3" borderId="0" xfId="0" applyFill="1"/>
    <xf numFmtId="2" fontId="0" fillId="3" borderId="0" xfId="0" applyNumberFormat="1" applyFill="1"/>
    <xf numFmtId="9" fontId="0" fillId="0" borderId="0" xfId="0" applyNumberFormat="1"/>
    <xf numFmtId="2" fontId="0" fillId="4" borderId="0" xfId="0" applyNumberFormat="1" applyFill="1"/>
    <xf numFmtId="2" fontId="2" fillId="5" borderId="0" xfId="0" applyNumberFormat="1" applyFont="1" applyFill="1"/>
    <xf numFmtId="0" fontId="0" fillId="6" borderId="0" xfId="0" applyFill="1"/>
    <xf numFmtId="0" fontId="2" fillId="7" borderId="3" xfId="0" applyFont="1" applyFill="1" applyBorder="1"/>
    <xf numFmtId="0" fontId="1" fillId="8" borderId="4" xfId="0" applyFont="1" applyFill="1" applyBorder="1"/>
    <xf numFmtId="0" fontId="1" fillId="8" borderId="5" xfId="0" applyFont="1" applyFill="1" applyBorder="1"/>
    <xf numFmtId="0" fontId="1" fillId="8" borderId="3" xfId="0" applyFont="1" applyFill="1" applyBorder="1"/>
    <xf numFmtId="0" fontId="0" fillId="7" borderId="0" xfId="0" applyFill="1"/>
    <xf numFmtId="2" fontId="0" fillId="6" borderId="0" xfId="0" applyNumberFormat="1" applyFill="1"/>
    <xf numFmtId="2" fontId="1" fillId="2" borderId="5" xfId="0" applyNumberFormat="1" applyFont="1" applyFill="1" applyBorder="1"/>
    <xf numFmtId="2" fontId="1" fillId="2" borderId="3" xfId="0" applyNumberFormat="1" applyFont="1" applyFill="1" applyBorder="1"/>
    <xf numFmtId="0" fontId="1" fillId="2" borderId="5" xfId="0" applyFont="1" applyFill="1" applyBorder="1"/>
    <xf numFmtId="2" fontId="1" fillId="8" borderId="5" xfId="0" applyNumberFormat="1" applyFont="1" applyFill="1" applyBorder="1"/>
    <xf numFmtId="0" fontId="0" fillId="9" borderId="0" xfId="0" applyFill="1"/>
    <xf numFmtId="0" fontId="0" fillId="5" borderId="0" xfId="0" applyFill="1"/>
    <xf numFmtId="0" fontId="2" fillId="10" borderId="3" xfId="0" applyFont="1" applyFill="1" applyBorder="1"/>
    <xf numFmtId="0" fontId="1" fillId="11" borderId="4" xfId="0" applyFont="1" applyFill="1" applyBorder="1"/>
    <xf numFmtId="0" fontId="1" fillId="11" borderId="5" xfId="0" applyFont="1" applyFill="1" applyBorder="1"/>
    <xf numFmtId="0" fontId="1" fillId="11" borderId="3" xfId="0" applyFont="1" applyFill="1" applyBorder="1"/>
    <xf numFmtId="0" fontId="0" fillId="10" borderId="0" xfId="0" applyFill="1"/>
    <xf numFmtId="2" fontId="2" fillId="10" borderId="0" xfId="0" applyNumberFormat="1" applyFont="1" applyFill="1"/>
    <xf numFmtId="2" fontId="0" fillId="10" borderId="0" xfId="0" applyNumberFormat="1" applyFill="1"/>
    <xf numFmtId="9" fontId="2" fillId="0" borderId="0" xfId="1" applyFont="1"/>
    <xf numFmtId="9" fontId="0" fillId="0" borderId="0" xfId="1" applyFont="1"/>
    <xf numFmtId="0" fontId="0" fillId="12" borderId="0" xfId="0" applyFill="1"/>
    <xf numFmtId="2" fontId="0" fillId="12" borderId="0" xfId="0" applyNumberFormat="1" applyFill="1"/>
    <xf numFmtId="0" fontId="0" fillId="3" borderId="6" xfId="0" applyFill="1" applyBorder="1"/>
  </cellXfs>
  <cellStyles count="2">
    <cellStyle name="Prozent" xfId="1" builtinId="5"/>
    <cellStyle name="Standard" xfId="0" builtinId="0"/>
  </cellStyles>
  <dxfs count="5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fill>
        <patternFill patternType="solid">
          <fgColor theme="9" tint="0.79998168889431442"/>
          <bgColor theme="9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fill>
        <patternFill patternType="solid">
          <fgColor theme="9" tint="0.79998168889431442"/>
          <bgColor theme="9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2" formatCode="0.00"/>
    </dxf>
    <dxf>
      <numFmt numFmtId="2" formatCode="0.0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C225E-4169-47AC-9421-5D59EFE510E6}" name="Tabelle1" displayName="Tabelle1" ref="A2:AZ565" totalsRowShown="0" headerRowDxfId="49">
  <autoFilter ref="A2:AZ565" xr:uid="{E1AC225E-4169-47AC-9421-5D59EFE510E6}">
    <filterColumn colId="2">
      <filters>
        <filter val="Napfcheck Novomineral Balance"/>
        <filter val="Napfcheck Novomineral Sensitive"/>
      </filters>
    </filterColumn>
  </autoFilter>
  <sortState xmlns:xlrd2="http://schemas.microsoft.com/office/spreadsheetml/2017/richdata2" ref="A513:AZ513">
    <sortCondition ref="C2:C565"/>
  </sortState>
  <tableColumns count="52">
    <tableColumn id="1" xr3:uid="{E0149A59-5279-4924-AB2D-7F0B60E71314}" name="Kategorie"/>
    <tableColumn id="2" xr3:uid="{F70E3A4B-035D-4318-809B-146F9598F8F2}" name="BLS Code"/>
    <tableColumn id="3" xr3:uid="{EFE1E5DB-8BF8-405F-BCE3-C66FE85BA8E2}" name="Futtermittel"/>
    <tableColumn id="4" xr3:uid="{EB483F13-A97A-408B-AA0D-5799865A2E58}" name="Energie [kcal/100g]" dataDxfId="48"/>
    <tableColumn id="5" xr3:uid="{CD05F469-8305-4CD9-980D-C0A5F9C60E7F}" name="Energie [MJ/100g]" dataDxfId="47">
      <calculatedColumnFormula>Tabelle1[[#This Row],[Energie '[kcal/100g']]]/239</calculatedColumnFormula>
    </tableColumn>
    <tableColumn id="6" xr3:uid="{857FFAD5-DB1B-45E3-8510-8426E0579829}" name="Rohprotein [g/100g]" dataDxfId="46"/>
    <tableColumn id="7" xr3:uid="{609434F1-7CD1-4E6D-AA6B-27CB25994D53}" name="vRP" dataDxfId="45">
      <calculatedColumnFormula>Tabelle1[[#This Row],[Rohprotein '[g/100g']]]*0.85</calculatedColumnFormula>
    </tableColumn>
    <tableColumn id="8" xr3:uid="{DAAF44D8-F164-4C64-B9EA-1D10268B97A6}" name="Rohfett [g/100g]" dataDxfId="44"/>
    <tableColumn id="11" xr3:uid="{F29C1E1E-E00A-46FB-B7C7-88ABCDB0BE96}" name="NfE  [g/100g]" dataDxfId="43">
      <calculatedColumnFormula>Tabelle1[[#This Row],[TS]]-Tabelle1[[#This Row],[Rohprotein '[g/100g']]]-Tabelle1[[#This Row],[Rohfett '[g/100g']]]-Tabelle1[[#This Row],[Rohasche '[g/100g']]]-Tabelle1[[#This Row],[Rohfaser '[g/100g']]]</calculatedColumnFormula>
    </tableColumn>
    <tableColumn id="12" xr3:uid="{A608118F-6CE5-4AF5-9F07-6E986A47DC98}" name="Rohfaser [g/100g]" dataDxfId="42"/>
    <tableColumn id="13" xr3:uid="{E4EEB7C4-156B-4440-9CAB-4EAFF6FCE8DF}" name="Rohasche [g/100g]" dataDxfId="41"/>
    <tableColumn id="14" xr3:uid="{6DCBC8B2-9F25-492F-A53A-8EFF0104A529}" name="Wasser [g/100g]" dataDxfId="40"/>
    <tableColumn id="10" xr3:uid="{6742C659-A352-4F4B-B219-F0957823993C}" name="TS" dataDxfId="39">
      <calculatedColumnFormula>100-Tabelle1[[#This Row],[Wasser '[g/100g']]]</calculatedColumnFormula>
    </tableColumn>
    <tableColumn id="15" xr3:uid="{1DB3091C-66BE-42F8-9028-C06423929E5E}" name="Calcium [mg/100g]" dataDxfId="38"/>
    <tableColumn id="16" xr3:uid="{33869E14-72FB-4A20-97D3-446D14B001F6}" name="Phosphor [mg/100g]" dataDxfId="37"/>
    <tableColumn id="17" xr3:uid="{E058F8E6-4AF9-45CD-9CF6-2E94947E123A}" name="Magnesium [mg/100g]" dataDxfId="36"/>
    <tableColumn id="18" xr3:uid="{439A93CB-6AB1-405A-AC35-B06A4FB04C4A}" name="Natrium [mg/100g]" dataDxfId="35"/>
    <tableColumn id="19" xr3:uid="{8D229CE3-D26C-4B3A-BC5A-92FAB904F8AC}" name="Kalium [mg/100g]" dataDxfId="34"/>
    <tableColumn id="20" xr3:uid="{BC23F517-643E-440B-AAB4-87D62FDAC94E}" name="Chlorid [mg]" dataDxfId="33"/>
    <tableColumn id="21" xr3:uid="{BA05C54C-E420-44D1-82BB-C5FED5069FC8}" name="Eisen [mg/100g]" dataDxfId="32"/>
    <tableColumn id="22" xr3:uid="{65E68451-13E3-4BAA-B071-16AFBC8860EE}" name="Zink [mg/100g]" dataDxfId="31"/>
    <tableColumn id="23" xr3:uid="{E098838B-088B-4B63-B9A6-71A93A6BD4AF}" name="Selen [µg/100g]" dataDxfId="30"/>
    <tableColumn id="24" xr3:uid="{65FF2218-A8DA-457B-A1B9-26DD20BEF480}" name="Kupfer [µg/100g]" dataDxfId="29"/>
    <tableColumn id="25" xr3:uid="{6E9011DE-03CE-4F59-81C8-FCBD97A31964}" name="Mangan [µg/100g]" dataDxfId="28"/>
    <tableColumn id="26" xr3:uid="{414FF477-1429-4985-90F7-3E75310E96CC}" name="Jod [µg/100g]" dataDxfId="27"/>
    <tableColumn id="28" xr3:uid="{E5026514-7DF8-4358-AB9D-8D1D9983D82D}" name="Schwefel [mg/100g]" dataDxfId="26"/>
    <tableColumn id="29" xr3:uid="{B92AD86A-6E03-462B-961A-58896255889F}" name="Vitamin D3 [µg/100g]" dataDxfId="25"/>
    <tableColumn id="30" xr3:uid="{CD42B6E0-B427-4F5D-9414-F9BBF2B0671C}" name="Vitamin E [mg/100g]" dataDxfId="24"/>
    <tableColumn id="55" xr3:uid="{2A7B0A8C-28BA-448F-80B4-05F5610F4391}" name="Vitamin A [µg/100g]" dataDxfId="23"/>
    <tableColumn id="31" xr3:uid="{B2751593-B749-4E7F-8892-2C3167E26D9A}" name="Vitamin B1 [mg/100g]" dataDxfId="22"/>
    <tableColumn id="32" xr3:uid="{F68CC9A0-3747-42F7-9B3C-C5CB6CEDE446}" name="Vitamin B2 [mg/100g]" dataDxfId="21"/>
    <tableColumn id="33" xr3:uid="{0635FAAE-02E5-474D-9351-1E835930AAFE}" name="Vit. B3/Niacin [mg/100g]" dataDxfId="20"/>
    <tableColumn id="34" xr3:uid="{08CFB6E2-A1CE-40C4-8CE4-A74E44172B34}" name="Vitamin B6 [µg/100g]" dataDxfId="19"/>
    <tableColumn id="35" xr3:uid="{3E07F35E-685D-4E57-B69F-D48BA45490FA}" name="Vitamin B12 [µg/100g]" dataDxfId="18"/>
    <tableColumn id="36" xr3:uid="{2E391431-0F31-48CF-B2EA-8B8D7D58D317}" name="Vitamin C [mg/100g]" dataDxfId="17"/>
    <tableColumn id="37" xr3:uid="{1ADCE00A-0345-42F4-9B95-D1FCD7B45240}" name="Vitamin K [µg/100g]" dataDxfId="16"/>
    <tableColumn id="38" xr3:uid="{DCC093E1-05E0-470A-99A6-65ED5B7837C0}" name="Folsäure [µg/100g]" dataDxfId="15"/>
    <tableColumn id="39" xr3:uid="{50FC2806-2FB1-4E13-AC24-3E440EE85B7F}" name="Biotin [µg/100g]" dataDxfId="14"/>
    <tableColumn id="41" xr3:uid="{3C58C720-B76E-43FE-B465-BEB23D17AABD}" name="Lactose [g/100g]" dataDxfId="13"/>
    <tableColumn id="42" xr3:uid="{66BBAD67-4594-4CF7-993A-12347CE0543F}" name="Omega-3, gesamt [g/100g]" dataDxfId="12"/>
    <tableColumn id="43" xr3:uid="{3BDBCD55-6A71-421F-B4D4-7228084D72C0}" name="EPA [g/100g]" dataDxfId="11"/>
    <tableColumn id="44" xr3:uid="{313F2A1A-9974-4659-9011-226974DE3BD8}" name="DHA [g/100g]" dataDxfId="10"/>
    <tableColumn id="45" xr3:uid="{E34E2B2F-4C70-42DF-9B30-EF482C8C3114}" name="Omega-6, gesamt [g/100g]" dataDxfId="9"/>
    <tableColumn id="46" xr3:uid="{522DC0B6-AC55-4172-ADF0-9B0A1BE542DC}" name="Linolsäure [g/100g]" dataDxfId="8"/>
    <tableColumn id="48" xr3:uid="{3ABAA3FB-6809-4940-9762-29BF9EC4CFEF}" name="Arginin [g/100g]" dataDxfId="7"/>
    <tableColumn id="49" xr3:uid="{D6882824-52DB-4795-B2CC-86ABAB8B4881}" name="Cystein [g/100g]" dataDxfId="6"/>
    <tableColumn id="50" xr3:uid="{6E829004-AAFA-4CF0-8EE7-A2E6695B9654}" name="Histidin [g/100g]" dataDxfId="5"/>
    <tableColumn id="51" xr3:uid="{A17F16B3-9F83-4B17-9BC7-ACD64DFE800D}" name="Lysin [g/100g]" dataDxfId="4"/>
    <tableColumn id="52" xr3:uid="{79D35104-75A9-4F24-85EF-34A7A2C4F8BD}" name="Methionin [g/100g]" dataDxfId="3"/>
    <tableColumn id="53" xr3:uid="{11218B42-4FDE-4D15-B33B-E5CC660F92E5}" name="Vitamin D I.E." dataDxfId="2">
      <calculatedColumnFormula>Tabelle1[[#This Row],[Vitamin D3 '[µg/100g']]]*40</calculatedColumnFormula>
    </tableColumn>
    <tableColumn id="56" xr3:uid="{A35F7976-AC5F-4662-98B5-1281EC103896}" name="Vitamin A IE" dataDxfId="1">
      <calculatedColumnFormula>Tabelle1[[#This Row],[Vitamin A '[µg/100g']]]*3.33</calculatedColumnFormula>
    </tableColumn>
    <tableColumn id="57" xr3:uid="{ED5B7515-D919-4E37-A1B7-FF6ECC595A63}" name="Vitamin E IE" dataDxfId="0">
      <calculatedColumnFormula>Tabelle1[[#This Row],[Vitamin E '[mg/100g']]]*1.49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9DB55-ADBC-4784-8A91-A6FF23A74926}">
  <dimension ref="A1:AZ70"/>
  <sheetViews>
    <sheetView topLeftCell="A28" workbookViewId="0">
      <selection activeCell="B70" sqref="B70"/>
    </sheetView>
  </sheetViews>
  <sheetFormatPr baseColWidth="10" defaultRowHeight="14.25" x14ac:dyDescent="0.45"/>
  <cols>
    <col min="1" max="1" width="29.9296875" bestFit="1" customWidth="1"/>
    <col min="2" max="2" width="13.46484375" bestFit="1" customWidth="1"/>
    <col min="3" max="3" width="29.9296875" bestFit="1" customWidth="1"/>
    <col min="4" max="4" width="11.59765625" bestFit="1" customWidth="1"/>
    <col min="5" max="5" width="10.33203125" bestFit="1" customWidth="1"/>
    <col min="6" max="6" width="12" bestFit="1" customWidth="1"/>
    <col min="7" max="7" width="5.265625" bestFit="1" customWidth="1"/>
    <col min="8" max="8" width="9.06640625" bestFit="1" customWidth="1"/>
    <col min="9" max="9" width="6.33203125" bestFit="1" customWidth="1"/>
    <col min="10" max="10" width="10.33203125" bestFit="1" customWidth="1"/>
    <col min="11" max="11" width="11" bestFit="1" customWidth="1"/>
    <col min="12" max="12" width="9.06640625" bestFit="1" customWidth="1"/>
    <col min="13" max="13" width="6.265625" bestFit="1" customWidth="1"/>
    <col min="14" max="14" width="11.265625" bestFit="1" customWidth="1"/>
    <col min="15" max="15" width="12.265625" bestFit="1" customWidth="1"/>
    <col min="16" max="16" width="13.73046875" bestFit="1" customWidth="1"/>
    <col min="17" max="17" width="11.1328125" bestFit="1" customWidth="1"/>
    <col min="18" max="18" width="10.19921875" bestFit="1" customWidth="1"/>
    <col min="19" max="19" width="10.53125" bestFit="1" customWidth="1"/>
    <col min="20" max="20" width="9" bestFit="1" customWidth="1"/>
    <col min="21" max="21" width="8" bestFit="1" customWidth="1"/>
    <col min="22" max="22" width="8.73046875" bestFit="1" customWidth="1"/>
    <col min="23" max="23" width="10" bestFit="1" customWidth="1"/>
    <col min="24" max="24" width="10.796875" bestFit="1" customWidth="1"/>
    <col min="25" max="25" width="6.796875" bestFit="1" customWidth="1"/>
    <col min="26" max="26" width="12.1328125" bestFit="1" customWidth="1"/>
    <col min="27" max="27" width="12.73046875" bestFit="1" customWidth="1"/>
    <col min="28" max="28" width="12.06640625" bestFit="1" customWidth="1"/>
    <col min="29" max="29" width="11.59765625" bestFit="1" customWidth="1"/>
    <col min="30" max="31" width="12.59765625" bestFit="1" customWidth="1"/>
    <col min="32" max="32" width="14.9296875" bestFit="1" customWidth="1"/>
    <col min="33" max="33" width="12.59765625" bestFit="1" customWidth="1"/>
    <col min="34" max="34" width="13.59765625" bestFit="1" customWidth="1"/>
    <col min="35" max="35" width="12.265625" bestFit="1" customWidth="1"/>
    <col min="36" max="36" width="11.59765625" bestFit="1" customWidth="1"/>
    <col min="37" max="37" width="11.06640625" bestFit="1" customWidth="1"/>
    <col min="38" max="38" width="8.73046875" bestFit="1" customWidth="1"/>
    <col min="39" max="39" width="9.33203125" bestFit="1" customWidth="1"/>
    <col min="40" max="40" width="18.59765625" bestFit="1" customWidth="1"/>
    <col min="41" max="41" width="7.796875" bestFit="1" customWidth="1"/>
    <col min="42" max="42" width="8.19921875" bestFit="1" customWidth="1"/>
    <col min="43" max="43" width="18.59765625" bestFit="1" customWidth="1"/>
    <col min="44" max="44" width="13" bestFit="1" customWidth="1"/>
    <col min="45" max="45" width="10.19921875" bestFit="1" customWidth="1"/>
    <col min="46" max="46" width="10.6640625" bestFit="1" customWidth="1"/>
    <col min="47" max="47" width="10.796875" bestFit="1" customWidth="1"/>
    <col min="48" max="48" width="8.73046875" bestFit="1" customWidth="1"/>
    <col min="49" max="49" width="12.59765625" bestFit="1" customWidth="1"/>
    <col min="50" max="50" width="11.265625" bestFit="1" customWidth="1"/>
    <col min="51" max="51" width="10.06640625" bestFit="1" customWidth="1"/>
    <col min="52" max="52" width="11.73046875" bestFit="1" customWidth="1"/>
    <col min="53" max="53" width="13.796875" bestFit="1" customWidth="1"/>
    <col min="54" max="54" width="11.73046875" bestFit="1" customWidth="1"/>
    <col min="55" max="55" width="15.59765625" bestFit="1" customWidth="1"/>
    <col min="56" max="56" width="11.265625" bestFit="1" customWidth="1"/>
    <col min="57" max="57" width="10.06640625" bestFit="1" customWidth="1"/>
    <col min="58" max="58" width="10" bestFit="1" customWidth="1"/>
  </cols>
  <sheetData>
    <row r="1" spans="1:2" x14ac:dyDescent="0.45">
      <c r="A1" t="s">
        <v>1152</v>
      </c>
      <c r="B1" t="s">
        <v>1155</v>
      </c>
    </row>
    <row r="2" spans="1:2" x14ac:dyDescent="0.45">
      <c r="A2" t="s">
        <v>1153</v>
      </c>
      <c r="B2">
        <v>27</v>
      </c>
    </row>
    <row r="3" spans="1:2" x14ac:dyDescent="0.45">
      <c r="A3" t="s">
        <v>1159</v>
      </c>
      <c r="B3">
        <v>27</v>
      </c>
    </row>
    <row r="4" spans="1:2" x14ac:dyDescent="0.45">
      <c r="A4" t="s">
        <v>1249</v>
      </c>
      <c r="B4" t="s">
        <v>1196</v>
      </c>
    </row>
    <row r="5" spans="1:2" x14ac:dyDescent="0.45">
      <c r="A5" t="s">
        <v>1170</v>
      </c>
      <c r="B5">
        <f>B2^0.75</f>
        <v>11.844666116572432</v>
      </c>
    </row>
    <row r="6" spans="1:2" x14ac:dyDescent="0.45">
      <c r="A6" t="s">
        <v>1188</v>
      </c>
      <c r="B6" t="s">
        <v>1198</v>
      </c>
    </row>
    <row r="7" spans="1:2" s="7" customFormat="1" x14ac:dyDescent="0.45">
      <c r="A7" t="s">
        <v>1258</v>
      </c>
      <c r="B7" t="s">
        <v>1257</v>
      </c>
    </row>
    <row r="13" spans="1:2" s="7" customFormat="1" x14ac:dyDescent="0.45">
      <c r="A13" s="7" t="s">
        <v>43</v>
      </c>
      <c r="B13" s="7" t="s">
        <v>1158</v>
      </c>
    </row>
    <row r="14" spans="1:2" x14ac:dyDescent="0.45">
      <c r="A14" t="s">
        <v>46</v>
      </c>
      <c r="B14">
        <v>400</v>
      </c>
    </row>
    <row r="15" spans="1:2" x14ac:dyDescent="0.45">
      <c r="A15" t="s">
        <v>870</v>
      </c>
      <c r="B15">
        <v>30</v>
      </c>
    </row>
    <row r="16" spans="1:2" x14ac:dyDescent="0.45">
      <c r="A16" t="s">
        <v>782</v>
      </c>
      <c r="B16">
        <v>90</v>
      </c>
    </row>
    <row r="17" spans="1:2" x14ac:dyDescent="0.45">
      <c r="A17" t="s">
        <v>485</v>
      </c>
      <c r="B17">
        <v>40</v>
      </c>
    </row>
    <row r="18" spans="1:2" x14ac:dyDescent="0.45">
      <c r="A18" t="s">
        <v>1168</v>
      </c>
      <c r="B18">
        <v>6</v>
      </c>
    </row>
    <row r="19" spans="1:2" x14ac:dyDescent="0.45">
      <c r="A19" t="s">
        <v>958</v>
      </c>
      <c r="B19">
        <v>6</v>
      </c>
    </row>
    <row r="20" spans="1:2" x14ac:dyDescent="0.45">
      <c r="A20" t="s">
        <v>824</v>
      </c>
      <c r="B20">
        <v>30</v>
      </c>
    </row>
    <row r="21" spans="1:2" x14ac:dyDescent="0.45">
      <c r="A21" t="s">
        <v>1171</v>
      </c>
      <c r="B21">
        <v>5</v>
      </c>
    </row>
    <row r="22" spans="1:2" x14ac:dyDescent="0.45">
      <c r="A22" t="s">
        <v>1166</v>
      </c>
      <c r="B22">
        <v>4</v>
      </c>
    </row>
    <row r="23" spans="1:2" x14ac:dyDescent="0.45">
      <c r="A23" t="s">
        <v>1167</v>
      </c>
      <c r="B23">
        <v>5</v>
      </c>
    </row>
    <row r="36" spans="1:52" s="19" customFormat="1" x14ac:dyDescent="0.45">
      <c r="B36" s="19" t="s">
        <v>1247</v>
      </c>
      <c r="C36" s="19" t="s">
        <v>1186</v>
      </c>
      <c r="D36" s="19">
        <f>IF($C$36="", "", _xlfn.XLOOKUP("M/Z Maximum", Bedarfswerte!$A:$A, Bedarfswerte!C:C, ""))</f>
        <v>0</v>
      </c>
      <c r="E36" s="19">
        <f>IF($C$36="", "", _xlfn.XLOOKUP("M/Z Maximum", Bedarfswerte!$A:$A, Bedarfswerte!D:D, ""))</f>
        <v>0</v>
      </c>
      <c r="F36" s="19">
        <f>IF($C$36="", "", _xlfn.XLOOKUP("M/Z Maximum", Bedarfswerte!$A:$A, Bedarfswerte!E:E, ""))</f>
        <v>0</v>
      </c>
      <c r="G36" s="19">
        <f>IF($C$36="", "", _xlfn.XLOOKUP("M/Z Maximum", Bedarfswerte!$A:$A, Bedarfswerte!F:F, ""))</f>
        <v>0</v>
      </c>
      <c r="H36" s="19">
        <f>IF($C$36="", "", _xlfn.XLOOKUP("M/Z Maximum", Bedarfswerte!$A:$A, Bedarfswerte!G:G, ""))</f>
        <v>0</v>
      </c>
      <c r="I36" s="19">
        <f>IF($C$36="", "", _xlfn.XLOOKUP("M/Z Maximum", Bedarfswerte!$A:$A, Bedarfswerte!H:H, ""))</f>
        <v>0</v>
      </c>
      <c r="J36" s="19">
        <f>IF($C$36="", "", _xlfn.XLOOKUP("M/Z Maximum", Bedarfswerte!$A:$A, Bedarfswerte!I:I, ""))</f>
        <v>0</v>
      </c>
      <c r="K36" s="19">
        <f>IF($C$36="", "", _xlfn.XLOOKUP("M/Z Maximum", Bedarfswerte!$A:$A, Bedarfswerte!J:J, ""))</f>
        <v>0</v>
      </c>
      <c r="L36" s="19">
        <f>IF($C$36="", "", _xlfn.XLOOKUP("M/Z Maximum", Bedarfswerte!$A:$A, Bedarfswerte!K:K, ""))</f>
        <v>0</v>
      </c>
      <c r="M36" s="19">
        <f>IF($C$36="", "", _xlfn.XLOOKUP("M/Z Maximum", Bedarfswerte!$A:$A, Bedarfswerte!L:L, ""))</f>
        <v>0</v>
      </c>
      <c r="N36" s="19">
        <f>IF($C$36="", "", _xlfn.XLOOKUP("M/Z Maximum", Bedarfswerte!$A:$A, Bedarfswerte!M:M, ""))</f>
        <v>0</v>
      </c>
      <c r="O36" s="19">
        <f>IF($C$36="", "", _xlfn.XLOOKUP("M/Z Maximum", Bedarfswerte!$A:$A, Bedarfswerte!N:N, ""))</f>
        <v>0</v>
      </c>
      <c r="P36" s="19">
        <f>IF($C$36="", "", _xlfn.XLOOKUP("M/Z Maximum", Bedarfswerte!$A:$A, Bedarfswerte!O:O, ""))</f>
        <v>0</v>
      </c>
      <c r="Q36" s="19">
        <f>IF($C$36="", "", _xlfn.XLOOKUP("M/Z Maximum", Bedarfswerte!$A:$A, Bedarfswerte!P:P, ""))</f>
        <v>0</v>
      </c>
      <c r="R36" s="19">
        <f>IF($C$36="", "", _xlfn.XLOOKUP("M/Z Maximum", Bedarfswerte!$A:$A, Bedarfswerte!Q:Q, ""))</f>
        <v>54000</v>
      </c>
      <c r="S36" s="19">
        <f>IF($C$36="", "", _xlfn.XLOOKUP("M/Z Maximum", Bedarfswerte!$A:$A, Bedarfswerte!R:R, ""))</f>
        <v>0</v>
      </c>
      <c r="T36" s="19">
        <f>IF($C$36="", "", _xlfn.XLOOKUP("M/Z Maximum", Bedarfswerte!$A:$A, Bedarfswerte!S:S, ""))</f>
        <v>0</v>
      </c>
      <c r="U36" s="19">
        <f>IF($C$36="", "", _xlfn.XLOOKUP("M/Z Maximum", Bedarfswerte!$A:$A, Bedarfswerte!T:T, ""))</f>
        <v>0</v>
      </c>
      <c r="V36" s="19">
        <f>IF($C$36="", "", _xlfn.XLOOKUP("M/Z Maximum", Bedarfswerte!$A:$A, Bedarfswerte!U:U, ""))</f>
        <v>135</v>
      </c>
      <c r="W36" s="19">
        <f>IF($C$36="", "", _xlfn.XLOOKUP("M/Z Maximum", Bedarfswerte!$A:$A, Bedarfswerte!V:V, ""))</f>
        <v>0</v>
      </c>
      <c r="X36" s="19">
        <f>IF($C$36="", "", _xlfn.XLOOKUP("M/Z Maximum", Bedarfswerte!$A:$A, Bedarfswerte!W:W, ""))</f>
        <v>3.5100000000000002</v>
      </c>
      <c r="Y36" s="19">
        <f>IF($C$36="", "", _xlfn.XLOOKUP("M/Z Maximum", Bedarfswerte!$A:$A, Bedarfswerte!X:X, ""))</f>
        <v>0</v>
      </c>
      <c r="Z36" s="19">
        <f>IF($C$36="", "", _xlfn.XLOOKUP("M/Z Maximum", Bedarfswerte!$A:$A, Bedarfswerte!Y:Y, ""))</f>
        <v>0</v>
      </c>
      <c r="AA36" s="19">
        <f>IF($C$36="", "", _xlfn.XLOOKUP("M/Z Maximum", Bedarfswerte!$A:$A, Bedarfswerte!Z:Z, ""))</f>
        <v>33.75</v>
      </c>
      <c r="AB36" s="19">
        <f>IF($C$36="", "", _xlfn.XLOOKUP("M/Z Maximum", Bedarfswerte!$A:$A, Bedarfswerte!AA:AA, ""))</f>
        <v>297</v>
      </c>
      <c r="AC36" s="19">
        <f>IF($C$36="", "", _xlfn.XLOOKUP("M/Z Maximum", Bedarfswerte!$A:$A, Bedarfswerte!AB:AB, ""))</f>
        <v>121500</v>
      </c>
      <c r="AD36" s="19">
        <f>IF($C$36="", "", _xlfn.XLOOKUP("M/Z Maximum", Bedarfswerte!$A:$A, Bedarfswerte!AC:AC, ""))</f>
        <v>0</v>
      </c>
      <c r="AE36" s="19">
        <f>IF($C$36="", "", _xlfn.XLOOKUP("M/Z Maximum", Bedarfswerte!$A:$A, Bedarfswerte!AD:AD, ""))</f>
        <v>0</v>
      </c>
      <c r="AF36" s="19">
        <f>IF($C$36="", "", _xlfn.XLOOKUP("M/Z Maximum", Bedarfswerte!$A:$A, Bedarfswerte!AE:AE, ""))</f>
        <v>0</v>
      </c>
      <c r="AG36" s="19">
        <f>IF($C$36="", "", _xlfn.XLOOKUP("M/Z Maximum", Bedarfswerte!$A:$A, Bedarfswerte!AF:AF, ""))</f>
        <v>0</v>
      </c>
      <c r="AH36" s="19">
        <f>IF($C$36="", "", _xlfn.XLOOKUP("M/Z Maximum", Bedarfswerte!$A:$A, Bedarfswerte!AG:AG, ""))</f>
        <v>0</v>
      </c>
      <c r="AI36" s="19">
        <f>IF($C$36="", "", _xlfn.XLOOKUP("M/Z Maximum", Bedarfswerte!$A:$A, Bedarfswerte!AH:AH, ""))</f>
        <v>0</v>
      </c>
      <c r="AJ36" s="19">
        <f>IF($C$36="", "", _xlfn.XLOOKUP("M/Z Maximum", Bedarfswerte!$A:$A, Bedarfswerte!AI:AI, ""))</f>
        <v>0</v>
      </c>
      <c r="AK36" s="19">
        <f>IF($C$36="", "", _xlfn.XLOOKUP("M/Z Maximum", Bedarfswerte!$A:$A, Bedarfswerte!AJ:AJ, ""))</f>
        <v>0</v>
      </c>
      <c r="AL36" s="19">
        <f>IF($C$36="", "", _xlfn.XLOOKUP("M/Z Maximum", Bedarfswerte!$A:$A, Bedarfswerte!AK:AK, ""))</f>
        <v>0</v>
      </c>
      <c r="AM36" s="19">
        <f>IF($C$36="", "", _xlfn.XLOOKUP("M/Z Maximum", Bedarfswerte!$A:$A, Bedarfswerte!AL:AL, ""))</f>
        <v>0</v>
      </c>
      <c r="AN36" s="19">
        <f>IF($C$36="", "", _xlfn.XLOOKUP("M/Z Maximum", Bedarfswerte!$A:$A, Bedarfswerte!AM:AM, ""))</f>
        <v>0</v>
      </c>
      <c r="AO36" s="19">
        <f>IF($C$36="", "", _xlfn.XLOOKUP("M/Z Maximum", Bedarfswerte!$A:$A, Bedarfswerte!AN:AN, ""))</f>
        <v>2430</v>
      </c>
      <c r="AP36" s="19">
        <f>IF($C$36="", "", _xlfn.XLOOKUP("M/Z Maximum", Bedarfswerte!$A:$A, Bedarfswerte!AO:AO, ""))</f>
        <v>1620</v>
      </c>
      <c r="AQ36" s="19">
        <f>IF($C$36="", "", _xlfn.XLOOKUP("M/Z Maximum", Bedarfswerte!$A:$A, Bedarfswerte!AP:AP, ""))</f>
        <v>0</v>
      </c>
      <c r="AR36" s="19">
        <f>IF($C$36="", "", _xlfn.XLOOKUP("M/Z Maximum", Bedarfswerte!$A:$A, Bedarfswerte!AQ:AQ, ""))</f>
        <v>0</v>
      </c>
      <c r="AS36" s="19">
        <f>IF($C$36="", "", _xlfn.XLOOKUP("M/Z Maximum", Bedarfswerte!$A:$A, Bedarfswerte!AR:AR, ""))</f>
        <v>0</v>
      </c>
      <c r="AT36" s="19">
        <f>IF($C$36="", "", _xlfn.XLOOKUP("M/Z Maximum", Bedarfswerte!$A:$A, Bedarfswerte!AS:AS, ""))</f>
        <v>0</v>
      </c>
      <c r="AU36" s="19">
        <f>IF($C$36="", "", _xlfn.XLOOKUP("M/Z Maximum", Bedarfswerte!$A:$A, Bedarfswerte!AT:AT, ""))</f>
        <v>0</v>
      </c>
      <c r="AV36" s="19">
        <f>IF($C$36="", "", _xlfn.XLOOKUP("M/Z Maximum", Bedarfswerte!$A:$A, Bedarfswerte!AU:AU, ""))</f>
        <v>0</v>
      </c>
      <c r="AW36" s="19">
        <f>IF($C$36="", "", _xlfn.XLOOKUP("M/Z Maximum", Bedarfswerte!$A:$A, Bedarfswerte!AV:AV, ""))</f>
        <v>0</v>
      </c>
      <c r="AX36" s="19">
        <f>IF($C$36="", "", _xlfn.XLOOKUP("M/Z Maximum", Bedarfswerte!$A:$A, Bedarfswerte!AW:AW, ""))</f>
        <v>1350</v>
      </c>
      <c r="AY36" s="19">
        <f>IF($C$36="", "", _xlfn.XLOOKUP("M/Z Maximum", Bedarfswerte!$A:$A, Bedarfswerte!AX:AX, ""))</f>
        <v>405000</v>
      </c>
      <c r="AZ36" s="19">
        <f>IF($C$36="", "", _xlfn.XLOOKUP("M/Z Maximum", Bedarfswerte!$A:$A, Bedarfswerte!AY:AY, ""))</f>
        <v>443.28358208955223</v>
      </c>
    </row>
    <row r="37" spans="1:52" s="31" customFormat="1" x14ac:dyDescent="0.45">
      <c r="B37" s="31" t="s">
        <v>1246</v>
      </c>
      <c r="C37" s="31" t="s">
        <v>1184</v>
      </c>
      <c r="D37" s="31">
        <f>IF($C$37="", "", _xlfn.XLOOKUP("M/Z Minimum", Bedarfswerte!$A:$A, Bedarfswerte!C:C, ""))</f>
        <v>0</v>
      </c>
      <c r="E37" s="31">
        <f>IF($C$37="", "", _xlfn.XLOOKUP("M/Z Minimum", Bedarfswerte!$A:$A, Bedarfswerte!D:D, ""))</f>
        <v>0</v>
      </c>
      <c r="F37" s="31">
        <f>IF($C$37="", "", _xlfn.XLOOKUP("M/Z Minimum", Bedarfswerte!$A:$A, Bedarfswerte!E:E, ""))</f>
        <v>33</v>
      </c>
      <c r="G37" s="31">
        <f>IF($C$37="", "", _xlfn.XLOOKUP("M/Z Minimum", Bedarfswerte!$A:$A, Bedarfswerte!F:F, ""))</f>
        <v>29.700000000000003</v>
      </c>
      <c r="H37" s="31">
        <f>IF($C$37="", "", _xlfn.XLOOKUP("M/Z Minimum", Bedarfswerte!$A:$A, Bedarfswerte!G:G, ""))</f>
        <v>27</v>
      </c>
      <c r="I37" s="31">
        <f>IF($C$37="", "", _xlfn.XLOOKUP("M/Z Minimum", Bedarfswerte!$A:$A, Bedarfswerte!H:H, ""))</f>
        <v>0</v>
      </c>
      <c r="J37" s="31">
        <f>IF($C$37="", "", _xlfn.XLOOKUP("M/Z Minimum", Bedarfswerte!$A:$A, Bedarfswerte!I:I, ""))</f>
        <v>0</v>
      </c>
      <c r="K37" s="31">
        <f>IF($C$37="", "", _xlfn.XLOOKUP("M/Z Minimum", Bedarfswerte!$A:$A, Bedarfswerte!J:J, ""))</f>
        <v>0</v>
      </c>
      <c r="L37" s="31">
        <f>IF($C$37="", "", _xlfn.XLOOKUP("M/Z Minimum", Bedarfswerte!$A:$A, Bedarfswerte!K:K, ""))</f>
        <v>0</v>
      </c>
      <c r="M37" s="31">
        <f>IF($C$37="", "", _xlfn.XLOOKUP("M/Z Minimum", Bedarfswerte!$A:$A, Bedarfswerte!L:L, ""))</f>
        <v>0</v>
      </c>
      <c r="N37" s="31">
        <f>IF($C$37="", "", _xlfn.XLOOKUP("M/Z Minimum", Bedarfswerte!$A:$A, Bedarfswerte!M:M, ""))</f>
        <v>1674</v>
      </c>
      <c r="O37" s="31">
        <f>IF($C$37="", "", _xlfn.XLOOKUP("M/Z Minimum", Bedarfswerte!$A:$A, Bedarfswerte!N:N, ""))</f>
        <v>1242</v>
      </c>
      <c r="P37" s="31">
        <f>IF($C$37="", "", _xlfn.XLOOKUP("M/Z Minimum", Bedarfswerte!$A:$A, Bedarfswerte!O:O, ""))</f>
        <v>270</v>
      </c>
      <c r="Q37" s="31">
        <f>IF($C$37="", "", _xlfn.XLOOKUP("M/Z Minimum", Bedarfswerte!$A:$A, Bedarfswerte!P:P, ""))</f>
        <v>540</v>
      </c>
      <c r="R37" s="31">
        <f>IF($C$37="", "", _xlfn.XLOOKUP("M/Z Minimum", Bedarfswerte!$A:$A, Bedarfswerte!Q:Q, ""))</f>
        <v>0</v>
      </c>
      <c r="S37" s="31">
        <f>IF($C$37="", "", _xlfn.XLOOKUP("M/Z Minimum", Bedarfswerte!$A:$A, Bedarfswerte!R:R, ""))</f>
        <v>0</v>
      </c>
      <c r="T37" s="31">
        <f>IF($C$37="", "", _xlfn.XLOOKUP("M/Z Minimum", Bedarfswerte!$A:$A, Bedarfswerte!S:S, ""))</f>
        <v>13.5</v>
      </c>
      <c r="U37" s="31">
        <f>IF($C$37="", "", _xlfn.XLOOKUP("M/Z Minimum", Bedarfswerte!$A:$A, Bedarfswerte!T:T, ""))</f>
        <v>0</v>
      </c>
      <c r="V37" s="31">
        <f>IF($C$37="", "", _xlfn.XLOOKUP("M/Z Minimum", Bedarfswerte!$A:$A, Bedarfswerte!U:U, ""))</f>
        <v>0</v>
      </c>
      <c r="W37" s="31">
        <f>IF($C$37="", "", _xlfn.XLOOKUP("M/Z Minimum", Bedarfswerte!$A:$A, Bedarfswerte!V:V, ""))</f>
        <v>0</v>
      </c>
      <c r="X37" s="31">
        <f>IF($C$37="", "", _xlfn.XLOOKUP("M/Z Minimum", Bedarfswerte!$A:$A, Bedarfswerte!W:W, ""))</f>
        <v>0.27</v>
      </c>
      <c r="Y37" s="31">
        <f>IF($C$37="", "", _xlfn.XLOOKUP("M/Z Minimum", Bedarfswerte!$A:$A, Bedarfswerte!X:X, ""))</f>
        <v>351</v>
      </c>
      <c r="Z37" s="31">
        <f>IF($C$37="", "", _xlfn.XLOOKUP("M/Z Minimum", Bedarfswerte!$A:$A, Bedarfswerte!Y:Y, ""))</f>
        <v>0</v>
      </c>
      <c r="AA37" s="31">
        <f>IF($C$37="", "", _xlfn.XLOOKUP("M/Z Minimum", Bedarfswerte!$A:$A, Bedarfswerte!Z:Z, ""))</f>
        <v>0</v>
      </c>
      <c r="AB37" s="31">
        <f>IF($C$37="", "", _xlfn.XLOOKUP("M/Z Minimum", Bedarfswerte!$A:$A, Bedarfswerte!AA:AA, ""))</f>
        <v>0</v>
      </c>
      <c r="AC37" s="31">
        <f>IF($C$37="", "", _xlfn.XLOOKUP("M/Z Minimum", Bedarfswerte!$A:$A, Bedarfswerte!AB:AB, ""))</f>
        <v>0</v>
      </c>
      <c r="AD37" s="31">
        <f>IF($C$37="", "", _xlfn.XLOOKUP("M/Z Minimum", Bedarfswerte!$A:$A, Bedarfswerte!AC:AC, ""))</f>
        <v>0</v>
      </c>
      <c r="AE37" s="31">
        <f>IF($C$37="", "", _xlfn.XLOOKUP("M/Z Minimum", Bedarfswerte!$A:$A, Bedarfswerte!AD:AD, ""))</f>
        <v>0</v>
      </c>
      <c r="AF37" s="31">
        <f>IF($C$37="", "", _xlfn.XLOOKUP("M/Z Minimum", Bedarfswerte!$A:$A, Bedarfswerte!AE:AE, ""))</f>
        <v>0</v>
      </c>
      <c r="AG37" s="31">
        <f>IF($C$37="", "", _xlfn.XLOOKUP("M/Z Minimum", Bedarfswerte!$A:$A, Bedarfswerte!AF:AF, ""))</f>
        <v>0</v>
      </c>
      <c r="AH37" s="31">
        <f>IF($C$37="", "", _xlfn.XLOOKUP("M/Z Minimum", Bedarfswerte!$A:$A, Bedarfswerte!AG:AG, ""))</f>
        <v>0</v>
      </c>
      <c r="AI37" s="31">
        <f>IF($C$37="", "", _xlfn.XLOOKUP("M/Z Minimum", Bedarfswerte!$A:$A, Bedarfswerte!AH:AH, ""))</f>
        <v>0</v>
      </c>
      <c r="AJ37" s="31">
        <f>IF($C$37="", "", _xlfn.XLOOKUP("M/Z Minimum", Bedarfswerte!$A:$A, Bedarfswerte!AI:AI, ""))</f>
        <v>0</v>
      </c>
      <c r="AK37" s="31">
        <f>IF($C$37="", "", _xlfn.XLOOKUP("M/Z Minimum", Bedarfswerte!$A:$A, Bedarfswerte!AJ:AJ, ""))</f>
        <v>0</v>
      </c>
      <c r="AL37" s="31">
        <f>IF($C$37="", "", _xlfn.XLOOKUP("M/Z Minimum", Bedarfswerte!$A:$A, Bedarfswerte!AK:AK, ""))</f>
        <v>0</v>
      </c>
      <c r="AM37" s="31">
        <f>IF($C$37="", "", _xlfn.XLOOKUP("M/Z Minimum", Bedarfswerte!$A:$A, Bedarfswerte!AL:AL, ""))</f>
        <v>0</v>
      </c>
      <c r="AN37" s="31">
        <f>IF($C$37="", "", _xlfn.XLOOKUP("M/Z Minimum", Bedarfswerte!$A:$A, Bedarfswerte!AM:AM, ""))</f>
        <v>0</v>
      </c>
      <c r="AO37" s="31">
        <f>IF($C$37="", "", _xlfn.XLOOKUP("M/Z Minimum", Bedarfswerte!$A:$A, Bedarfswerte!AN:AN, ""))</f>
        <v>486</v>
      </c>
      <c r="AP37" s="31">
        <f>IF($C$37="", "", _xlfn.XLOOKUP("M/Z Minimum", Bedarfswerte!$A:$A, Bedarfswerte!AO:AO, ""))</f>
        <v>324</v>
      </c>
      <c r="AQ37" s="31">
        <f>IF($C$37="", "", _xlfn.XLOOKUP("M/Z Minimum", Bedarfswerte!$A:$A, Bedarfswerte!AP:AP, ""))</f>
        <v>0</v>
      </c>
      <c r="AR37" s="31">
        <f>IF($C$37="", "", _xlfn.XLOOKUP("M/Z Minimum", Bedarfswerte!$A:$A, Bedarfswerte!AQ:AQ, ""))</f>
        <v>1350</v>
      </c>
      <c r="AS37" s="31">
        <f>IF($C$37="", "", _xlfn.XLOOKUP("M/Z Minimum", Bedarfswerte!$A:$A, Bedarfswerte!AR:AR, ""))</f>
        <v>1512</v>
      </c>
      <c r="AT37" s="31">
        <f>IF($C$37="", "", _xlfn.XLOOKUP("M/Z Minimum", Bedarfswerte!$A:$A, Bedarfswerte!AS:AS, ""))</f>
        <v>837</v>
      </c>
      <c r="AU37" s="31">
        <f>IF($C$37="", "", _xlfn.XLOOKUP("M/Z Minimum", Bedarfswerte!$A:$A, Bedarfswerte!AT:AT, ""))</f>
        <v>864</v>
      </c>
      <c r="AV37" s="31">
        <f>IF($C$37="", "", _xlfn.XLOOKUP("M/Z Minimum", Bedarfswerte!$A:$A, Bedarfswerte!AU:AU, ""))</f>
        <v>1512</v>
      </c>
      <c r="AW37" s="31">
        <f>IF($C$37="", "", _xlfn.XLOOKUP("M/Z Minimum", Bedarfswerte!$A:$A, Bedarfswerte!AV:AV, ""))</f>
        <v>1512</v>
      </c>
      <c r="AX37" s="31">
        <f>IF($C$37="", "", _xlfn.XLOOKUP("M/Z Minimum", Bedarfswerte!$A:$A, Bedarfswerte!AW:AW, ""))</f>
        <v>0</v>
      </c>
      <c r="AY37" s="31">
        <f>IF($C$37="", "", _xlfn.XLOOKUP("M/Z Minimum", Bedarfswerte!$A:$A, Bedarfswerte!AX:AX, ""))</f>
        <v>0</v>
      </c>
      <c r="AZ37" s="31">
        <f>IF($C$37="", "", _xlfn.XLOOKUP("M/Z Minimum", Bedarfswerte!$A:$A, Bedarfswerte!AY:AY, ""))</f>
        <v>0</v>
      </c>
    </row>
    <row r="38" spans="1:52" s="8" customFormat="1" x14ac:dyDescent="0.45">
      <c r="B38" s="8" t="s">
        <v>1248</v>
      </c>
      <c r="C38" s="8" t="s">
        <v>1185</v>
      </c>
      <c r="D38" s="17">
        <f>IF($C$38="", "", _xlfn.XLOOKUP("M/Z Empfehlung", Bedarfswerte!$A:$A, Bedarfswerte!C:C, "") * IF($B$7="kastriert (- 15 %)", 0.85, IF($B$7="kastriert (- 20 %)", 0.8, IF($B$7="Übergewicht (- 30 %)", 0.7, 1))))</f>
        <v>1188.9675847815406</v>
      </c>
      <c r="E38" s="17">
        <f>IF($C$38="", "", _xlfn.XLOOKUP("M/Z Empfehlung", Bedarfswerte!$A:$A, Bedarfswerte!D:D, "") * IF($B$7="kastriert (- 15 %)", 0.85, IF($B$7="kastriert (- 20 %)", 0.8, IF($B$7="Übergewicht (- 30 %)", 0.7, 1))))</f>
        <v>4.9747597689604213</v>
      </c>
      <c r="F38" s="17">
        <f>IF($C$38="", "", _xlfn.XLOOKUP("M/Z Empfehlung", Bedarfswerte!$A:$A, Bedarfswerte!E:E, ""))</f>
        <v>66</v>
      </c>
      <c r="G38" s="17">
        <f>IF($C$38="", "", _xlfn.XLOOKUP("M/Z Empfehlung", Bedarfswerte!$A:$A, Bedarfswerte!F:F, ""))</f>
        <v>59.400000000000006</v>
      </c>
      <c r="H38" s="17">
        <f>IF($C$38="", "", _xlfn.XLOOKUP("M/Z Empfehlung", Bedarfswerte!$A:$A, Bedarfswerte!G:G, ""))</f>
        <v>0</v>
      </c>
      <c r="I38" s="17">
        <f>IF($C$38="", "", _xlfn.XLOOKUP("M/Z Empfehlung", Bedarfswerte!$A:$A, Bedarfswerte!H:H, ""))</f>
        <v>0</v>
      </c>
      <c r="J38" s="17">
        <f>IF($C$38="", "", _xlfn.XLOOKUP("M/Z Empfehlung", Bedarfswerte!$A:$A, Bedarfswerte!I:I, ""))</f>
        <v>0</v>
      </c>
      <c r="K38" s="17">
        <f>IF($C$38="", "", _xlfn.XLOOKUP("M/Z Empfehlung", Bedarfswerte!$A:$A, Bedarfswerte!J:J, ""))</f>
        <v>0</v>
      </c>
      <c r="L38" s="17">
        <f>IF($C$38="", "", _xlfn.XLOOKUP("M/Z Empfehlung", Bedarfswerte!$A:$A, Bedarfswerte!K:K, ""))</f>
        <v>0</v>
      </c>
      <c r="M38" s="17">
        <f>IF($C$38="", "", _xlfn.XLOOKUP("M/Z Empfehlung", Bedarfswerte!$A:$A, Bedarfswerte!L:L, ""))</f>
        <v>0</v>
      </c>
      <c r="N38" s="17">
        <f>IF($C$38="", "", _xlfn.XLOOKUP("M/Z Empfehlung", Bedarfswerte!$A:$A, Bedarfswerte!M:M, ""))</f>
        <v>2160</v>
      </c>
      <c r="O38" s="17">
        <f>IF($C$38="", "", _xlfn.XLOOKUP("M/Z Empfehlung", Bedarfswerte!$A:$A, Bedarfswerte!N:N, ""))</f>
        <v>1620</v>
      </c>
      <c r="P38" s="17">
        <f>IF($C$38="", "", _xlfn.XLOOKUP("M/Z Empfehlung", Bedarfswerte!$A:$A, Bedarfswerte!O:O, ""))</f>
        <v>324</v>
      </c>
      <c r="Q38" s="17">
        <f>IF($C$38="", "", _xlfn.XLOOKUP("M/Z Empfehlung", Bedarfswerte!$A:$A, Bedarfswerte!P:P, ""))</f>
        <v>1350</v>
      </c>
      <c r="R38" s="17">
        <f>IF($C$38="", "", _xlfn.XLOOKUP("M/Z Empfehlung", Bedarfswerte!$A:$A, Bedarfswerte!Q:Q, ""))</f>
        <v>1485</v>
      </c>
      <c r="S38" s="17">
        <f>IF($C$38="", "", _xlfn.XLOOKUP("M/Z Empfehlung", Bedarfswerte!$A:$A, Bedarfswerte!R:R, ""))</f>
        <v>2025</v>
      </c>
      <c r="T38" s="17">
        <f>IF($C$38="", "", _xlfn.XLOOKUP("M/Z Empfehlung", Bedarfswerte!$A:$A, Bedarfswerte!S:S, ""))</f>
        <v>37.799999999999997</v>
      </c>
      <c r="U38" s="17">
        <f>IF($C$38="", "", _xlfn.XLOOKUP("M/Z Empfehlung", Bedarfswerte!$A:$A, Bedarfswerte!T:T, ""))</f>
        <v>24.3</v>
      </c>
      <c r="V38" s="17">
        <f>IF($C$38="", "", _xlfn.XLOOKUP("M/Z Empfehlung", Bedarfswerte!$A:$A, Bedarfswerte!U:U, ""))</f>
        <v>67.5</v>
      </c>
      <c r="W38" s="17">
        <f>IF($C$38="", "", _xlfn.XLOOKUP("M/Z Empfehlung", Bedarfswerte!$A:$A, Bedarfswerte!V:V, ""))</f>
        <v>2.7</v>
      </c>
      <c r="X38" s="17">
        <f>IF($C$38="", "", _xlfn.XLOOKUP("M/Z Empfehlung", Bedarfswerte!$A:$A, Bedarfswerte!W:W, ""))</f>
        <v>1.8900000000000001</v>
      </c>
      <c r="Y38" s="17">
        <f>IF($C$38="", "", _xlfn.XLOOKUP("M/Z Empfehlung", Bedarfswerte!$A:$A, Bedarfswerte!X:X, ""))</f>
        <v>405</v>
      </c>
      <c r="Z38" s="17">
        <f>IF($C$38="", "", _xlfn.XLOOKUP("M/Z Empfehlung", Bedarfswerte!$A:$A, Bedarfswerte!Y:Y, ""))</f>
        <v>0</v>
      </c>
      <c r="AA38" s="17">
        <f>IF($C$38="", "", _xlfn.XLOOKUP("M/Z Empfehlung", Bedarfswerte!$A:$A, Bedarfswerte!Z:Z, ""))</f>
        <v>6.75</v>
      </c>
      <c r="AB38" s="17">
        <f>IF($C$38="", "", _xlfn.XLOOKUP("M/Z Empfehlung", Bedarfswerte!$A:$A, Bedarfswerte!AA:AA, ""))</f>
        <v>13.5</v>
      </c>
      <c r="AC38" s="17">
        <f>IF($C$38="", "", _xlfn.XLOOKUP("M/Z Empfehlung", Bedarfswerte!$A:$A, Bedarfswerte!AB:AB, ""))</f>
        <v>607.5</v>
      </c>
      <c r="AD38" s="17">
        <f>IF($C$38="", "", _xlfn.XLOOKUP("M/Z Empfehlung", Bedarfswerte!$A:$A, Bedarfswerte!AC:AC, ""))</f>
        <v>540</v>
      </c>
      <c r="AE38" s="17">
        <f>IF($C$38="", "", _xlfn.XLOOKUP("M/Z Empfehlung", Bedarfswerte!$A:$A, Bedarfswerte!AD:AD, ""))</f>
        <v>1350</v>
      </c>
      <c r="AF38" s="17">
        <f>IF($C$38="", "", _xlfn.XLOOKUP("M/Z Empfehlung", Bedarfswerte!$A:$A, Bedarfswerte!AE:AE, ""))</f>
        <v>5400</v>
      </c>
      <c r="AG38" s="17">
        <f>IF($C$38="", "", _xlfn.XLOOKUP("M/Z Empfehlung", Bedarfswerte!$A:$A, Bedarfswerte!AF:AF, ""))</f>
        <v>540</v>
      </c>
      <c r="AH38" s="17">
        <f>IF($C$38="", "", _xlfn.XLOOKUP("M/Z Empfehlung", Bedarfswerte!$A:$A, Bedarfswerte!AG:AG, ""))</f>
        <v>13.5</v>
      </c>
      <c r="AI38" s="17">
        <f>IF($C$38="", "", _xlfn.XLOOKUP("M/Z Empfehlung", Bedarfswerte!$A:$A, Bedarfswerte!AH:AH, ""))</f>
        <v>0</v>
      </c>
      <c r="AJ38" s="17">
        <f>IF($C$38="", "", _xlfn.XLOOKUP("M/Z Empfehlung", Bedarfswerte!$A:$A, Bedarfswerte!AI:AI, ""))</f>
        <v>0</v>
      </c>
      <c r="AK38" s="17">
        <f>IF($C$38="", "", _xlfn.XLOOKUP("M/Z Empfehlung", Bedarfswerte!$A:$A, Bedarfswerte!AJ:AJ, ""))</f>
        <v>108</v>
      </c>
      <c r="AL38" s="17">
        <f>IF($C$38="", "", _xlfn.XLOOKUP("M/Z Empfehlung", Bedarfswerte!$A:$A, Bedarfswerte!AK:AK, ""))</f>
        <v>54</v>
      </c>
      <c r="AM38" s="17">
        <f>IF($C$38="", "", _xlfn.XLOOKUP("M/Z Empfehlung", Bedarfswerte!$A:$A, Bedarfswerte!AL:AL, ""))</f>
        <v>0</v>
      </c>
      <c r="AN38" s="17">
        <f>IF($C$38="", "", _xlfn.XLOOKUP("M/Z Empfehlung", Bedarfswerte!$A:$A, Bedarfswerte!AM:AM, ""))</f>
        <v>0</v>
      </c>
      <c r="AO38" s="17">
        <f>IF($C$38="", "", _xlfn.XLOOKUP("M/Z Empfehlung", Bedarfswerte!$A:$A, Bedarfswerte!AN:AN, ""))</f>
        <v>1215</v>
      </c>
      <c r="AP38" s="17">
        <f>IF($C$38="", "", _xlfn.XLOOKUP("M/Z Empfehlung", Bedarfswerte!$A:$A, Bedarfswerte!AO:AO, ""))</f>
        <v>810</v>
      </c>
      <c r="AQ38" s="17">
        <f>IF($C$38="", "", _xlfn.XLOOKUP("M/Z Empfehlung", Bedarfswerte!$A:$A, Bedarfswerte!AP:AP, ""))</f>
        <v>0</v>
      </c>
      <c r="AR38" s="17">
        <f>IF($C$38="", "", _xlfn.XLOOKUP("M/Z Empfehlung", Bedarfswerte!$A:$A, Bedarfswerte!AQ:AQ, ""))</f>
        <v>4050</v>
      </c>
      <c r="AS38" s="17">
        <f>IF($C$38="", "", _xlfn.XLOOKUP("M/Z Empfehlung", Bedarfswerte!$A:$A, Bedarfswerte!AR:AR, ""))</f>
        <v>1512</v>
      </c>
      <c r="AT38" s="17">
        <f>IF($C$38="", "", _xlfn.XLOOKUP("M/Z Empfehlung", Bedarfswerte!$A:$A, Bedarfswerte!AS:AS, ""))</f>
        <v>1377</v>
      </c>
      <c r="AU38" s="17">
        <f>IF($C$38="", "", _xlfn.XLOOKUP("M/Z Empfehlung", Bedarfswerte!$A:$A, Bedarfswerte!AT:AT, ""))</f>
        <v>864</v>
      </c>
      <c r="AV38" s="17">
        <f>IF($C$38="", "", _xlfn.XLOOKUP("M/Z Empfehlung", Bedarfswerte!$A:$A, Bedarfswerte!AU:AU, ""))</f>
        <v>1836</v>
      </c>
      <c r="AW38" s="17">
        <f>IF($C$38="", "", _xlfn.XLOOKUP("M/Z Empfehlung", Bedarfswerte!$A:$A, Bedarfswerte!AV:AV, ""))</f>
        <v>2052</v>
      </c>
      <c r="AX38" s="17">
        <f>IF($C$38="", "", _xlfn.XLOOKUP("M/Z Empfehlung", Bedarfswerte!$A:$A, Bedarfswerte!AW:AW, ""))</f>
        <v>270</v>
      </c>
      <c r="AY38" s="17">
        <f>IF($C$38="", "", _xlfn.XLOOKUP("M/Z Empfehlung", Bedarfswerte!$A:$A, Bedarfswerte!AX:AX, ""))</f>
        <v>2025</v>
      </c>
      <c r="AZ38" s="17">
        <f>IF($C$38="", "", _xlfn.XLOOKUP("M/Z Empfehlung", Bedarfswerte!$A:$A, Bedarfswerte!AY:AY, ""))</f>
        <v>20.149253731343283</v>
      </c>
    </row>
    <row r="39" spans="1:52" s="41" customFormat="1" x14ac:dyDescent="0.45">
      <c r="B39" s="41" t="s">
        <v>1175</v>
      </c>
      <c r="D39" s="42">
        <f>SUM(D41:D61)</f>
        <v>764.18999999999994</v>
      </c>
      <c r="E39" s="42">
        <f t="shared" ref="E39:AZ39" si="0">SUM(E41:E61)</f>
        <v>3.19744769874477</v>
      </c>
      <c r="F39" s="42">
        <f t="shared" si="0"/>
        <v>86.866400000000013</v>
      </c>
      <c r="G39" s="42">
        <f t="shared" si="0"/>
        <v>73.836439999999996</v>
      </c>
      <c r="H39" s="42">
        <f t="shared" si="0"/>
        <v>28.271599999999999</v>
      </c>
      <c r="I39" s="42">
        <f t="shared" si="0"/>
        <v>54.942399999999992</v>
      </c>
      <c r="J39" s="42">
        <f t="shared" si="0"/>
        <v>7.0000000000000007E-2</v>
      </c>
      <c r="K39" s="42">
        <f t="shared" si="0"/>
        <v>5.0739999999999998</v>
      </c>
      <c r="L39" s="42">
        <f t="shared" si="0"/>
        <v>440.77560000000005</v>
      </c>
      <c r="M39" s="42">
        <f t="shared" si="0"/>
        <v>175.2244</v>
      </c>
      <c r="N39" s="42">
        <f t="shared" si="0"/>
        <v>1893.19750206</v>
      </c>
      <c r="O39" s="42">
        <f>SUM(O41:O61)</f>
        <v>1260.7501200000002</v>
      </c>
      <c r="P39" s="42">
        <f t="shared" si="0"/>
        <v>257.13872825999999</v>
      </c>
      <c r="Q39" s="42">
        <f t="shared" si="0"/>
        <v>300.65800000000002</v>
      </c>
      <c r="R39" s="42">
        <f t="shared" si="0"/>
        <v>2023.9006809</v>
      </c>
      <c r="S39" s="42"/>
      <c r="T39" s="42">
        <f t="shared" si="0"/>
        <v>28.271630320000003</v>
      </c>
      <c r="U39" s="42">
        <f t="shared" si="0"/>
        <v>44.079650588</v>
      </c>
      <c r="V39" s="42">
        <f t="shared" si="0"/>
        <v>0</v>
      </c>
      <c r="W39" s="42">
        <f t="shared" si="0"/>
        <v>3.5416719400000001</v>
      </c>
      <c r="X39" s="42">
        <f t="shared" si="0"/>
        <v>1.9278738400000002</v>
      </c>
      <c r="Y39" s="42">
        <f t="shared" si="0"/>
        <v>509.46860000000004</v>
      </c>
      <c r="Z39" s="42"/>
      <c r="AA39" s="42">
        <f t="shared" si="0"/>
        <v>7.85</v>
      </c>
      <c r="AB39" s="42">
        <f t="shared" si="0"/>
        <v>60.5045</v>
      </c>
      <c r="AC39" s="42">
        <f t="shared" si="0"/>
        <v>965.44839999999999</v>
      </c>
      <c r="AD39" s="42">
        <f t="shared" si="0"/>
        <v>1799.9</v>
      </c>
      <c r="AE39" s="42">
        <f t="shared" si="0"/>
        <v>3238.9</v>
      </c>
      <c r="AF39" s="42">
        <f t="shared" si="0"/>
        <v>24573.1</v>
      </c>
      <c r="AG39" s="42">
        <f t="shared" si="0"/>
        <v>2685.2809999999999</v>
      </c>
      <c r="AH39" s="42">
        <f t="shared" si="0"/>
        <v>31</v>
      </c>
      <c r="AI39" s="42">
        <f t="shared" si="0"/>
        <v>12.124500000000001</v>
      </c>
      <c r="AJ39" s="42">
        <f t="shared" si="0"/>
        <v>35.700000000000003</v>
      </c>
      <c r="AK39" s="42">
        <f t="shared" si="0"/>
        <v>122.91999999999999</v>
      </c>
      <c r="AL39" s="42">
        <f t="shared" si="0"/>
        <v>19.579999999999998</v>
      </c>
      <c r="AM39" s="42">
        <f t="shared" si="0"/>
        <v>0</v>
      </c>
      <c r="AN39" s="42">
        <f t="shared" si="0"/>
        <v>2253.7919999999999</v>
      </c>
      <c r="AO39" s="42">
        <f t="shared" si="0"/>
        <v>1110</v>
      </c>
      <c r="AP39" s="42">
        <f t="shared" si="0"/>
        <v>828.00000000000011</v>
      </c>
      <c r="AQ39" s="42">
        <f t="shared" si="0"/>
        <v>4530.2699999999995</v>
      </c>
      <c r="AR39" s="42">
        <f t="shared" si="0"/>
        <v>4149.5880000000006</v>
      </c>
      <c r="AS39" s="42">
        <f t="shared" si="0"/>
        <v>7439.2999999999993</v>
      </c>
      <c r="AT39" s="42">
        <f t="shared" si="0"/>
        <v>56.6</v>
      </c>
      <c r="AU39" s="42">
        <f t="shared" si="0"/>
        <v>3569</v>
      </c>
      <c r="AV39" s="42">
        <f t="shared" si="0"/>
        <v>6453.3</v>
      </c>
      <c r="AW39" s="42">
        <f t="shared" si="0"/>
        <v>5201.2</v>
      </c>
      <c r="AX39" s="42">
        <f t="shared" si="0"/>
        <v>314</v>
      </c>
      <c r="AY39" s="42">
        <f t="shared" si="0"/>
        <v>3214.9431720000002</v>
      </c>
      <c r="AZ39" s="42">
        <f t="shared" si="0"/>
        <v>90.151705000000007</v>
      </c>
    </row>
    <row r="40" spans="1:52" x14ac:dyDescent="0.45">
      <c r="A40" t="s">
        <v>0</v>
      </c>
      <c r="B40" s="1" t="s">
        <v>23</v>
      </c>
      <c r="C40" s="2" t="s">
        <v>43</v>
      </c>
      <c r="D40" s="12" t="s">
        <v>1202</v>
      </c>
      <c r="E40" s="12" t="s">
        <v>1203</v>
      </c>
      <c r="F40" s="12" t="s">
        <v>1204</v>
      </c>
      <c r="G40" s="12" t="s">
        <v>26</v>
      </c>
      <c r="H40" s="12" t="s">
        <v>1205</v>
      </c>
      <c r="I40" s="10" t="s">
        <v>1207</v>
      </c>
      <c r="J40" s="12" t="s">
        <v>1208</v>
      </c>
      <c r="K40" s="12" t="s">
        <v>1209</v>
      </c>
      <c r="L40" s="12" t="s">
        <v>1210</v>
      </c>
      <c r="M40" s="12" t="s">
        <v>1250</v>
      </c>
      <c r="N40" s="12" t="s">
        <v>1211</v>
      </c>
      <c r="O40" s="12" t="s">
        <v>1212</v>
      </c>
      <c r="P40" s="12" t="s">
        <v>1213</v>
      </c>
      <c r="Q40" s="12" t="s">
        <v>1214</v>
      </c>
      <c r="R40" s="12" t="s">
        <v>1215</v>
      </c>
      <c r="S40" s="12" t="s">
        <v>1216</v>
      </c>
      <c r="T40" s="12" t="s">
        <v>1217</v>
      </c>
      <c r="U40" s="12" t="s">
        <v>1218</v>
      </c>
      <c r="V40" s="12" t="s">
        <v>1219</v>
      </c>
      <c r="W40" s="12" t="s">
        <v>1200</v>
      </c>
      <c r="X40" s="12" t="s">
        <v>1201</v>
      </c>
      <c r="Y40" s="12" t="s">
        <v>1199</v>
      </c>
      <c r="Z40" s="12" t="s">
        <v>1220</v>
      </c>
      <c r="AA40" s="12" t="s">
        <v>1221</v>
      </c>
      <c r="AB40" s="12" t="s">
        <v>1222</v>
      </c>
      <c r="AC40" s="12" t="s">
        <v>1223</v>
      </c>
      <c r="AD40" s="12" t="s">
        <v>1224</v>
      </c>
      <c r="AE40" s="12" t="s">
        <v>1225</v>
      </c>
      <c r="AF40" s="12" t="s">
        <v>1226</v>
      </c>
      <c r="AG40" s="12" t="s">
        <v>1227</v>
      </c>
      <c r="AH40" s="12" t="s">
        <v>1228</v>
      </c>
      <c r="AI40" s="12" t="s">
        <v>1229</v>
      </c>
      <c r="AJ40" s="12" t="s">
        <v>1230</v>
      </c>
      <c r="AK40" s="12" t="s">
        <v>1244</v>
      </c>
      <c r="AL40" s="12" t="s">
        <v>1245</v>
      </c>
      <c r="AM40" s="12" t="s">
        <v>1233</v>
      </c>
      <c r="AN40" s="12" t="s">
        <v>1236</v>
      </c>
      <c r="AO40" s="12" t="s">
        <v>1237</v>
      </c>
      <c r="AP40" s="12" t="s">
        <v>1238</v>
      </c>
      <c r="AQ40" s="12" t="s">
        <v>1235</v>
      </c>
      <c r="AR40" s="12" t="s">
        <v>1234</v>
      </c>
      <c r="AS40" s="12" t="s">
        <v>1239</v>
      </c>
      <c r="AT40" s="12" t="s">
        <v>1240</v>
      </c>
      <c r="AU40" s="12" t="s">
        <v>1241</v>
      </c>
      <c r="AV40" s="12" t="s">
        <v>1242</v>
      </c>
      <c r="AW40" s="12" t="s">
        <v>1243</v>
      </c>
      <c r="AX40" s="10" t="s">
        <v>59</v>
      </c>
      <c r="AY40" s="10" t="s">
        <v>63</v>
      </c>
      <c r="AZ40" s="10" t="s">
        <v>64</v>
      </c>
    </row>
    <row r="41" spans="1:52" x14ac:dyDescent="0.45">
      <c r="A41" t="str">
        <f>_xlfn.XLOOKUP($A14, Lebensmitteldaten!$C:$C, Lebensmitteldaten!$A:$A, "")</f>
        <v>Fleisch</v>
      </c>
      <c r="B41" t="str">
        <f>_xlfn.XLOOKUP($A14, Lebensmitteldaten!$C:$C, Lebensmitteldaten!$B:$B, "")</f>
        <v>V112100</v>
      </c>
      <c r="C41" t="str">
        <f>A14</f>
        <v>Pferd Fleisch, roh</v>
      </c>
      <c r="D41" s="9">
        <f>IFERROR((_xlfn.XLOOKUP($C41, Lebensmitteldaten!$C:$C, Lebensmitteldaten!D:D) * $B14) / 100, 0)</f>
        <v>432</v>
      </c>
      <c r="E41" s="9">
        <f>IFERROR((_xlfn.XLOOKUP($C41, Lebensmitteldaten!$C:$C, Lebensmitteldaten!E:E) * $B14) / 100, 0)</f>
        <v>1.8075313807531381</v>
      </c>
      <c r="F41" s="9">
        <f>IFERROR((_xlfn.XLOOKUP($C41, Lebensmitteldaten!$C:$C, Lebensmitteldaten!F:F) * $B14) / 100, 0)</f>
        <v>82.4</v>
      </c>
      <c r="G41" s="9">
        <f>IFERROR((_xlfn.XLOOKUP($C41, Lebensmitteldaten!$C:$C, Lebensmitteldaten!G:G) * $B14) / 100, 0)</f>
        <v>70.040000000000006</v>
      </c>
      <c r="H41" s="9">
        <f>IFERROR((_xlfn.XLOOKUP($C41, Lebensmitteldaten!$C:$C, Lebensmitteldaten!H:H) * $B14) / 100, 0)</f>
        <v>10.68</v>
      </c>
      <c r="I41" s="9">
        <f>IFERROR((_xlfn.XLOOKUP($C41, Lebensmitteldaten!$C:$C, Lebensmitteldaten!I:I) * $B14) / 100, 0)</f>
        <v>2.1999999999999833</v>
      </c>
      <c r="J41" s="9">
        <f>IFERROR((_xlfn.XLOOKUP($C41, Lebensmitteldaten!$C:$C, Lebensmitteldaten!J:J) * $B14) / 100, 0)</f>
        <v>0</v>
      </c>
      <c r="K41" s="9">
        <f>IFERROR((_xlfn.XLOOKUP($C41, Lebensmitteldaten!$C:$C, Lebensmitteldaten!K:K) * $B14) / 100, 0)</f>
        <v>3.92</v>
      </c>
      <c r="L41" s="9">
        <f>IFERROR((_xlfn.XLOOKUP($C41, Lebensmitteldaten!$C:$C, Lebensmitteldaten!L:L) * $B14) / 100, 0)</f>
        <v>300.8</v>
      </c>
      <c r="M41" s="9">
        <f>IFERROR((_xlfn.XLOOKUP($C41, Lebensmitteldaten!$C:$C, Lebensmitteldaten!M:M) * $B14) / 100, 0)</f>
        <v>99.199999999999989</v>
      </c>
      <c r="N41" s="9">
        <f>IFERROR((_xlfn.XLOOKUP($C41, Lebensmitteldaten!$C:$C, Lebensmitteldaten!N:N) * $B14) / 100, 0)</f>
        <v>36.6</v>
      </c>
      <c r="O41" s="9">
        <f>IFERROR((_xlfn.XLOOKUP($C41, Lebensmitteldaten!$C:$C, Lebensmitteldaten!O:O) * $B14) / 100, 0)</f>
        <v>864</v>
      </c>
      <c r="P41" s="9">
        <f>IFERROR((_xlfn.XLOOKUP($C41, Lebensmitteldaten!$C:$C, Lebensmitteldaten!P:P) * $B14) / 100, 0)</f>
        <v>108</v>
      </c>
      <c r="Q41" s="9">
        <f>IFERROR((_xlfn.XLOOKUP($C41, Lebensmitteldaten!$C:$C, Lebensmitteldaten!Q:Q) * $B14) / 100, 0)</f>
        <v>176</v>
      </c>
      <c r="R41" s="9">
        <f>IFERROR((_xlfn.XLOOKUP($C41, Lebensmitteldaten!$C:$C, Lebensmitteldaten!R:R) * $B14) / 100, 0)</f>
        <v>1600</v>
      </c>
      <c r="S41" s="9">
        <f>IFERROR((_xlfn.XLOOKUP($C41, Lebensmitteldaten!$C:$C, Lebensmitteldaten!S:S) * $B14) / 100, 0)</f>
        <v>0</v>
      </c>
      <c r="T41" s="9">
        <f>IFERROR((_xlfn.XLOOKUP($C41, Lebensmitteldaten!$C:$C, Lebensmitteldaten!T:T) * $B14) / 100, 0)</f>
        <v>19.600000000000001</v>
      </c>
      <c r="U41" s="9">
        <f>IFERROR((_xlfn.XLOOKUP($C41, Lebensmitteldaten!$C:$C, Lebensmitteldaten!U:U) * $B14) / 100, 0)</f>
        <v>19.600000000000001</v>
      </c>
      <c r="V41" s="9">
        <f>IFERROR((_xlfn.XLOOKUP($C41, Lebensmitteldaten!$C:$C, Lebensmitteldaten!V:V) * $B14) / 100, 0)</f>
        <v>0</v>
      </c>
      <c r="W41" s="9">
        <f>IFERROR((_xlfn.XLOOKUP($C41, Lebensmitteldaten!$C:$C, Lebensmitteldaten!W:W) * $B14) / 100 / 1000, 0)</f>
        <v>0.84</v>
      </c>
      <c r="X41" s="9">
        <f>IFERROR((_xlfn.XLOOKUP($C41, Lebensmitteldaten!$C:$C, Lebensmitteldaten!X:X) * $B14) / 100 / 1000, 0)</f>
        <v>9.6000000000000002E-2</v>
      </c>
      <c r="Y41" s="9">
        <f>IFERROR((_xlfn.XLOOKUP($C41, Lebensmitteldaten!$C:$C, Lebensmitteldaten!Y:Y) * $B14) / 100, 0)</f>
        <v>23.2</v>
      </c>
      <c r="Z41" s="9">
        <f>IFERROR((_xlfn.XLOOKUP($C41, Lebensmitteldaten!$C:$C, Lebensmitteldaten!Z:Z) * $B14) / 100, 0)</f>
        <v>0</v>
      </c>
      <c r="AA41" s="9">
        <f>IFERROR((_xlfn.XLOOKUP($C41, Lebensmitteldaten!$C:$C, Lebensmitteldaten!AA:AA) * $B14) / 100, 0)</f>
        <v>1.6</v>
      </c>
      <c r="AB41" s="9">
        <f>IFERROR((_xlfn.XLOOKUP($C41, Lebensmitteldaten!$C:$C, Lebensmitteldaten!AB:AB) * $B14) / 100, 0)</f>
        <v>1.88</v>
      </c>
      <c r="AC41" s="9">
        <f>IFERROR((_xlfn.XLOOKUP($C41, Lebensmitteldaten!$C:$C, Lebensmitteldaten!AC:AC) * $B14) / 100, 0)</f>
        <v>84</v>
      </c>
      <c r="AD41" s="9">
        <f>IFERROR((_xlfn.XLOOKUP($C41, Lebensmitteldaten!$C:$C, Lebensmitteldaten!AD:AD) * $B14) / 100 * 1000, 0)</f>
        <v>440</v>
      </c>
      <c r="AE41" s="9">
        <f>IFERROR((_xlfn.XLOOKUP($C41, Lebensmitteldaten!$C:$C, Lebensmitteldaten!AE:AE) * $B14) / 100 * 1000, 0)</f>
        <v>600</v>
      </c>
      <c r="AF41" s="9">
        <f>IFERROR((_xlfn.XLOOKUP($C41, Lebensmitteldaten!$C:$C, Lebensmitteldaten!AF:AF) * $B14) / 100 * 1000, 0)</f>
        <v>18400</v>
      </c>
      <c r="AG41" s="9">
        <f>IFERROR((_xlfn.XLOOKUP($C41, Lebensmitteldaten!$C:$C, Lebensmitteldaten!AG:AG) * $B14) / 100, 0)</f>
        <v>2000</v>
      </c>
      <c r="AH41" s="9">
        <f>IFERROR((_xlfn.XLOOKUP($C41, Lebensmitteldaten!$C:$C, Lebensmitteldaten!AH:AH) * $B14) / 100, 0)</f>
        <v>12</v>
      </c>
      <c r="AI41" s="9">
        <f>IFERROR((_xlfn.XLOOKUP($C41, Lebensmitteldaten!$C:$C, Lebensmitteldaten!AI:AI) * $B14) / 100, 0)</f>
        <v>0</v>
      </c>
      <c r="AJ41" s="9">
        <f>IFERROR((_xlfn.XLOOKUP($C41, Lebensmitteldaten!$C:$C, Lebensmitteldaten!AJ:AJ) * $B14) / 100, 0)</f>
        <v>6.8</v>
      </c>
      <c r="AK41" s="9">
        <f>IFERROR((_xlfn.XLOOKUP($C41, Lebensmitteldaten!$C:$C, Lebensmitteldaten!AK:AK) * $B14) / 100, 0)</f>
        <v>12</v>
      </c>
      <c r="AL41" s="9">
        <f>IFERROR((_xlfn.XLOOKUP($C41, Lebensmitteldaten!$C:$C, Lebensmitteldaten!AL:AL) * $B14) / 100, 0)</f>
        <v>12</v>
      </c>
      <c r="AM41" s="9">
        <f>IFERROR((_xlfn.XLOOKUP($C41, Lebensmitteldaten!$C:$C, Lebensmitteldaten!AM:AM) * $B14) / 100, 0)</f>
        <v>0</v>
      </c>
      <c r="AN41" s="9">
        <f>IFERROR((_xlfn.XLOOKUP($C41, Lebensmitteldaten!$C:$C, Lebensmitteldaten!AN:AN) * $B14) / 100 * 1000, 0)</f>
        <v>1069.3319999999999</v>
      </c>
      <c r="AO41" s="9">
        <f>IFERROR((_xlfn.XLOOKUP($C41, Lebensmitteldaten!$C:$C, Lebensmitteldaten!AO:AO) * $B14) / 100 * 1000, 0)</f>
        <v>0</v>
      </c>
      <c r="AP41" s="9">
        <f>IFERROR((_xlfn.XLOOKUP($C41, Lebensmitteldaten!$C:$C, Lebensmitteldaten!AP:AP) * $B14) / 100 * 1000, 0)</f>
        <v>0</v>
      </c>
      <c r="AQ41" s="9">
        <f>IFERROR((_xlfn.XLOOKUP($C41, Lebensmitteldaten!$C:$C, Lebensmitteldaten!AQ:AQ) * $B14) / 100 * 1000, 0)</f>
        <v>1196</v>
      </c>
      <c r="AR41" s="9">
        <f>IFERROR((_xlfn.XLOOKUP($C41, Lebensmitteldaten!$C:$C, Lebensmitteldaten!AR:AR) * $B14) / 100 * 1000, 0)</f>
        <v>714.66800000000001</v>
      </c>
      <c r="AS41" s="9">
        <f>IFERROR((_xlfn.XLOOKUP($C41, Lebensmitteldaten!$C:$C, Lebensmitteldaten!AS:AS) * $B14) / 100 * 1000, 0)</f>
        <v>7160</v>
      </c>
      <c r="AT41" s="9">
        <f>IFERROR((_xlfn.XLOOKUP($C41, Lebensmitteldaten!$C:$C, Lebensmitteldaten!AT:AT) * $B14) / 100 * 1000, 0)</f>
        <v>0</v>
      </c>
      <c r="AU41" s="9">
        <f>IFERROR((_xlfn.XLOOKUP($C41, Lebensmitteldaten!$C:$C, Lebensmitteldaten!AU:AU) * $B14) / 100 * 1000, 0)</f>
        <v>3480</v>
      </c>
      <c r="AV41" s="9">
        <f>IFERROR((_xlfn.XLOOKUP($C41, Lebensmitteldaten!$C:$C, Lebensmitteldaten!AV:AV) * $B14) / 100 * 1000, 0)</f>
        <v>6280</v>
      </c>
      <c r="AW41" s="9">
        <f>IFERROR((_xlfn.XLOOKUP($C41, Lebensmitteldaten!$C:$C, Lebensmitteldaten!AW:AW) * $B14) / 100 * 1000, 0)</f>
        <v>5120</v>
      </c>
      <c r="AX41" s="9">
        <f>IFERROR((_xlfn.XLOOKUP($C41, Lebensmitteldaten!$C:$C, Lebensmitteldaten!AX:AX) * $B14) / 100, 0)</f>
        <v>64</v>
      </c>
      <c r="AY41" s="9">
        <f>IFERROR((_xlfn.XLOOKUP($C41, Lebensmitteldaten!$C:$C, Lebensmitteldaten!AY:AY) * $B14) / 100, 0)</f>
        <v>279.72000000000003</v>
      </c>
      <c r="AZ41" s="9">
        <f>IFERROR((_xlfn.XLOOKUP($C41, Lebensmitteldaten!$C:$C, Lebensmitteldaten!AZ:AZ) * $B14) / 100, 0)</f>
        <v>2.8011999999999997</v>
      </c>
    </row>
    <row r="42" spans="1:52" x14ac:dyDescent="0.45">
      <c r="A42" t="str">
        <f>_xlfn.XLOOKUP($A15, Lebensmitteldaten!$C:$C, Lebensmitteldaten!$A:$A, "")</f>
        <v>Gemüse</v>
      </c>
      <c r="B42" t="str">
        <f>_xlfn.XLOOKUP($A15, Lebensmitteldaten!$C:$C, Lebensmitteldaten!$B:$B, "")</f>
        <v>G582152</v>
      </c>
      <c r="C42" t="str">
        <f t="shared" ref="C42:C61" si="1">A15</f>
        <v>Zucchini gedünstet</v>
      </c>
      <c r="D42" s="9">
        <f>IFERROR((_xlfn.XLOOKUP($C42, Lebensmitteldaten!$C:$C, Lebensmitteldaten!D:D) * $B15) / 100, 0)</f>
        <v>6.9</v>
      </c>
      <c r="E42" s="9">
        <f>IFERROR((_xlfn.XLOOKUP($C42, Lebensmitteldaten!$C:$C, Lebensmitteldaten!E:E) * $B15) / 100, 0)</f>
        <v>2.8870292887029289E-2</v>
      </c>
      <c r="F42" s="9">
        <f>IFERROR((_xlfn.XLOOKUP($C42, Lebensmitteldaten!$C:$C, Lebensmitteldaten!F:F) * $B15) / 100, 0)</f>
        <v>0.42</v>
      </c>
      <c r="G42" s="9">
        <f>IFERROR((_xlfn.XLOOKUP($C42, Lebensmitteldaten!$C:$C, Lebensmitteldaten!G:G) * $B15) / 100, 0)</f>
        <v>0.35699999999999998</v>
      </c>
      <c r="H42" s="9">
        <f>IFERROR((_xlfn.XLOOKUP($C42, Lebensmitteldaten!$C:$C, Lebensmitteldaten!H:H) * $B15) / 100, 0)</f>
        <v>9.3599999999999989E-2</v>
      </c>
      <c r="I42" s="9">
        <f>IFERROR((_xlfn.XLOOKUP($C42, Lebensmitteldaten!$C:$C, Lebensmitteldaten!I:I) * $B15) / 100, 0)</f>
        <v>0.68640000000000012</v>
      </c>
      <c r="J42" s="9">
        <f>IFERROR((_xlfn.XLOOKUP($C42, Lebensmitteldaten!$C:$C, Lebensmitteldaten!J:J) * $B15) / 100, 0)</f>
        <v>0</v>
      </c>
      <c r="K42" s="9">
        <f>IFERROR((_xlfn.XLOOKUP($C42, Lebensmitteldaten!$C:$C, Lebensmitteldaten!K:K) * $B15) / 100, 0)</f>
        <v>0.3</v>
      </c>
      <c r="L42" s="9">
        <f>IFERROR((_xlfn.XLOOKUP($C42, Lebensmitteldaten!$C:$C, Lebensmitteldaten!L:L) * $B15) / 100, 0)</f>
        <v>28.5</v>
      </c>
      <c r="M42" s="9">
        <f>IFERROR((_xlfn.XLOOKUP($C42, Lebensmitteldaten!$C:$C, Lebensmitteldaten!M:M) * $B15) / 100, 0)</f>
        <v>1.5</v>
      </c>
      <c r="N42" s="9">
        <f>IFERROR((_xlfn.XLOOKUP($C42, Lebensmitteldaten!$C:$C, Lebensmitteldaten!N:N) * $B15) / 100, 0)</f>
        <v>6.6509999999999998</v>
      </c>
      <c r="O42" s="9">
        <f>IFERROR((_xlfn.XLOOKUP($C42, Lebensmitteldaten!$C:$C, Lebensmitteldaten!O:O) * $B15) / 100, 0)</f>
        <v>14.67</v>
      </c>
      <c r="P42" s="9">
        <f>IFERROR((_xlfn.XLOOKUP($C42, Lebensmitteldaten!$C:$C, Lebensmitteldaten!P:P) * $B15) / 100, 0)</f>
        <v>9.33</v>
      </c>
      <c r="Q42" s="9">
        <f>IFERROR((_xlfn.XLOOKUP($C42, Lebensmitteldaten!$C:$C, Lebensmitteldaten!Q:Q) * $B15) / 100, 0)</f>
        <v>0.35099999999999992</v>
      </c>
      <c r="R42" s="9">
        <f>IFERROR((_xlfn.XLOOKUP($C42, Lebensmitteldaten!$C:$C, Lebensmitteldaten!R:R) * $B15) / 100, 0)</f>
        <v>84.012</v>
      </c>
      <c r="S42" s="9">
        <f>IFERROR((_xlfn.XLOOKUP($C42, Lebensmitteldaten!$C:$C, Lebensmitteldaten!S:S) * $B15) / 100, 0)</f>
        <v>0</v>
      </c>
      <c r="T42" s="9">
        <f>IFERROR((_xlfn.XLOOKUP($C42, Lebensmitteldaten!$C:$C, Lebensmitteldaten!T:T) * $B15) / 100, 0)</f>
        <v>0.12</v>
      </c>
      <c r="U42" s="9">
        <f>IFERROR((_xlfn.XLOOKUP($C42, Lebensmitteldaten!$C:$C, Lebensmitteldaten!U:U) * $B15) / 100, 0)</f>
        <v>7.8000000000000014E-2</v>
      </c>
      <c r="V42" s="9">
        <f>IFERROR((_xlfn.XLOOKUP($C42, Lebensmitteldaten!$C:$C, Lebensmitteldaten!V:V) * $B15) / 100, 0)</f>
        <v>0</v>
      </c>
      <c r="W42" s="9">
        <f>IFERROR((_xlfn.XLOOKUP($C42, Lebensmitteldaten!$C:$C, Lebensmitteldaten!W:W) * $B15) / 100 / 1000, 0)</f>
        <v>2.1000000000000001E-2</v>
      </c>
      <c r="X42" s="9">
        <f>IFERROR((_xlfn.XLOOKUP($C42, Lebensmitteldaten!$C:$C, Lebensmitteldaten!X:X) * $B15) / 100 / 1000, 0)</f>
        <v>0.03</v>
      </c>
      <c r="Y42" s="9">
        <f>IFERROR((_xlfn.XLOOKUP($C42, Lebensmitteldaten!$C:$C, Lebensmitteldaten!Y:Y) * $B15) / 100, 0)</f>
        <v>0.79200000000000004</v>
      </c>
      <c r="Z42" s="9">
        <f>IFERROR((_xlfn.XLOOKUP($C42, Lebensmitteldaten!$C:$C, Lebensmitteldaten!Z:Z) * $B15) / 100, 0)</f>
        <v>0</v>
      </c>
      <c r="AA42" s="9">
        <f>IFERROR((_xlfn.XLOOKUP($C42, Lebensmitteldaten!$C:$C, Lebensmitteldaten!AA:AA) * $B15) / 100, 0)</f>
        <v>0</v>
      </c>
      <c r="AB42" s="9">
        <f>IFERROR((_xlfn.XLOOKUP($C42, Lebensmitteldaten!$C:$C, Lebensmitteldaten!AB:AB) * $B15) / 100, 0)</f>
        <v>0.10200000000000001</v>
      </c>
      <c r="AC42" s="9">
        <f>IFERROR((_xlfn.XLOOKUP($C42, Lebensmitteldaten!$C:$C, Lebensmitteldaten!AC:AC) * $B15) / 100, 0)</f>
        <v>10.199999999999999</v>
      </c>
      <c r="AD42" s="9">
        <f>IFERROR((_xlfn.XLOOKUP($C42, Lebensmitteldaten!$C:$C, Lebensmitteldaten!AD:AD) * $B15) / 100 * 1000, 0)</f>
        <v>9</v>
      </c>
      <c r="AE42" s="9">
        <f>IFERROR((_xlfn.XLOOKUP($C42, Lebensmitteldaten!$C:$C, Lebensmitteldaten!AE:AE) * $B15) / 100 * 1000, 0)</f>
        <v>6</v>
      </c>
      <c r="AF42" s="9">
        <f>IFERROR((_xlfn.XLOOKUP($C42, Lebensmitteldaten!$C:$C, Lebensmitteldaten!AF:AF) * $B15) / 100 * 1000, 0)</f>
        <v>126.3</v>
      </c>
      <c r="AG42" s="9">
        <f>IFERROR((_xlfn.XLOOKUP($C42, Lebensmitteldaten!$C:$C, Lebensmitteldaten!AG:AG) * $B15) / 100, 0)</f>
        <v>18</v>
      </c>
      <c r="AH42" s="9">
        <f>IFERROR((_xlfn.XLOOKUP($C42, Lebensmitteldaten!$C:$C, Lebensmitteldaten!AH:AH) * $B15) / 100, 0)</f>
        <v>0</v>
      </c>
      <c r="AI42" s="9">
        <f>IFERROR((_xlfn.XLOOKUP($C42, Lebensmitteldaten!$C:$C, Lebensmitteldaten!AI:AI) * $B15) / 100, 0)</f>
        <v>4.5911999999999997</v>
      </c>
      <c r="AJ42" s="9">
        <f>IFERROR((_xlfn.XLOOKUP($C42, Lebensmitteldaten!$C:$C, Lebensmitteldaten!AJ:AJ) * $B15) / 100, 0)</f>
        <v>10.5</v>
      </c>
      <c r="AK42" s="9">
        <f>IFERROR((_xlfn.XLOOKUP($C42, Lebensmitteldaten!$C:$C, Lebensmitteldaten!AK:AK) * $B15) / 100, 0)</f>
        <v>9.6</v>
      </c>
      <c r="AL42" s="9">
        <f>IFERROR((_xlfn.XLOOKUP($C42, Lebensmitteldaten!$C:$C, Lebensmitteldaten!AL:AL) * $B15) / 100, 0)</f>
        <v>1.02</v>
      </c>
      <c r="AM42" s="9">
        <f>IFERROR((_xlfn.XLOOKUP($C42, Lebensmitteldaten!$C:$C, Lebensmitteldaten!AM:AM) * $B15) / 100, 0)</f>
        <v>0</v>
      </c>
      <c r="AN42" s="9">
        <f>IFERROR((_xlfn.XLOOKUP($C42, Lebensmitteldaten!$C:$C, Lebensmitteldaten!AN:AN) * $B15) / 100 * 1000, 0)</f>
        <v>28.5</v>
      </c>
      <c r="AO42" s="9">
        <f>IFERROR((_xlfn.XLOOKUP($C42, Lebensmitteldaten!$C:$C, Lebensmitteldaten!AO:AO) * $B15) / 100 * 1000, 0)</f>
        <v>0</v>
      </c>
      <c r="AP42" s="9">
        <f>IFERROR((_xlfn.XLOOKUP($C42, Lebensmitteldaten!$C:$C, Lebensmitteldaten!AP:AP) * $B15) / 100 * 1000, 0)</f>
        <v>0</v>
      </c>
      <c r="AQ42" s="9">
        <f>IFERROR((_xlfn.XLOOKUP($C42, Lebensmitteldaten!$C:$C, Lebensmitteldaten!AQ:AQ) * $B15) / 100 * 1000, 0)</f>
        <v>17.100000000000001</v>
      </c>
      <c r="AR42" s="9">
        <f>IFERROR((_xlfn.XLOOKUP($C42, Lebensmitteldaten!$C:$C, Lebensmitteldaten!AR:AR) * $B15) / 100 * 1000, 0)</f>
        <v>17.100000000000001</v>
      </c>
      <c r="AS42" s="9">
        <f>IFERROR((_xlfn.XLOOKUP($C42, Lebensmitteldaten!$C:$C, Lebensmitteldaten!AS:AS) * $B15) / 100 * 1000, 0)</f>
        <v>0</v>
      </c>
      <c r="AT42" s="9">
        <f>IFERROR((_xlfn.XLOOKUP($C42, Lebensmitteldaten!$C:$C, Lebensmitteldaten!AT:AT) * $B15) / 100 * 1000, 0)</f>
        <v>0</v>
      </c>
      <c r="AU42" s="9">
        <f>IFERROR((_xlfn.XLOOKUP($C42, Lebensmitteldaten!$C:$C, Lebensmitteldaten!AU:AU) * $B15) / 100 * 1000, 0)</f>
        <v>0</v>
      </c>
      <c r="AV42" s="9">
        <f>IFERROR((_xlfn.XLOOKUP($C42, Lebensmitteldaten!$C:$C, Lebensmitteldaten!AV:AV) * $B15) / 100 * 1000, 0)</f>
        <v>0</v>
      </c>
      <c r="AW42" s="9">
        <f>IFERROR((_xlfn.XLOOKUP($C42, Lebensmitteldaten!$C:$C, Lebensmitteldaten!AW:AW) * $B15) / 100 * 1000, 0)</f>
        <v>0</v>
      </c>
      <c r="AX42" s="9">
        <f>IFERROR((_xlfn.XLOOKUP($C42, Lebensmitteldaten!$C:$C, Lebensmitteldaten!AX:AX) * $B15) / 100, 0)</f>
        <v>0</v>
      </c>
      <c r="AY42" s="9">
        <f>IFERROR((_xlfn.XLOOKUP($C42, Lebensmitteldaten!$C:$C, Lebensmitteldaten!AY:AY) * $B15) / 100, 0)</f>
        <v>33.966000000000001</v>
      </c>
      <c r="AZ42" s="9">
        <f>IFERROR((_xlfn.XLOOKUP($C42, Lebensmitteldaten!$C:$C, Lebensmitteldaten!AZ:AZ) * $B15) / 100, 0)</f>
        <v>0.15198000000000003</v>
      </c>
    </row>
    <row r="43" spans="1:52" x14ac:dyDescent="0.45">
      <c r="A43" t="str">
        <f>_xlfn.XLOOKUP($A16, Lebensmitteldaten!$C:$C, Lebensmitteldaten!$A:$A, "")</f>
        <v>Gemüse</v>
      </c>
      <c r="B43" t="str">
        <f>_xlfn.XLOOKUP($A16, Lebensmitteldaten!$C:$C, Lebensmitteldaten!$B:$B, "")</f>
        <v>G620132</v>
      </c>
      <c r="C43" t="str">
        <f t="shared" si="1"/>
        <v>Karotte/Möhre, gekocht</v>
      </c>
      <c r="D43" s="9">
        <f>IFERROR((_xlfn.XLOOKUP($C43, Lebensmitteldaten!$C:$C, Lebensmitteldaten!D:D) * $B16) / 100, 0)</f>
        <v>30.6</v>
      </c>
      <c r="E43" s="9">
        <f>IFERROR((_xlfn.XLOOKUP($C43, Lebensmitteldaten!$C:$C, Lebensmitteldaten!E:E) * $B16) / 100, 0)</f>
        <v>0.12803347280334729</v>
      </c>
      <c r="F43" s="9">
        <f>IFERROR((_xlfn.XLOOKUP($C43, Lebensmitteldaten!$C:$C, Lebensmitteldaten!F:F) * $B16) / 100, 0)</f>
        <v>0.45</v>
      </c>
      <c r="G43" s="9">
        <f>IFERROR((_xlfn.XLOOKUP($C43, Lebensmitteldaten!$C:$C, Lebensmitteldaten!G:G) * $B16) / 100, 0)</f>
        <v>0.38250000000000001</v>
      </c>
      <c r="H43" s="9">
        <f>IFERROR((_xlfn.XLOOKUP($C43, Lebensmitteldaten!$C:$C, Lebensmitteldaten!H:H) * $B16) / 100, 0)</f>
        <v>0.45</v>
      </c>
      <c r="I43" s="9">
        <f>IFERROR((_xlfn.XLOOKUP($C43, Lebensmitteldaten!$C:$C, Lebensmitteldaten!I:I) * $B16) / 100, 0)</f>
        <v>8.3699999999999974</v>
      </c>
      <c r="J43" s="9">
        <f>IFERROR((_xlfn.XLOOKUP($C43, Lebensmitteldaten!$C:$C, Lebensmitteldaten!J:J) * $B16) / 100, 0)</f>
        <v>0</v>
      </c>
      <c r="K43" s="9">
        <f>IFERROR((_xlfn.XLOOKUP($C43, Lebensmitteldaten!$C:$C, Lebensmitteldaten!K:K) * $B16) / 100, 0)</f>
        <v>0.45</v>
      </c>
      <c r="L43" s="9">
        <f>IFERROR((_xlfn.XLOOKUP($C43, Lebensmitteldaten!$C:$C, Lebensmitteldaten!L:L) * $B16) / 100, 0)</f>
        <v>80.28</v>
      </c>
      <c r="M43" s="9">
        <f>IFERROR((_xlfn.XLOOKUP($C43, Lebensmitteldaten!$C:$C, Lebensmitteldaten!M:M) * $B16) / 100, 0)</f>
        <v>9.7199999999999971</v>
      </c>
      <c r="N43" s="9">
        <f>IFERROR((_xlfn.XLOOKUP($C43, Lebensmitteldaten!$C:$C, Lebensmitteldaten!N:N) * $B16) / 100, 0)</f>
        <v>27.9</v>
      </c>
      <c r="O43" s="9">
        <f>IFERROR((_xlfn.XLOOKUP($C43, Lebensmitteldaten!$C:$C, Lebensmitteldaten!O:O) * $B16) / 100, 0)</f>
        <v>25.38</v>
      </c>
      <c r="P43" s="9">
        <f>IFERROR((_xlfn.XLOOKUP($C43, Lebensmitteldaten!$C:$C, Lebensmitteldaten!P:P) * $B16) / 100, 0)</f>
        <v>7.2</v>
      </c>
      <c r="Q43" s="9">
        <f>IFERROR((_xlfn.XLOOKUP($C43, Lebensmitteldaten!$C:$C, Lebensmitteldaten!Q:Q) * $B16) / 100, 0)</f>
        <v>26.1</v>
      </c>
      <c r="R43" s="9">
        <f>IFERROR((_xlfn.XLOOKUP($C43, Lebensmitteldaten!$C:$C, Lebensmitteldaten!R:R) * $B16) / 100, 0)</f>
        <v>149.4</v>
      </c>
      <c r="S43" s="9">
        <f>IFERROR((_xlfn.XLOOKUP($C43, Lebensmitteldaten!$C:$C, Lebensmitteldaten!S:S) * $B16) / 100, 0)</f>
        <v>0</v>
      </c>
      <c r="T43" s="9">
        <f>IFERROR((_xlfn.XLOOKUP($C43, Lebensmitteldaten!$C:$C, Lebensmitteldaten!T:T) * $B16) / 100, 0)</f>
        <v>0.30599999999999999</v>
      </c>
      <c r="U43" s="9">
        <f>IFERROR((_xlfn.XLOOKUP($C43, Lebensmitteldaten!$C:$C, Lebensmitteldaten!U:U) * $B16) / 100, 0)</f>
        <v>0.11700000000000001</v>
      </c>
      <c r="V43" s="9">
        <f>IFERROR((_xlfn.XLOOKUP($C43, Lebensmitteldaten!$C:$C, Lebensmitteldaten!V:V) * $B16) / 100, 0)</f>
        <v>0</v>
      </c>
      <c r="W43" s="9">
        <f>IFERROR((_xlfn.XLOOKUP($C43, Lebensmitteldaten!$C:$C, Lebensmitteldaten!W:W) * $B16) / 100 / 1000, 0)</f>
        <v>1.5300000000000001E-2</v>
      </c>
      <c r="X43" s="9">
        <f>IFERROR((_xlfn.XLOOKUP($C43, Lebensmitteldaten!$C:$C, Lebensmitteldaten!X:X) * $B16) / 100 / 1000, 0)</f>
        <v>0.1062</v>
      </c>
      <c r="Y43" s="9">
        <f>IFERROR((_xlfn.XLOOKUP($C43, Lebensmitteldaten!$C:$C, Lebensmitteldaten!Y:Y) * $B16) / 100, 0)</f>
        <v>2.61</v>
      </c>
      <c r="Z43" s="9">
        <f>IFERROR((_xlfn.XLOOKUP($C43, Lebensmitteldaten!$C:$C, Lebensmitteldaten!Z:Z) * $B16) / 100, 0)</f>
        <v>0</v>
      </c>
      <c r="AA43" s="9">
        <f>IFERROR((_xlfn.XLOOKUP($C43, Lebensmitteldaten!$C:$C, Lebensmitteldaten!AA:AA) * $B16) / 100, 0)</f>
        <v>0</v>
      </c>
      <c r="AB43" s="9">
        <f>IFERROR((_xlfn.XLOOKUP($C43, Lebensmitteldaten!$C:$C, Lebensmitteldaten!AB:AB) * $B16) / 100, 0)</f>
        <v>0.72</v>
      </c>
      <c r="AC43" s="9">
        <f>IFERROR((_xlfn.XLOOKUP($C43, Lebensmitteldaten!$C:$C, Lebensmitteldaten!AC:AC) * $B16) / 100, 0)</f>
        <v>162</v>
      </c>
      <c r="AD43" s="9">
        <f>IFERROR((_xlfn.XLOOKUP($C43, Lebensmitteldaten!$C:$C, Lebensmitteldaten!AD:AD) * $B16) / 100 * 1000, 0)</f>
        <v>81</v>
      </c>
      <c r="AE43" s="9">
        <f>IFERROR((_xlfn.XLOOKUP($C43, Lebensmitteldaten!$C:$C, Lebensmitteldaten!AE:AE) * $B16) / 100 * 1000, 0)</f>
        <v>18.000000000000004</v>
      </c>
      <c r="AF43" s="9">
        <f>IFERROR((_xlfn.XLOOKUP($C43, Lebensmitteldaten!$C:$C, Lebensmitteldaten!AF:AF) * $B16) / 100 * 1000, 0)</f>
        <v>180</v>
      </c>
      <c r="AG43" s="9">
        <f>IFERROR((_xlfn.XLOOKUP($C43, Lebensmitteldaten!$C:$C, Lebensmitteldaten!AG:AG) * $B16) / 100, 0)</f>
        <v>24.381</v>
      </c>
      <c r="AH43" s="9">
        <f>IFERROR((_xlfn.XLOOKUP($C43, Lebensmitteldaten!$C:$C, Lebensmitteldaten!AH:AH) * $B16) / 100, 0)</f>
        <v>0</v>
      </c>
      <c r="AI43" s="9">
        <f>IFERROR((_xlfn.XLOOKUP($C43, Lebensmitteldaten!$C:$C, Lebensmitteldaten!AI:AI) * $B16) / 100, 0)</f>
        <v>4.5</v>
      </c>
      <c r="AJ43" s="9">
        <f>IFERROR((_xlfn.XLOOKUP($C43, Lebensmitteldaten!$C:$C, Lebensmitteldaten!AJ:AJ) * $B16) / 100, 0)</f>
        <v>9.9</v>
      </c>
      <c r="AK43" s="9">
        <f>IFERROR((_xlfn.XLOOKUP($C43, Lebensmitteldaten!$C:$C, Lebensmitteldaten!AK:AK) * $B16) / 100, 0)</f>
        <v>27.9</v>
      </c>
      <c r="AL43" s="9">
        <f>IFERROR((_xlfn.XLOOKUP($C43, Lebensmitteldaten!$C:$C, Lebensmitteldaten!AL:AL) * $B16) / 100, 0)</f>
        <v>0.27</v>
      </c>
      <c r="AM43" s="9">
        <f>IFERROR((_xlfn.XLOOKUP($C43, Lebensmitteldaten!$C:$C, Lebensmitteldaten!AM:AM) * $B16) / 100, 0)</f>
        <v>0</v>
      </c>
      <c r="AN43" s="9">
        <f>IFERROR((_xlfn.XLOOKUP($C43, Lebensmitteldaten!$C:$C, Lebensmitteldaten!AN:AN) * $B16) / 100 * 1000, 0)</f>
        <v>4.8600000000000003</v>
      </c>
      <c r="AO43" s="9">
        <f>IFERROR((_xlfn.XLOOKUP($C43, Lebensmitteldaten!$C:$C, Lebensmitteldaten!AO:AO) * $B16) / 100 * 1000, 0)</f>
        <v>0</v>
      </c>
      <c r="AP43" s="9">
        <f>IFERROR((_xlfn.XLOOKUP($C43, Lebensmitteldaten!$C:$C, Lebensmitteldaten!AP:AP) * $B16) / 100 * 1000, 0)</f>
        <v>0</v>
      </c>
      <c r="AQ43" s="9">
        <f>IFERROR((_xlfn.XLOOKUP($C43, Lebensmitteldaten!$C:$C, Lebensmitteldaten!AQ:AQ) * $B16) / 100 * 1000, 0)</f>
        <v>62.370000000000005</v>
      </c>
      <c r="AR43" s="9">
        <f>IFERROR((_xlfn.XLOOKUP($C43, Lebensmitteldaten!$C:$C, Lebensmitteldaten!AR:AR) * $B16) / 100 * 1000, 0)</f>
        <v>61.02</v>
      </c>
      <c r="AS43" s="9">
        <f>IFERROR((_xlfn.XLOOKUP($C43, Lebensmitteldaten!$C:$C, Lebensmitteldaten!AS:AS) * $B16) / 100 * 1000, 0)</f>
        <v>36.900000000000006</v>
      </c>
      <c r="AT43" s="9">
        <f>IFERROR((_xlfn.XLOOKUP($C43, Lebensmitteldaten!$C:$C, Lebensmitteldaten!AT:AT) * $B16) / 100 * 1000, 0)</f>
        <v>11.7</v>
      </c>
      <c r="AU43" s="9">
        <f>IFERROR((_xlfn.XLOOKUP($C43, Lebensmitteldaten!$C:$C, Lebensmitteldaten!AU:AU) * $B16) / 100 * 1000, 0)</f>
        <v>13.499999999999998</v>
      </c>
      <c r="AV43" s="9">
        <f>IFERROR((_xlfn.XLOOKUP($C43, Lebensmitteldaten!$C:$C, Lebensmitteldaten!AV:AV) * $B16) / 100 * 1000, 0)</f>
        <v>42.300000000000004</v>
      </c>
      <c r="AW43" s="9">
        <f>IFERROR((_xlfn.XLOOKUP($C43, Lebensmitteldaten!$C:$C, Lebensmitteldaten!AW:AW) * $B16) / 100 * 1000, 0)</f>
        <v>7.2</v>
      </c>
      <c r="AX43" s="9">
        <f>IFERROR((_xlfn.XLOOKUP($C43, Lebensmitteldaten!$C:$C, Lebensmitteldaten!AX:AX) * $B16) / 100, 0)</f>
        <v>0</v>
      </c>
      <c r="AY43" s="9">
        <f>IFERROR((_xlfn.XLOOKUP($C43, Lebensmitteldaten!$C:$C, Lebensmitteldaten!AY:AY) * $B16) / 100, 0)</f>
        <v>539.46</v>
      </c>
      <c r="AZ43" s="9">
        <f>IFERROR((_xlfn.XLOOKUP($C43, Lebensmitteldaten!$C:$C, Lebensmitteldaten!AZ:AZ) * $B16) / 100, 0)</f>
        <v>1.0728</v>
      </c>
    </row>
    <row r="44" spans="1:52" x14ac:dyDescent="0.45">
      <c r="A44" t="str">
        <f>_xlfn.XLOOKUP($A17, Lebensmitteldaten!$C:$C, Lebensmitteldaten!$A:$A, "")</f>
        <v>Kohlenhydrate</v>
      </c>
      <c r="B44" t="str">
        <f>_xlfn.XLOOKUP($A17, Lebensmitteldaten!$C:$C, Lebensmitteldaten!$B:$B, "")</f>
        <v>C352000</v>
      </c>
      <c r="C44" t="str">
        <f t="shared" si="1"/>
        <v>Reis poliert, roh</v>
      </c>
      <c r="D44" s="9">
        <f>IFERROR((_xlfn.XLOOKUP($C44, Lebensmitteldaten!$C:$C, Lebensmitteldaten!D:D) * $B17) / 100, 0)</f>
        <v>140.4</v>
      </c>
      <c r="E44" s="9">
        <f>IFERROR((_xlfn.XLOOKUP($C44, Lebensmitteldaten!$C:$C, Lebensmitteldaten!E:E) * $B17) / 100, 0)</f>
        <v>0.58744769874476988</v>
      </c>
      <c r="F44" s="9">
        <f>IFERROR((_xlfn.XLOOKUP($C44, Lebensmitteldaten!$C:$C, Lebensmitteldaten!F:F) * $B17) / 100, 0)</f>
        <v>3.1724000000000001</v>
      </c>
      <c r="G44" s="9">
        <f>IFERROR((_xlfn.XLOOKUP($C44, Lebensmitteldaten!$C:$C, Lebensmitteldaten!G:G) * $B17) / 100, 0)</f>
        <v>2.6965400000000002</v>
      </c>
      <c r="H44" s="9">
        <f>IFERROR((_xlfn.XLOOKUP($C44, Lebensmitteldaten!$C:$C, Lebensmitteldaten!H:H) * $B17) / 100, 0)</f>
        <v>0.248</v>
      </c>
      <c r="I44" s="9">
        <f>IFERROR((_xlfn.XLOOKUP($C44, Lebensmitteldaten!$C:$C, Lebensmitteldaten!I:I) * $B17) / 100, 0)</f>
        <v>31.651600000000002</v>
      </c>
      <c r="J44" s="9">
        <f>IFERROR((_xlfn.XLOOKUP($C44, Lebensmitteldaten!$C:$C, Lebensmitteldaten!J:J) * $B17) / 100, 0)</f>
        <v>0</v>
      </c>
      <c r="K44" s="9">
        <f>IFERROR((_xlfn.XLOOKUP($C44, Lebensmitteldaten!$C:$C, Lebensmitteldaten!K:K) * $B17) / 100, 0)</f>
        <v>0.17600000000000002</v>
      </c>
      <c r="L44" s="9">
        <f>IFERROR((_xlfn.XLOOKUP($C44, Lebensmitteldaten!$C:$C, Lebensmitteldaten!L:L) * $B17) / 100, 0)</f>
        <v>4.7520000000000007</v>
      </c>
      <c r="M44" s="9">
        <f>IFERROR((_xlfn.XLOOKUP($C44, Lebensmitteldaten!$C:$C, Lebensmitteldaten!M:M) * $B17) / 100, 0)</f>
        <v>35.248000000000005</v>
      </c>
      <c r="N44" s="9">
        <f>IFERROR((_xlfn.XLOOKUP($C44, Lebensmitteldaten!$C:$C, Lebensmitteldaten!N:N) * $B17) / 100, 0)</f>
        <v>2</v>
      </c>
      <c r="O44" s="9">
        <f>IFERROR((_xlfn.XLOOKUP($C44, Lebensmitteldaten!$C:$C, Lebensmitteldaten!O:O) * $B17) / 100, 0)</f>
        <v>45.408000000000001</v>
      </c>
      <c r="P44" s="9">
        <f>IFERROR((_xlfn.XLOOKUP($C44, Lebensmitteldaten!$C:$C, Lebensmitteldaten!P:P) * $B17) / 100, 0)</f>
        <v>16.191999999999997</v>
      </c>
      <c r="Q44" s="9">
        <f>IFERROR((_xlfn.XLOOKUP($C44, Lebensmitteldaten!$C:$C, Lebensmitteldaten!Q:Q) * $B17) / 100, 0)</f>
        <v>6.3079999999999998</v>
      </c>
      <c r="R44" s="9">
        <f>IFERROR((_xlfn.XLOOKUP($C44, Lebensmitteldaten!$C:$C, Lebensmitteldaten!R:R) * $B17) / 100, 0)</f>
        <v>42.648000000000003</v>
      </c>
      <c r="S44" s="9">
        <f>IFERROR((_xlfn.XLOOKUP($C44, Lebensmitteldaten!$C:$C, Lebensmitteldaten!S:S) * $B17) / 100, 0)</f>
        <v>0</v>
      </c>
      <c r="T44" s="9">
        <f>IFERROR((_xlfn.XLOOKUP($C44, Lebensmitteldaten!$C:$C, Lebensmitteldaten!T:T) * $B17) / 100, 0)</f>
        <v>0.11659600000000001</v>
      </c>
      <c r="U44" s="9">
        <f>IFERROR((_xlfn.XLOOKUP($C44, Lebensmitteldaten!$C:$C, Lebensmitteldaten!U:U) * $B17) / 100, 0)</f>
        <v>1.2132440000000002</v>
      </c>
      <c r="V44" s="9">
        <f>IFERROR((_xlfn.XLOOKUP($C44, Lebensmitteldaten!$C:$C, Lebensmitteldaten!V:V) * $B17) / 100, 0)</f>
        <v>0</v>
      </c>
      <c r="W44" s="9">
        <f>IFERROR((_xlfn.XLOOKUP($C44, Lebensmitteldaten!$C:$C, Lebensmitteldaten!W:W) * $B17) / 100 / 1000, 0)</f>
        <v>0.10049199999999998</v>
      </c>
      <c r="X44" s="9">
        <f>IFERROR((_xlfn.XLOOKUP($C44, Lebensmitteldaten!$C:$C, Lebensmitteldaten!X:X) * $B17) / 100 / 1000, 0)</f>
        <v>0.28077199999999997</v>
      </c>
      <c r="Y44" s="9">
        <f>IFERROR((_xlfn.XLOOKUP($C44, Lebensmitteldaten!$C:$C, Lebensmitteldaten!Y:Y) * $B17) / 100, 0)</f>
        <v>2.4760000000000004</v>
      </c>
      <c r="Z44" s="9">
        <f>IFERROR((_xlfn.XLOOKUP($C44, Lebensmitteldaten!$C:$C, Lebensmitteldaten!Z:Z) * $B17) / 100, 0)</f>
        <v>0</v>
      </c>
      <c r="AA44" s="9">
        <f>IFERROR((_xlfn.XLOOKUP($C44, Lebensmitteldaten!$C:$C, Lebensmitteldaten!AA:AA) * $B17) / 100, 0)</f>
        <v>0</v>
      </c>
      <c r="AB44" s="9">
        <f>IFERROR((_xlfn.XLOOKUP($C44, Lebensmitteldaten!$C:$C, Lebensmitteldaten!AB:AB) * $B17) / 100, 0)</f>
        <v>2.12E-2</v>
      </c>
      <c r="AC44" s="9">
        <f>IFERROR((_xlfn.XLOOKUP($C44, Lebensmitteldaten!$C:$C, Lebensmitteldaten!AC:AC) * $B17) / 100, 0)</f>
        <v>0</v>
      </c>
      <c r="AD44" s="9">
        <f>IFERROR((_xlfn.XLOOKUP($C44, Lebensmitteldaten!$C:$C, Lebensmitteldaten!AD:AD) * $B17) / 100 * 1000, 0)</f>
        <v>50.4</v>
      </c>
      <c r="AE44" s="9">
        <f>IFERROR((_xlfn.XLOOKUP($C44, Lebensmitteldaten!$C:$C, Lebensmitteldaten!AE:AE) * $B17) / 100 * 1000, 0)</f>
        <v>2</v>
      </c>
      <c r="AF44" s="9">
        <f>IFERROR((_xlfn.XLOOKUP($C44, Lebensmitteldaten!$C:$C, Lebensmitteldaten!AF:AF) * $B17) / 100 * 1000, 0)</f>
        <v>520</v>
      </c>
      <c r="AG44" s="9">
        <f>IFERROR((_xlfn.XLOOKUP($C44, Lebensmitteldaten!$C:$C, Lebensmitteldaten!AG:AG) * $B17) / 100, 0)</f>
        <v>19.2</v>
      </c>
      <c r="AH44" s="9">
        <f>IFERROR((_xlfn.XLOOKUP($C44, Lebensmitteldaten!$C:$C, Lebensmitteldaten!AH:AH) * $B17) / 100, 0)</f>
        <v>0</v>
      </c>
      <c r="AI44" s="9">
        <f>IFERROR((_xlfn.XLOOKUP($C44, Lebensmitteldaten!$C:$C, Lebensmitteldaten!AI:AI) * $B17) / 100, 0)</f>
        <v>0</v>
      </c>
      <c r="AJ44" s="9">
        <f>IFERROR((_xlfn.XLOOKUP($C44, Lebensmitteldaten!$C:$C, Lebensmitteldaten!AJ:AJ) * $B17) / 100, 0)</f>
        <v>0.04</v>
      </c>
      <c r="AK44" s="9">
        <f>IFERROR((_xlfn.XLOOKUP($C44, Lebensmitteldaten!$C:$C, Lebensmitteldaten!AK:AK) * $B17) / 100, 0)</f>
        <v>4.5199999999999996</v>
      </c>
      <c r="AL44" s="9">
        <f>IFERROR((_xlfn.XLOOKUP($C44, Lebensmitteldaten!$C:$C, Lebensmitteldaten!AL:AL) * $B17) / 100, 0)</f>
        <v>1.2</v>
      </c>
      <c r="AM44" s="9">
        <f>IFERROR((_xlfn.XLOOKUP($C44, Lebensmitteldaten!$C:$C, Lebensmitteldaten!AM:AM) * $B17) / 100, 0)</f>
        <v>0</v>
      </c>
      <c r="AN44" s="9">
        <f>IFERROR((_xlfn.XLOOKUP($C44, Lebensmitteldaten!$C:$C, Lebensmitteldaten!AN:AN) * $B17) / 100 * 1000, 0)</f>
        <v>4.8</v>
      </c>
      <c r="AO44" s="9">
        <f>IFERROR((_xlfn.XLOOKUP($C44, Lebensmitteldaten!$C:$C, Lebensmitteldaten!AO:AO) * $B17) / 100 * 1000, 0)</f>
        <v>0</v>
      </c>
      <c r="AP44" s="9">
        <f>IFERROR((_xlfn.XLOOKUP($C44, Lebensmitteldaten!$C:$C, Lebensmitteldaten!AP:AP) * $B17) / 100 * 1000, 0)</f>
        <v>0</v>
      </c>
      <c r="AQ44" s="9">
        <f>IFERROR((_xlfn.XLOOKUP($C44, Lebensmitteldaten!$C:$C, Lebensmitteldaten!AQ:AQ) * $B17) / 100 * 1000, 0)</f>
        <v>88.000000000000014</v>
      </c>
      <c r="AR44" s="9">
        <f>IFERROR((_xlfn.XLOOKUP($C44, Lebensmitteldaten!$C:$C, Lebensmitteldaten!AR:AR) * $B17) / 100 * 1000, 0)</f>
        <v>88.000000000000014</v>
      </c>
      <c r="AS44" s="9">
        <f>IFERROR((_xlfn.XLOOKUP($C44, Lebensmitteldaten!$C:$C, Lebensmitteldaten!AS:AS) * $B17) / 100 * 1000, 0)</f>
        <v>227.99999999999997</v>
      </c>
      <c r="AT44" s="9">
        <f>IFERROR((_xlfn.XLOOKUP($C44, Lebensmitteldaten!$C:$C, Lebensmitteldaten!AT:AT) * $B17) / 100 * 1000, 0)</f>
        <v>44.000000000000007</v>
      </c>
      <c r="AU44" s="9">
        <f>IFERROR((_xlfn.XLOOKUP($C44, Lebensmitteldaten!$C:$C, Lebensmitteldaten!AU:AU) * $B17) / 100 * 1000, 0)</f>
        <v>68</v>
      </c>
      <c r="AV44" s="9">
        <f>IFERROR((_xlfn.XLOOKUP($C44, Lebensmitteldaten!$C:$C, Lebensmitteldaten!AV:AV) * $B17) / 100 * 1000, 0)</f>
        <v>115.99999999999999</v>
      </c>
      <c r="AW44" s="9">
        <f>IFERROR((_xlfn.XLOOKUP($C44, Lebensmitteldaten!$C:$C, Lebensmitteldaten!AW:AW) * $B17) / 100 * 1000, 0)</f>
        <v>68</v>
      </c>
      <c r="AX44" s="9">
        <f>IFERROR((_xlfn.XLOOKUP($C44, Lebensmitteldaten!$C:$C, Lebensmitteldaten!AX:AX) * $B17) / 100, 0)</f>
        <v>0</v>
      </c>
      <c r="AY44" s="9">
        <f>IFERROR((_xlfn.XLOOKUP($C44, Lebensmitteldaten!$C:$C, Lebensmitteldaten!AY:AY) * $B17) / 100, 0)</f>
        <v>0</v>
      </c>
      <c r="AZ44" s="9">
        <f>IFERROR((_xlfn.XLOOKUP($C44, Lebensmitteldaten!$C:$C, Lebensmitteldaten!AZ:AZ) * $B17) / 100, 0)</f>
        <v>3.1587999999999998E-2</v>
      </c>
    </row>
    <row r="45" spans="1:52" x14ac:dyDescent="0.45">
      <c r="A45" t="str">
        <f>_xlfn.XLOOKUP($A18, Lebensmitteldaten!$C:$C, Lebensmitteldaten!$A:$A, "")</f>
        <v>Fette</v>
      </c>
      <c r="B45">
        <f>_xlfn.XLOOKUP($A18, Lebensmitteldaten!$C:$C, Lebensmitteldaten!$B:$B, "")</f>
        <v>0</v>
      </c>
      <c r="C45" t="str">
        <f t="shared" si="1"/>
        <v>Anchovisöl Kochen für Hunde</v>
      </c>
      <c r="D45" s="9">
        <f>IFERROR((_xlfn.XLOOKUP($C45, Lebensmitteldaten!$C:$C, Lebensmitteldaten!D:D) * $B18) / 100, 0)</f>
        <v>50.49</v>
      </c>
      <c r="E45" s="9">
        <f>IFERROR((_xlfn.XLOOKUP($C45, Lebensmitteldaten!$C:$C, Lebensmitteldaten!E:E) * $B18) / 100, 0)</f>
        <v>0.21125523012552302</v>
      </c>
      <c r="F45" s="9">
        <f>IFERROR((_xlfn.XLOOKUP($C45, Lebensmitteldaten!$C:$C, Lebensmitteldaten!F:F) * $B18) / 100, 0)</f>
        <v>0</v>
      </c>
      <c r="G45" s="9">
        <f>IFERROR((_xlfn.XLOOKUP($C45, Lebensmitteldaten!$C:$C, Lebensmitteldaten!G:G) * $B18) / 100, 0)</f>
        <v>0</v>
      </c>
      <c r="H45" s="9">
        <f>IFERROR((_xlfn.XLOOKUP($C45, Lebensmitteldaten!$C:$C, Lebensmitteldaten!H:H) * $B18) / 100, 0)</f>
        <v>5.94</v>
      </c>
      <c r="I45" s="9">
        <f>IFERROR((_xlfn.XLOOKUP($C45, Lebensmitteldaten!$C:$C, Lebensmitteldaten!I:I) * $B18) / 100, 0)</f>
        <v>0.06</v>
      </c>
      <c r="J45" s="9">
        <f>IFERROR((_xlfn.XLOOKUP($C45, Lebensmitteldaten!$C:$C, Lebensmitteldaten!J:J) * $B18) / 100, 0)</f>
        <v>0</v>
      </c>
      <c r="K45" s="9">
        <f>IFERROR((_xlfn.XLOOKUP($C45, Lebensmitteldaten!$C:$C, Lebensmitteldaten!K:K) * $B18) / 100, 0)</f>
        <v>0</v>
      </c>
      <c r="L45" s="9">
        <f>IFERROR((_xlfn.XLOOKUP($C45, Lebensmitteldaten!$C:$C, Lebensmitteldaten!L:L) * $B18) / 100, 0)</f>
        <v>0</v>
      </c>
      <c r="M45" s="9">
        <f>IFERROR((_xlfn.XLOOKUP($C45, Lebensmitteldaten!$C:$C, Lebensmitteldaten!M:M) * $B18) / 100, 0)</f>
        <v>6</v>
      </c>
      <c r="N45" s="9">
        <f>IFERROR((_xlfn.XLOOKUP($C45, Lebensmitteldaten!$C:$C, Lebensmitteldaten!N:N) * $B18) / 100, 0)</f>
        <v>0</v>
      </c>
      <c r="O45" s="9">
        <f>IFERROR((_xlfn.XLOOKUP($C45, Lebensmitteldaten!$C:$C, Lebensmitteldaten!O:O) * $B18) / 100, 0)</f>
        <v>0</v>
      </c>
      <c r="P45" s="9">
        <f>IFERROR((_xlfn.XLOOKUP($C45, Lebensmitteldaten!$C:$C, Lebensmitteldaten!P:P) * $B18) / 100, 0)</f>
        <v>0</v>
      </c>
      <c r="Q45" s="9">
        <f>IFERROR((_xlfn.XLOOKUP($C45, Lebensmitteldaten!$C:$C, Lebensmitteldaten!Q:Q) * $B18) / 100, 0)</f>
        <v>0</v>
      </c>
      <c r="R45" s="9">
        <f>IFERROR((_xlfn.XLOOKUP($C45, Lebensmitteldaten!$C:$C, Lebensmitteldaten!R:R) * $B18) / 100, 0)</f>
        <v>0</v>
      </c>
      <c r="S45" s="9">
        <f>IFERROR((_xlfn.XLOOKUP($C45, Lebensmitteldaten!$C:$C, Lebensmitteldaten!S:S) * $B18) / 100, 0)</f>
        <v>0</v>
      </c>
      <c r="T45" s="9">
        <f>IFERROR((_xlfn.XLOOKUP($C45, Lebensmitteldaten!$C:$C, Lebensmitteldaten!T:T) * $B18) / 100, 0)</f>
        <v>0</v>
      </c>
      <c r="U45" s="9">
        <f>IFERROR((_xlfn.XLOOKUP($C45, Lebensmitteldaten!$C:$C, Lebensmitteldaten!U:U) * $B18) / 100, 0)</f>
        <v>0</v>
      </c>
      <c r="V45" s="9">
        <f>IFERROR((_xlfn.XLOOKUP($C45, Lebensmitteldaten!$C:$C, Lebensmitteldaten!V:V) * $B18) / 100, 0)</f>
        <v>0</v>
      </c>
      <c r="W45" s="9">
        <f>IFERROR((_xlfn.XLOOKUP($C45, Lebensmitteldaten!$C:$C, Lebensmitteldaten!W:W) * $B18) / 100 / 1000, 0)</f>
        <v>0</v>
      </c>
      <c r="X45" s="9">
        <f>IFERROR((_xlfn.XLOOKUP($C45, Lebensmitteldaten!$C:$C, Lebensmitteldaten!X:X) * $B18) / 100 / 1000, 0)</f>
        <v>0</v>
      </c>
      <c r="Y45" s="9">
        <f>IFERROR((_xlfn.XLOOKUP($C45, Lebensmitteldaten!$C:$C, Lebensmitteldaten!Y:Y) * $B18) / 100, 0)</f>
        <v>0</v>
      </c>
      <c r="Z45" s="9">
        <f>IFERROR((_xlfn.XLOOKUP($C45, Lebensmitteldaten!$C:$C, Lebensmitteldaten!Z:Z) * $B18) / 100, 0)</f>
        <v>0</v>
      </c>
      <c r="AA45" s="9">
        <f>IFERROR((_xlfn.XLOOKUP($C45, Lebensmitteldaten!$C:$C, Lebensmitteldaten!AA:AA) * $B18) / 100, 0)</f>
        <v>0</v>
      </c>
      <c r="AB45" s="9">
        <f>IFERROR((_xlfn.XLOOKUP($C45, Lebensmitteldaten!$C:$C, Lebensmitteldaten!AB:AB) * $B18) / 100, 0)</f>
        <v>43.5</v>
      </c>
      <c r="AC45" s="9">
        <f>IFERROR((_xlfn.XLOOKUP($C45, Lebensmitteldaten!$C:$C, Lebensmitteldaten!AC:AC) * $B18) / 100, 0)</f>
        <v>0</v>
      </c>
      <c r="AD45" s="9">
        <f>IFERROR((_xlfn.XLOOKUP($C45, Lebensmitteldaten!$C:$C, Lebensmitteldaten!AD:AD) * $B18) / 100 * 1000, 0)</f>
        <v>0</v>
      </c>
      <c r="AE45" s="9">
        <f>IFERROR((_xlfn.XLOOKUP($C45, Lebensmitteldaten!$C:$C, Lebensmitteldaten!AE:AE) * $B18) / 100 * 1000, 0)</f>
        <v>0</v>
      </c>
      <c r="AF45" s="9">
        <f>IFERROR((_xlfn.XLOOKUP($C45, Lebensmitteldaten!$C:$C, Lebensmitteldaten!AF:AF) * $B18) / 100 * 1000, 0)</f>
        <v>0</v>
      </c>
      <c r="AG45" s="9">
        <f>IFERROR((_xlfn.XLOOKUP($C45, Lebensmitteldaten!$C:$C, Lebensmitteldaten!AG:AG) * $B18) / 100, 0)</f>
        <v>0</v>
      </c>
      <c r="AH45" s="9">
        <f>IFERROR((_xlfn.XLOOKUP($C45, Lebensmitteldaten!$C:$C, Lebensmitteldaten!AH:AH) * $B18) / 100, 0)</f>
        <v>0</v>
      </c>
      <c r="AI45" s="9">
        <f>IFERROR((_xlfn.XLOOKUP($C45, Lebensmitteldaten!$C:$C, Lebensmitteldaten!AI:AI) * $B18) / 100, 0)</f>
        <v>0</v>
      </c>
      <c r="AJ45" s="9">
        <f>IFERROR((_xlfn.XLOOKUP($C45, Lebensmitteldaten!$C:$C, Lebensmitteldaten!AJ:AJ) * $B18) / 100, 0)</f>
        <v>0</v>
      </c>
      <c r="AK45" s="9">
        <f>IFERROR((_xlfn.XLOOKUP($C45, Lebensmitteldaten!$C:$C, Lebensmitteldaten!AK:AK) * $B18) / 100, 0)</f>
        <v>0</v>
      </c>
      <c r="AL45" s="9">
        <f>IFERROR((_xlfn.XLOOKUP($C45, Lebensmitteldaten!$C:$C, Lebensmitteldaten!AL:AL) * $B18) / 100, 0)</f>
        <v>0</v>
      </c>
      <c r="AM45" s="9">
        <f>IFERROR((_xlfn.XLOOKUP($C45, Lebensmitteldaten!$C:$C, Lebensmitteldaten!AM:AM) * $B18) / 100, 0)</f>
        <v>0</v>
      </c>
      <c r="AN45" s="9">
        <f>IFERROR((_xlfn.XLOOKUP($C45, Lebensmitteldaten!$C:$C, Lebensmitteldaten!AN:AN) * $B18) / 100 * 1000, 0)</f>
        <v>0</v>
      </c>
      <c r="AO45" s="9">
        <f>IFERROR((_xlfn.XLOOKUP($C45, Lebensmitteldaten!$C:$C, Lebensmitteldaten!AO:AO) * $B18) / 100 * 1000, 0)</f>
        <v>1110</v>
      </c>
      <c r="AP45" s="9">
        <f>IFERROR((_xlfn.XLOOKUP($C45, Lebensmitteldaten!$C:$C, Lebensmitteldaten!AP:AP) * $B18) / 100 * 1000, 0)</f>
        <v>828.00000000000011</v>
      </c>
      <c r="AQ45" s="9">
        <f>IFERROR((_xlfn.XLOOKUP($C45, Lebensmitteldaten!$C:$C, Lebensmitteldaten!AQ:AQ) * $B18) / 100 * 1000, 0)</f>
        <v>0</v>
      </c>
      <c r="AR45" s="9">
        <f>IFERROR((_xlfn.XLOOKUP($C45, Lebensmitteldaten!$C:$C, Lebensmitteldaten!AR:AR) * $B18) / 100 * 1000, 0)</f>
        <v>102</v>
      </c>
      <c r="AS45" s="9">
        <f>IFERROR((_xlfn.XLOOKUP($C45, Lebensmitteldaten!$C:$C, Lebensmitteldaten!AS:AS) * $B18) / 100 * 1000, 0)</f>
        <v>0</v>
      </c>
      <c r="AT45" s="9">
        <f>IFERROR((_xlfn.XLOOKUP($C45, Lebensmitteldaten!$C:$C, Lebensmitteldaten!AT:AT) * $B18) / 100 * 1000, 0)</f>
        <v>0</v>
      </c>
      <c r="AU45" s="9">
        <f>IFERROR((_xlfn.XLOOKUP($C45, Lebensmitteldaten!$C:$C, Lebensmitteldaten!AU:AU) * $B18) / 100 * 1000, 0)</f>
        <v>0</v>
      </c>
      <c r="AV45" s="9">
        <f>IFERROR((_xlfn.XLOOKUP($C45, Lebensmitteldaten!$C:$C, Lebensmitteldaten!AV:AV) * $B18) / 100 * 1000, 0)</f>
        <v>0</v>
      </c>
      <c r="AW45" s="9">
        <f>IFERROR((_xlfn.XLOOKUP($C45, Lebensmitteldaten!$C:$C, Lebensmitteldaten!AW:AW) * $B18) / 100 * 1000, 0)</f>
        <v>0</v>
      </c>
      <c r="AX45" s="9">
        <f>IFERROR((_xlfn.XLOOKUP($C45, Lebensmitteldaten!$C:$C, Lebensmitteldaten!AX:AX) * $B18) / 100, 0)</f>
        <v>0</v>
      </c>
      <c r="AY45" s="9">
        <f>IFERROR((_xlfn.XLOOKUP($C45, Lebensmitteldaten!$C:$C, Lebensmitteldaten!AY:AY) * $B18) / 100, 0)</f>
        <v>0</v>
      </c>
      <c r="AZ45" s="9">
        <f>IFERROR((_xlfn.XLOOKUP($C45, Lebensmitteldaten!$C:$C, Lebensmitteldaten!AZ:AZ) * $B18) / 100, 0)</f>
        <v>64.814999999999998</v>
      </c>
    </row>
    <row r="46" spans="1:52" x14ac:dyDescent="0.45">
      <c r="A46" t="str">
        <f>_xlfn.XLOOKUP($A19, Lebensmitteldaten!$C:$C, Lebensmitteldaten!$A:$A, "")</f>
        <v>Fette</v>
      </c>
      <c r="B46" t="str">
        <f>_xlfn.XLOOKUP($A19, Lebensmitteldaten!$C:$C, Lebensmitteldaten!$B:$B, "")</f>
        <v>Q170000</v>
      </c>
      <c r="C46" t="str">
        <f t="shared" si="1"/>
        <v>Hanföl</v>
      </c>
      <c r="D46" s="9">
        <f>IFERROR((_xlfn.XLOOKUP($C46, Lebensmitteldaten!$C:$C, Lebensmitteldaten!D:D) * $B19) / 100, 0)</f>
        <v>54</v>
      </c>
      <c r="E46" s="9">
        <f>IFERROR((_xlfn.XLOOKUP($C46, Lebensmitteldaten!$C:$C, Lebensmitteldaten!E:E) * $B19) / 100, 0)</f>
        <v>0.22594142259414227</v>
      </c>
      <c r="F46" s="9">
        <f>IFERROR((_xlfn.XLOOKUP($C46, Lebensmitteldaten!$C:$C, Lebensmitteldaten!F:F) * $B19) / 100, 0)</f>
        <v>0</v>
      </c>
      <c r="G46" s="9">
        <f>IFERROR((_xlfn.XLOOKUP($C46, Lebensmitteldaten!$C:$C, Lebensmitteldaten!G:G) * $B19) / 100, 0)</f>
        <v>0</v>
      </c>
      <c r="H46" s="9">
        <f>IFERROR((_xlfn.XLOOKUP($C46, Lebensmitteldaten!$C:$C, Lebensmitteldaten!H:H) * $B19) / 100, 0)</f>
        <v>6</v>
      </c>
      <c r="I46" s="9">
        <f>IFERROR((_xlfn.XLOOKUP($C46, Lebensmitteldaten!$C:$C, Lebensmitteldaten!I:I) * $B19) / 100, 0)</f>
        <v>0</v>
      </c>
      <c r="J46" s="9">
        <f>IFERROR((_xlfn.XLOOKUP($C46, Lebensmitteldaten!$C:$C, Lebensmitteldaten!J:J) * $B19) / 100, 0)</f>
        <v>0</v>
      </c>
      <c r="K46" s="9">
        <f>IFERROR((_xlfn.XLOOKUP($C46, Lebensmitteldaten!$C:$C, Lebensmitteldaten!K:K) * $B19) / 100, 0)</f>
        <v>0</v>
      </c>
      <c r="L46" s="9">
        <f>IFERROR((_xlfn.XLOOKUP($C46, Lebensmitteldaten!$C:$C, Lebensmitteldaten!L:L) * $B19) / 100, 0)</f>
        <v>0</v>
      </c>
      <c r="M46" s="9">
        <f>IFERROR((_xlfn.XLOOKUP($C46, Lebensmitteldaten!$C:$C, Lebensmitteldaten!M:M) * $B19) / 100, 0)</f>
        <v>6</v>
      </c>
      <c r="N46" s="9">
        <f>IFERROR((_xlfn.XLOOKUP($C46, Lebensmitteldaten!$C:$C, Lebensmitteldaten!N:N) * $B19) / 100, 0)</f>
        <v>2.6502059999999997E-2</v>
      </c>
      <c r="O46" s="9">
        <f>IFERROR((_xlfn.XLOOKUP($C46, Lebensmitteldaten!$C:$C, Lebensmitteldaten!O:O) * $B19) / 100, 0)</f>
        <v>0.10212</v>
      </c>
      <c r="P46" s="9">
        <f>IFERROR((_xlfn.XLOOKUP($C46, Lebensmitteldaten!$C:$C, Lebensmitteldaten!P:P) * $B19) / 100, 0)</f>
        <v>2.672826E-2</v>
      </c>
      <c r="Q46" s="9">
        <f>IFERROR((_xlfn.XLOOKUP($C46, Lebensmitteldaten!$C:$C, Lebensmitteldaten!Q:Q) * $B19) / 100, 0)</f>
        <v>9.8999999999999991E-2</v>
      </c>
      <c r="R46" s="9">
        <f>IFERROR((_xlfn.XLOOKUP($C46, Lebensmitteldaten!$C:$C, Lebensmitteldaten!R:R) * $B19) / 100, 0)</f>
        <v>4.0680899999999999E-2</v>
      </c>
      <c r="S46" s="9">
        <f>IFERROR((_xlfn.XLOOKUP($C46, Lebensmitteldaten!$C:$C, Lebensmitteldaten!S:S) * $B19) / 100, 0)</f>
        <v>0</v>
      </c>
      <c r="T46" s="9">
        <f>IFERROR((_xlfn.XLOOKUP($C46, Lebensmitteldaten!$C:$C, Lebensmitteldaten!T:T) * $B19) / 100, 0)</f>
        <v>6.934319999999999E-3</v>
      </c>
      <c r="U46" s="9">
        <f>IFERROR((_xlfn.XLOOKUP($C46, Lebensmitteldaten!$C:$C, Lebensmitteldaten!U:U) * $B19) / 100, 0)</f>
        <v>2.4065879999999999E-3</v>
      </c>
      <c r="V46" s="9">
        <f>IFERROR((_xlfn.XLOOKUP($C46, Lebensmitteldaten!$C:$C, Lebensmitteldaten!V:V) * $B19) / 100, 0)</f>
        <v>0</v>
      </c>
      <c r="W46" s="9">
        <f>IFERROR((_xlfn.XLOOKUP($C46, Lebensmitteldaten!$C:$C, Lebensmitteldaten!W:W) * $B19) / 100 / 1000, 0)</f>
        <v>1.4993999999999999E-4</v>
      </c>
      <c r="X46" s="9">
        <f>IFERROR((_xlfn.XLOOKUP($C46, Lebensmitteldaten!$C:$C, Lebensmitteldaten!X:X) * $B19) / 100 / 1000, 0)</f>
        <v>8.1840000000000016E-5</v>
      </c>
      <c r="Y46" s="9">
        <f>IFERROR((_xlfn.XLOOKUP($C46, Lebensmitteldaten!$C:$C, Lebensmitteldaten!Y:Y) * $B19) / 100, 0)</f>
        <v>5.9999999999999995E-4</v>
      </c>
      <c r="Z46" s="9">
        <f>IFERROR((_xlfn.XLOOKUP($C46, Lebensmitteldaten!$C:$C, Lebensmitteldaten!Z:Z) * $B19) / 100, 0)</f>
        <v>0</v>
      </c>
      <c r="AA46" s="9">
        <f>IFERROR((_xlfn.XLOOKUP($C46, Lebensmitteldaten!$C:$C, Lebensmitteldaten!AA:AA) * $B19) / 100, 0)</f>
        <v>0</v>
      </c>
      <c r="AB46" s="9">
        <f>IFERROR((_xlfn.XLOOKUP($C46, Lebensmitteldaten!$C:$C, Lebensmitteldaten!AB:AB) * $B19) / 100, 0)</f>
        <v>0.34799999999999998</v>
      </c>
      <c r="AC46" s="9">
        <f>IFERROR((_xlfn.XLOOKUP($C46, Lebensmitteldaten!$C:$C, Lebensmitteldaten!AC:AC) * $B19) / 100, 0)</f>
        <v>1.26</v>
      </c>
      <c r="AD46" s="9">
        <f>IFERROR((_xlfn.XLOOKUP($C46, Lebensmitteldaten!$C:$C, Lebensmitteldaten!AD:AD) * $B19) / 100 * 1000, 0)</f>
        <v>0</v>
      </c>
      <c r="AE46" s="9">
        <f>IFERROR((_xlfn.XLOOKUP($C46, Lebensmitteldaten!$C:$C, Lebensmitteldaten!AE:AE) * $B19) / 100 * 1000, 0)</f>
        <v>0</v>
      </c>
      <c r="AF46" s="9">
        <f>IFERROR((_xlfn.XLOOKUP($C46, Lebensmitteldaten!$C:$C, Lebensmitteldaten!AF:AF) * $B19) / 100 * 1000, 0)</f>
        <v>0</v>
      </c>
      <c r="AG46" s="9">
        <f>IFERROR((_xlfn.XLOOKUP($C46, Lebensmitteldaten!$C:$C, Lebensmitteldaten!AG:AG) * $B19) / 100, 0)</f>
        <v>0</v>
      </c>
      <c r="AH46" s="9">
        <f>IFERROR((_xlfn.XLOOKUP($C46, Lebensmitteldaten!$C:$C, Lebensmitteldaten!AH:AH) * $B19) / 100, 0)</f>
        <v>0</v>
      </c>
      <c r="AI46" s="9">
        <f>IFERROR((_xlfn.XLOOKUP($C46, Lebensmitteldaten!$C:$C, Lebensmitteldaten!AI:AI) * $B19) / 100, 0)</f>
        <v>0</v>
      </c>
      <c r="AJ46" s="9">
        <f>IFERROR((_xlfn.XLOOKUP($C46, Lebensmitteldaten!$C:$C, Lebensmitteldaten!AJ:AJ) * $B19) / 100, 0)</f>
        <v>7.26</v>
      </c>
      <c r="AK46" s="9">
        <f>IFERROR((_xlfn.XLOOKUP($C46, Lebensmitteldaten!$C:$C, Lebensmitteldaten!AK:AK) * $B19) / 100, 0)</f>
        <v>0</v>
      </c>
      <c r="AL46" s="9">
        <f>IFERROR((_xlfn.XLOOKUP($C46, Lebensmitteldaten!$C:$C, Lebensmitteldaten!AL:AL) * $B19) / 100, 0)</f>
        <v>0</v>
      </c>
      <c r="AM46" s="9">
        <f>IFERROR((_xlfn.XLOOKUP($C46, Lebensmitteldaten!$C:$C, Lebensmitteldaten!AM:AM) * $B19) / 100, 0)</f>
        <v>0</v>
      </c>
      <c r="AN46" s="9">
        <f>IFERROR((_xlfn.XLOOKUP($C46, Lebensmitteldaten!$C:$C, Lebensmitteldaten!AN:AN) * $B19) / 100 * 1000, 0)</f>
        <v>1128</v>
      </c>
      <c r="AO46" s="9">
        <f>IFERROR((_xlfn.XLOOKUP($C46, Lebensmitteldaten!$C:$C, Lebensmitteldaten!AO:AO) * $B19) / 100 * 1000, 0)</f>
        <v>0</v>
      </c>
      <c r="AP46" s="9">
        <f>IFERROR((_xlfn.XLOOKUP($C46, Lebensmitteldaten!$C:$C, Lebensmitteldaten!AP:AP) * $B19) / 100 * 1000, 0)</f>
        <v>0</v>
      </c>
      <c r="AQ46" s="9">
        <f>IFERROR((_xlfn.XLOOKUP($C46, Lebensmitteldaten!$C:$C, Lebensmitteldaten!AQ:AQ) * $B19) / 100 * 1000, 0)</f>
        <v>3156</v>
      </c>
      <c r="AR46" s="9">
        <f>IFERROR((_xlfn.XLOOKUP($C46, Lebensmitteldaten!$C:$C, Lebensmitteldaten!AR:AR) * $B19) / 100 * 1000, 0)</f>
        <v>3156</v>
      </c>
      <c r="AS46" s="9">
        <f>IFERROR((_xlfn.XLOOKUP($C46, Lebensmitteldaten!$C:$C, Lebensmitteldaten!AS:AS) * $B19) / 100 * 1000, 0)</f>
        <v>0</v>
      </c>
      <c r="AT46" s="9">
        <f>IFERROR((_xlfn.XLOOKUP($C46, Lebensmitteldaten!$C:$C, Lebensmitteldaten!AT:AT) * $B19) / 100 * 1000, 0)</f>
        <v>0</v>
      </c>
      <c r="AU46" s="9">
        <f>IFERROR((_xlfn.XLOOKUP($C46, Lebensmitteldaten!$C:$C, Lebensmitteldaten!AU:AU) * $B19) / 100 * 1000, 0)</f>
        <v>0</v>
      </c>
      <c r="AV46" s="9">
        <f>IFERROR((_xlfn.XLOOKUP($C46, Lebensmitteldaten!$C:$C, Lebensmitteldaten!AV:AV) * $B19) / 100 * 1000, 0)</f>
        <v>0</v>
      </c>
      <c r="AW46" s="9">
        <f>IFERROR((_xlfn.XLOOKUP($C46, Lebensmitteldaten!$C:$C, Lebensmitteldaten!AW:AW) * $B19) / 100 * 1000, 0)</f>
        <v>0</v>
      </c>
      <c r="AX46" s="9">
        <f>IFERROR((_xlfn.XLOOKUP($C46, Lebensmitteldaten!$C:$C, Lebensmitteldaten!AX:AX) * $B19) / 100, 0)</f>
        <v>0</v>
      </c>
      <c r="AY46" s="9">
        <f>IFERROR((_xlfn.XLOOKUP($C46, Lebensmitteldaten!$C:$C, Lebensmitteldaten!AY:AY) * $B19) / 100, 0)</f>
        <v>4.1958000000000002</v>
      </c>
      <c r="AZ46" s="9">
        <f>IFERROR((_xlfn.XLOOKUP($C46, Lebensmitteldaten!$C:$C, Lebensmitteldaten!AZ:AZ) * $B19) / 100, 0)</f>
        <v>0.51851999999999998</v>
      </c>
    </row>
    <row r="47" spans="1:52" x14ac:dyDescent="0.45">
      <c r="A47" t="str">
        <f>_xlfn.XLOOKUP($A20, Lebensmitteldaten!$C:$C, Lebensmitteldaten!$A:$A, "")</f>
        <v>Gemüse</v>
      </c>
      <c r="B47" t="str">
        <f>_xlfn.XLOOKUP($A20, Lebensmitteldaten!$C:$C, Lebensmitteldaten!$B:$B, "")</f>
        <v>G581032</v>
      </c>
      <c r="C47" t="str">
        <f t="shared" si="1"/>
        <v>Kürbis Hokkaido (C. maxima) gekocht</v>
      </c>
      <c r="D47" s="9">
        <f>IFERROR((_xlfn.XLOOKUP($C47, Lebensmitteldaten!$C:$C, Lebensmitteldaten!D:D) * $B20) / 100, 0)</f>
        <v>9</v>
      </c>
      <c r="E47" s="9">
        <f>IFERROR((_xlfn.XLOOKUP($C47, Lebensmitteldaten!$C:$C, Lebensmitteldaten!E:E) * $B20) / 100, 0)</f>
        <v>3.7656903765690378E-2</v>
      </c>
      <c r="F47" s="9">
        <f>IFERROR((_xlfn.XLOOKUP($C47, Lebensmitteldaten!$C:$C, Lebensmitteldaten!F:F) * $B20) / 100, 0)</f>
        <v>0.42</v>
      </c>
      <c r="G47" s="9">
        <f>IFERROR((_xlfn.XLOOKUP($C47, Lebensmitteldaten!$C:$C, Lebensmitteldaten!G:G) * $B20) / 100, 0)</f>
        <v>0.35699999999999998</v>
      </c>
      <c r="H47" s="9">
        <f>IFERROR((_xlfn.XLOOKUP($C47, Lebensmitteldaten!$C:$C, Lebensmitteldaten!H:H) * $B20) / 100, 0)</f>
        <v>0.06</v>
      </c>
      <c r="I47" s="9">
        <f>IFERROR((_xlfn.XLOOKUP($C47, Lebensmitteldaten!$C:$C, Lebensmitteldaten!I:I) * $B20) / 100, 0)</f>
        <v>3.8783999999999992</v>
      </c>
      <c r="J47" s="9">
        <f>IFERROR((_xlfn.XLOOKUP($C47, Lebensmitteldaten!$C:$C, Lebensmitteldaten!J:J) * $B20) / 100, 0)</f>
        <v>0</v>
      </c>
      <c r="K47" s="9">
        <f>IFERROR((_xlfn.XLOOKUP($C47, Lebensmitteldaten!$C:$C, Lebensmitteldaten!K:K) * $B20) / 100, 0)</f>
        <v>0.22800000000000001</v>
      </c>
      <c r="L47" s="9">
        <f>IFERROR((_xlfn.XLOOKUP($C47, Lebensmitteldaten!$C:$C, Lebensmitteldaten!L:L) * $B20) / 100, 0)</f>
        <v>25.413600000000002</v>
      </c>
      <c r="M47" s="9">
        <f>IFERROR((_xlfn.XLOOKUP($C47, Lebensmitteldaten!$C:$C, Lebensmitteldaten!M:M) * $B20) / 100, 0)</f>
        <v>4.5863999999999985</v>
      </c>
      <c r="N47" s="9">
        <f>IFERROR((_xlfn.XLOOKUP($C47, Lebensmitteldaten!$C:$C, Lebensmitteldaten!N:N) * $B20) / 100, 0)</f>
        <v>10.02</v>
      </c>
      <c r="O47" s="9">
        <f>IFERROR((_xlfn.XLOOKUP($C47, Lebensmitteldaten!$C:$C, Lebensmitteldaten!O:O) * $B20) / 100, 0)</f>
        <v>11.19</v>
      </c>
      <c r="P47" s="9">
        <f>IFERROR((_xlfn.XLOOKUP($C47, Lebensmitteldaten!$C:$C, Lebensmitteldaten!P:P) * $B20) / 100, 0)</f>
        <v>3.39</v>
      </c>
      <c r="Q47" s="9">
        <f>IFERROR((_xlfn.XLOOKUP($C47, Lebensmitteldaten!$C:$C, Lebensmitteldaten!Q:Q) * $B20) / 100, 0)</f>
        <v>1.8</v>
      </c>
      <c r="R47" s="9">
        <f>IFERROR((_xlfn.XLOOKUP($C47, Lebensmitteldaten!$C:$C, Lebensmitteldaten!R:R) * $B20) / 100, 0)</f>
        <v>67.8</v>
      </c>
      <c r="S47" s="9">
        <f>IFERROR((_xlfn.XLOOKUP($C47, Lebensmitteldaten!$C:$C, Lebensmitteldaten!S:S) * $B20) / 100, 0)</f>
        <v>0</v>
      </c>
      <c r="T47" s="9">
        <f>IFERROR((_xlfn.XLOOKUP($C47, Lebensmitteldaten!$C:$C, Lebensmitteldaten!T:T) * $B20) / 100, 0)</f>
        <v>0.12209999999999999</v>
      </c>
      <c r="U47" s="9">
        <f>IFERROR((_xlfn.XLOOKUP($C47, Lebensmitteldaten!$C:$C, Lebensmitteldaten!U:U) * $B20) / 100, 0)</f>
        <v>6.9000000000000006E-2</v>
      </c>
      <c r="V47" s="9">
        <f>IFERROR((_xlfn.XLOOKUP($C47, Lebensmitteldaten!$C:$C, Lebensmitteldaten!V:V) * $B20) / 100, 0)</f>
        <v>0</v>
      </c>
      <c r="W47" s="9">
        <f>IFERROR((_xlfn.XLOOKUP($C47, Lebensmitteldaten!$C:$C, Lebensmitteldaten!W:W) * $B20) / 100 / 1000, 0)</f>
        <v>1.473E-2</v>
      </c>
      <c r="X47" s="9">
        <f>IFERROR((_xlfn.XLOOKUP($C47, Lebensmitteldaten!$C:$C, Lebensmitteldaten!X:X) * $B20) / 100 / 1000, 0)</f>
        <v>1.482E-2</v>
      </c>
      <c r="Y47" s="9">
        <f>IFERROR((_xlfn.XLOOKUP($C47, Lebensmitteldaten!$C:$C, Lebensmitteldaten!Y:Y) * $B20) / 100, 0)</f>
        <v>0.39</v>
      </c>
      <c r="Z47" s="9">
        <f>IFERROR((_xlfn.XLOOKUP($C47, Lebensmitteldaten!$C:$C, Lebensmitteldaten!Z:Z) * $B20) / 100, 0)</f>
        <v>0</v>
      </c>
      <c r="AA47" s="9">
        <f>IFERROR((_xlfn.XLOOKUP($C47, Lebensmitteldaten!$C:$C, Lebensmitteldaten!AA:AA) * $B20) / 100, 0)</f>
        <v>0</v>
      </c>
      <c r="AB47" s="9">
        <f>IFERROR((_xlfn.XLOOKUP($C47, Lebensmitteldaten!$C:$C, Lebensmitteldaten!AB:AB) * $B20) / 100, 0)</f>
        <v>0.33329999999999999</v>
      </c>
      <c r="AC47" s="9">
        <f>IFERROR((_xlfn.XLOOKUP($C47, Lebensmitteldaten!$C:$C, Lebensmitteldaten!AC:AC) * $B20) / 100, 0)</f>
        <v>29.7</v>
      </c>
      <c r="AD47" s="9">
        <f>IFERROR((_xlfn.XLOOKUP($C47, Lebensmitteldaten!$C:$C, Lebensmitteldaten!AD:AD) * $B20) / 100 * 1000, 0)</f>
        <v>19.500000000000004</v>
      </c>
      <c r="AE47" s="9">
        <f>IFERROR((_xlfn.XLOOKUP($C47, Lebensmitteldaten!$C:$C, Lebensmitteldaten!AE:AE) * $B20) / 100 * 1000, 0)</f>
        <v>12.899999999999999</v>
      </c>
      <c r="AF47" s="9">
        <f>IFERROR((_xlfn.XLOOKUP($C47, Lebensmitteldaten!$C:$C, Lebensmitteldaten!AF:AF) * $B20) / 100 * 1000, 0)</f>
        <v>346.8</v>
      </c>
      <c r="AG47" s="9">
        <f>IFERROR((_xlfn.XLOOKUP($C47, Lebensmitteldaten!$C:$C, Lebensmitteldaten!AG:AG) * $B20) / 100, 0)</f>
        <v>23.7</v>
      </c>
      <c r="AH47" s="9">
        <f>IFERROR((_xlfn.XLOOKUP($C47, Lebensmitteldaten!$C:$C, Lebensmitteldaten!AH:AH) * $B20) / 100, 0)</f>
        <v>0</v>
      </c>
      <c r="AI47" s="9">
        <f>IFERROR((_xlfn.XLOOKUP($C47, Lebensmitteldaten!$C:$C, Lebensmitteldaten!AI:AI) * $B20) / 100, 0)</f>
        <v>3.0333000000000006</v>
      </c>
      <c r="AJ47" s="9">
        <f>IFERROR((_xlfn.XLOOKUP($C47, Lebensmitteldaten!$C:$C, Lebensmitteldaten!AJ:AJ) * $B20) / 100, 0)</f>
        <v>1.2</v>
      </c>
      <c r="AK47" s="9">
        <f>IFERROR((_xlfn.XLOOKUP($C47, Lebensmitteldaten!$C:$C, Lebensmitteldaten!AK:AK) * $B20) / 100, 0)</f>
        <v>3.9</v>
      </c>
      <c r="AL47" s="9">
        <f>IFERROR((_xlfn.XLOOKUP($C47, Lebensmitteldaten!$C:$C, Lebensmitteldaten!AL:AL) * $B20) / 100, 0)</f>
        <v>0.09</v>
      </c>
      <c r="AM47" s="9">
        <f>IFERROR((_xlfn.XLOOKUP($C47, Lebensmitteldaten!$C:$C, Lebensmitteldaten!AM:AM) * $B20) / 100, 0)</f>
        <v>0</v>
      </c>
      <c r="AN47" s="9">
        <f>IFERROR((_xlfn.XLOOKUP($C47, Lebensmitteldaten!$C:$C, Lebensmitteldaten!AN:AN) * $B20) / 100 * 1000, 0)</f>
        <v>18.3</v>
      </c>
      <c r="AO47" s="9">
        <f>IFERROR((_xlfn.XLOOKUP($C47, Lebensmitteldaten!$C:$C, Lebensmitteldaten!AO:AO) * $B20) / 100 * 1000, 0)</f>
        <v>0</v>
      </c>
      <c r="AP47" s="9">
        <f>IFERROR((_xlfn.XLOOKUP($C47, Lebensmitteldaten!$C:$C, Lebensmitteldaten!AP:AP) * $B20) / 100 * 1000, 0)</f>
        <v>0</v>
      </c>
      <c r="AQ47" s="9">
        <f>IFERROR((_xlfn.XLOOKUP($C47, Lebensmitteldaten!$C:$C, Lebensmitteldaten!AQ:AQ) * $B20) / 100 * 1000, 0)</f>
        <v>10.799999999999999</v>
      </c>
      <c r="AR47" s="9">
        <f>IFERROR((_xlfn.XLOOKUP($C47, Lebensmitteldaten!$C:$C, Lebensmitteldaten!AR:AR) * $B20) / 100 * 1000, 0)</f>
        <v>10.799999999999999</v>
      </c>
      <c r="AS47" s="9">
        <f>IFERROR((_xlfn.XLOOKUP($C47, Lebensmitteldaten!$C:$C, Lebensmitteldaten!AS:AS) * $B20) / 100 * 1000, 0)</f>
        <v>14.4</v>
      </c>
      <c r="AT47" s="9">
        <f>IFERROR((_xlfn.XLOOKUP($C47, Lebensmitteldaten!$C:$C, Lebensmitteldaten!AT:AT) * $B20) / 100 * 1000, 0)</f>
        <v>0.9</v>
      </c>
      <c r="AU47" s="9">
        <f>IFERROR((_xlfn.XLOOKUP($C47, Lebensmitteldaten!$C:$C, Lebensmitteldaten!AU:AU) * $B20) / 100 * 1000, 0)</f>
        <v>7.5</v>
      </c>
      <c r="AV47" s="9">
        <f>IFERROR((_xlfn.XLOOKUP($C47, Lebensmitteldaten!$C:$C, Lebensmitteldaten!AV:AV) * $B20) / 100 * 1000, 0)</f>
        <v>15</v>
      </c>
      <c r="AW47" s="9">
        <f>IFERROR((_xlfn.XLOOKUP($C47, Lebensmitteldaten!$C:$C, Lebensmitteldaten!AW:AW) * $B20) / 100 * 1000, 0)</f>
        <v>6</v>
      </c>
      <c r="AX47" s="9">
        <f>IFERROR((_xlfn.XLOOKUP($C47, Lebensmitteldaten!$C:$C, Lebensmitteldaten!AX:AX) * $B20) / 100, 0)</f>
        <v>0</v>
      </c>
      <c r="AY47" s="9">
        <f>IFERROR((_xlfn.XLOOKUP($C47, Lebensmitteldaten!$C:$C, Lebensmitteldaten!AY:AY) * $B20) / 100, 0)</f>
        <v>98.90100000000001</v>
      </c>
      <c r="AZ47" s="9">
        <f>IFERROR((_xlfn.XLOOKUP($C47, Lebensmitteldaten!$C:$C, Lebensmitteldaten!AZ:AZ) * $B20) / 100, 0)</f>
        <v>0.49661699999999998</v>
      </c>
    </row>
    <row r="48" spans="1:52" x14ac:dyDescent="0.45">
      <c r="A48" t="str">
        <f>_xlfn.XLOOKUP($A21, Lebensmitteldaten!$C:$C, Lebensmitteldaten!$A:$A, "")</f>
        <v>Fette</v>
      </c>
      <c r="B48">
        <f>_xlfn.XLOOKUP($A21, Lebensmitteldaten!$C:$C, Lebensmitteldaten!$B:$B, "")</f>
        <v>0</v>
      </c>
      <c r="C48" t="str">
        <f t="shared" si="1"/>
        <v>Pferdefett, ausgelassen</v>
      </c>
      <c r="D48" s="9">
        <f>IFERROR((_xlfn.XLOOKUP($C48, Lebensmitteldaten!$C:$C, Lebensmitteldaten!D:D) * $B21) / 100, 0)</f>
        <v>40.799999999999997</v>
      </c>
      <c r="E48" s="9">
        <f>IFERROR((_xlfn.XLOOKUP($C48, Lebensmitteldaten!$C:$C, Lebensmitteldaten!E:E) * $B21) / 100, 0)</f>
        <v>0.1707112970711297</v>
      </c>
      <c r="F48" s="9">
        <f>IFERROR((_xlfn.XLOOKUP($C48, Lebensmitteldaten!$C:$C, Lebensmitteldaten!F:F) * $B21) / 100, 0)</f>
        <v>0</v>
      </c>
      <c r="G48" s="9">
        <f>IFERROR((_xlfn.XLOOKUP($C48, Lebensmitteldaten!$C:$C, Lebensmitteldaten!G:G) * $B21) / 100, 0)</f>
        <v>0</v>
      </c>
      <c r="H48" s="9">
        <f>IFERROR((_xlfn.XLOOKUP($C48, Lebensmitteldaten!$C:$C, Lebensmitteldaten!H:H) * $B21) / 100, 0)</f>
        <v>4.8</v>
      </c>
      <c r="I48" s="9">
        <f>IFERROR((_xlfn.XLOOKUP($C48, Lebensmitteldaten!$C:$C, Lebensmitteldaten!I:I) * $B21) / 100, 0)</f>
        <v>2.8865798640254071E-16</v>
      </c>
      <c r="J48" s="9">
        <f>IFERROR((_xlfn.XLOOKUP($C48, Lebensmitteldaten!$C:$C, Lebensmitteldaten!J:J) * $B21) / 100, 0)</f>
        <v>7.0000000000000007E-2</v>
      </c>
      <c r="K48" s="9">
        <f>IFERROR((_xlfn.XLOOKUP($C48, Lebensmitteldaten!$C:$C, Lebensmitteldaten!K:K) * $B21) / 100, 0)</f>
        <v>0</v>
      </c>
      <c r="L48" s="9">
        <f>IFERROR((_xlfn.XLOOKUP($C48, Lebensmitteldaten!$C:$C, Lebensmitteldaten!L:L) * $B21) / 100, 0)</f>
        <v>0.13</v>
      </c>
      <c r="M48" s="9">
        <f>IFERROR((_xlfn.XLOOKUP($C48, Lebensmitteldaten!$C:$C, Lebensmitteldaten!M:M) * $B21) / 100, 0)</f>
        <v>4.87</v>
      </c>
      <c r="N48" s="9">
        <f>IFERROR((_xlfn.XLOOKUP($C48, Lebensmitteldaten!$C:$C, Lebensmitteldaten!N:N) * $B21) / 100, 0)</f>
        <v>0</v>
      </c>
      <c r="O48" s="9">
        <f>IFERROR((_xlfn.XLOOKUP($C48, Lebensmitteldaten!$C:$C, Lebensmitteldaten!O:O) * $B21) / 100, 0)</f>
        <v>0</v>
      </c>
      <c r="P48" s="9">
        <f>IFERROR((_xlfn.XLOOKUP($C48, Lebensmitteldaten!$C:$C, Lebensmitteldaten!P:P) * $B21) / 100, 0)</f>
        <v>0</v>
      </c>
      <c r="Q48" s="9">
        <f>IFERROR((_xlfn.XLOOKUP($C48, Lebensmitteldaten!$C:$C, Lebensmitteldaten!Q:Q) * $B21) / 100, 0)</f>
        <v>0</v>
      </c>
      <c r="R48" s="9">
        <f>IFERROR((_xlfn.XLOOKUP($C48, Lebensmitteldaten!$C:$C, Lebensmitteldaten!R:R) * $B21) / 100, 0)</f>
        <v>0</v>
      </c>
      <c r="S48" s="9">
        <f>IFERROR((_xlfn.XLOOKUP($C48, Lebensmitteldaten!$C:$C, Lebensmitteldaten!S:S) * $B21) / 100, 0)</f>
        <v>0</v>
      </c>
      <c r="T48" s="9">
        <f>IFERROR((_xlfn.XLOOKUP($C48, Lebensmitteldaten!$C:$C, Lebensmitteldaten!T:T) * $B21) / 100, 0)</f>
        <v>0</v>
      </c>
      <c r="U48" s="9">
        <f>IFERROR((_xlfn.XLOOKUP($C48, Lebensmitteldaten!$C:$C, Lebensmitteldaten!U:U) * $B21) / 100, 0)</f>
        <v>0</v>
      </c>
      <c r="V48" s="9">
        <f>IFERROR((_xlfn.XLOOKUP($C48, Lebensmitteldaten!$C:$C, Lebensmitteldaten!V:V) * $B21) / 100, 0)</f>
        <v>0</v>
      </c>
      <c r="W48" s="9">
        <f>IFERROR((_xlfn.XLOOKUP($C48, Lebensmitteldaten!$C:$C, Lebensmitteldaten!W:W) * $B21) / 100 / 1000, 0)</f>
        <v>0</v>
      </c>
      <c r="X48" s="9">
        <f>IFERROR((_xlfn.XLOOKUP($C48, Lebensmitteldaten!$C:$C, Lebensmitteldaten!X:X) * $B21) / 100 / 1000, 0)</f>
        <v>0</v>
      </c>
      <c r="Y48" s="9">
        <f>IFERROR((_xlfn.XLOOKUP($C48, Lebensmitteldaten!$C:$C, Lebensmitteldaten!Y:Y) * $B21) / 100, 0)</f>
        <v>0</v>
      </c>
      <c r="Z48" s="9">
        <f>IFERROR((_xlfn.XLOOKUP($C48, Lebensmitteldaten!$C:$C, Lebensmitteldaten!Z:Z) * $B21) / 100, 0)</f>
        <v>0</v>
      </c>
      <c r="AA48" s="9">
        <f>IFERROR((_xlfn.XLOOKUP($C48, Lebensmitteldaten!$C:$C, Lebensmitteldaten!AA:AA) * $B21) / 100, 0)</f>
        <v>0</v>
      </c>
      <c r="AB48" s="9">
        <f>IFERROR((_xlfn.XLOOKUP($C48, Lebensmitteldaten!$C:$C, Lebensmitteldaten!AB:AB) * $B21) / 100, 0)</f>
        <v>0</v>
      </c>
      <c r="AC48" s="9">
        <f>IFERROR((_xlfn.XLOOKUP($C48, Lebensmitteldaten!$C:$C, Lebensmitteldaten!AC:AC) * $B21) / 100, 0)</f>
        <v>0</v>
      </c>
      <c r="AD48" s="9">
        <f>IFERROR((_xlfn.XLOOKUP($C48, Lebensmitteldaten!$C:$C, Lebensmitteldaten!AD:AD) * $B21) / 100 * 1000, 0)</f>
        <v>0</v>
      </c>
      <c r="AE48" s="9">
        <f>IFERROR((_xlfn.XLOOKUP($C48, Lebensmitteldaten!$C:$C, Lebensmitteldaten!AE:AE) * $B21) / 100 * 1000, 0)</f>
        <v>0</v>
      </c>
      <c r="AF48" s="9">
        <f>IFERROR((_xlfn.XLOOKUP($C48, Lebensmitteldaten!$C:$C, Lebensmitteldaten!AF:AF) * $B21) / 100 * 1000, 0)</f>
        <v>0</v>
      </c>
      <c r="AG48" s="9">
        <f>IFERROR((_xlfn.XLOOKUP($C48, Lebensmitteldaten!$C:$C, Lebensmitteldaten!AG:AG) * $B21) / 100, 0)</f>
        <v>0</v>
      </c>
      <c r="AH48" s="9">
        <f>IFERROR((_xlfn.XLOOKUP($C48, Lebensmitteldaten!$C:$C, Lebensmitteldaten!AH:AH) * $B21) / 100, 0)</f>
        <v>0</v>
      </c>
      <c r="AI48" s="9">
        <f>IFERROR((_xlfn.XLOOKUP($C48, Lebensmitteldaten!$C:$C, Lebensmitteldaten!AI:AI) * $B21) / 100, 0)</f>
        <v>0</v>
      </c>
      <c r="AJ48" s="9">
        <f>IFERROR((_xlfn.XLOOKUP($C48, Lebensmitteldaten!$C:$C, Lebensmitteldaten!AJ:AJ) * $B21) / 100, 0)</f>
        <v>0</v>
      </c>
      <c r="AK48" s="9">
        <f>IFERROR((_xlfn.XLOOKUP($C48, Lebensmitteldaten!$C:$C, Lebensmitteldaten!AK:AK) * $B21) / 100, 0)</f>
        <v>0</v>
      </c>
      <c r="AL48" s="9">
        <f>IFERROR((_xlfn.XLOOKUP($C48, Lebensmitteldaten!$C:$C, Lebensmitteldaten!AL:AL) * $B21) / 100, 0)</f>
        <v>0</v>
      </c>
      <c r="AM48" s="9">
        <f>IFERROR((_xlfn.XLOOKUP($C48, Lebensmitteldaten!$C:$C, Lebensmitteldaten!AM:AM) * $B21) / 100, 0)</f>
        <v>0</v>
      </c>
      <c r="AN48" s="9">
        <f>IFERROR((_xlfn.XLOOKUP($C48, Lebensmitteldaten!$C:$C, Lebensmitteldaten!AN:AN) * $B21) / 100 * 1000, 0)</f>
        <v>0</v>
      </c>
      <c r="AO48" s="9">
        <f>IFERROR((_xlfn.XLOOKUP($C48, Lebensmitteldaten!$C:$C, Lebensmitteldaten!AO:AO) * $B21) / 100 * 1000, 0)</f>
        <v>0</v>
      </c>
      <c r="AP48" s="9">
        <f>IFERROR((_xlfn.XLOOKUP($C48, Lebensmitteldaten!$C:$C, Lebensmitteldaten!AP:AP) * $B21) / 100 * 1000, 0)</f>
        <v>0</v>
      </c>
      <c r="AQ48" s="9">
        <f>IFERROR((_xlfn.XLOOKUP($C48, Lebensmitteldaten!$C:$C, Lebensmitteldaten!AQ:AQ) * $B21) / 100 * 1000, 0)</f>
        <v>0</v>
      </c>
      <c r="AR48" s="9">
        <f>IFERROR((_xlfn.XLOOKUP($C48, Lebensmitteldaten!$C:$C, Lebensmitteldaten!AR:AR) * $B21) / 100 * 1000, 0)</f>
        <v>0</v>
      </c>
      <c r="AS48" s="9">
        <f>IFERROR((_xlfn.XLOOKUP($C48, Lebensmitteldaten!$C:$C, Lebensmitteldaten!AS:AS) * $B21) / 100 * 1000, 0)</f>
        <v>0</v>
      </c>
      <c r="AT48" s="9">
        <f>IFERROR((_xlfn.XLOOKUP($C48, Lebensmitteldaten!$C:$C, Lebensmitteldaten!AT:AT) * $B21) / 100 * 1000, 0)</f>
        <v>0</v>
      </c>
      <c r="AU48" s="9">
        <f>IFERROR((_xlfn.XLOOKUP($C48, Lebensmitteldaten!$C:$C, Lebensmitteldaten!AU:AU) * $B21) / 100 * 1000, 0)</f>
        <v>0</v>
      </c>
      <c r="AV48" s="9">
        <f>IFERROR((_xlfn.XLOOKUP($C48, Lebensmitteldaten!$C:$C, Lebensmitteldaten!AV:AV) * $B21) / 100 * 1000, 0)</f>
        <v>0</v>
      </c>
      <c r="AW48" s="9">
        <f>IFERROR((_xlfn.XLOOKUP($C48, Lebensmitteldaten!$C:$C, Lebensmitteldaten!AW:AW) * $B21) / 100 * 1000, 0)</f>
        <v>0</v>
      </c>
      <c r="AX48" s="9">
        <f>IFERROR((_xlfn.XLOOKUP($C48, Lebensmitteldaten!$C:$C, Lebensmitteldaten!AX:AX) * $B21) / 100, 0)</f>
        <v>0</v>
      </c>
      <c r="AY48" s="9">
        <f>IFERROR((_xlfn.XLOOKUP($C48, Lebensmitteldaten!$C:$C, Lebensmitteldaten!AY:AY) * $B21) / 100, 0)</f>
        <v>0</v>
      </c>
      <c r="AZ48" s="9">
        <f>IFERROR((_xlfn.XLOOKUP($C48, Lebensmitteldaten!$C:$C, Lebensmitteldaten!AZ:AZ) * $B21) / 100, 0)</f>
        <v>0</v>
      </c>
    </row>
    <row r="49" spans="1:52" x14ac:dyDescent="0.45">
      <c r="A49" t="str">
        <f>_xlfn.XLOOKUP($A22, Lebensmitteldaten!$C:$C, Lebensmitteldaten!$A:$A, "")</f>
        <v>Zusätze</v>
      </c>
      <c r="B49">
        <f>_xlfn.XLOOKUP($A22, Lebensmitteldaten!$C:$C, Lebensmitteldaten!$B:$B, "")</f>
        <v>0</v>
      </c>
      <c r="C49" t="str">
        <f t="shared" si="1"/>
        <v>Napfcheck Novomineral Balance</v>
      </c>
      <c r="D49" s="9">
        <f>IFERROR((_xlfn.XLOOKUP($C49, Lebensmitteldaten!$C:$C, Lebensmitteldaten!D:D) * $B22) / 100, 0)</f>
        <v>0</v>
      </c>
      <c r="E49" s="9">
        <f>IFERROR((_xlfn.XLOOKUP($C49, Lebensmitteldaten!$C:$C, Lebensmitteldaten!E:E) * $B22) / 100, 0)</f>
        <v>0</v>
      </c>
      <c r="F49" s="9">
        <f>IFERROR((_xlfn.XLOOKUP($C49, Lebensmitteldaten!$C:$C, Lebensmitteldaten!F:F) * $B22) / 100, 0)</f>
        <v>4.0000000000000001E-3</v>
      </c>
      <c r="G49" s="9">
        <f>IFERROR((_xlfn.XLOOKUP($C49, Lebensmitteldaten!$C:$C, Lebensmitteldaten!G:G) * $B22) / 100, 0)</f>
        <v>3.4000000000000002E-3</v>
      </c>
      <c r="H49" s="9">
        <f>IFERROR((_xlfn.XLOOKUP($C49, Lebensmitteldaten!$C:$C, Lebensmitteldaten!H:H) * $B22) / 100, 0)</f>
        <v>0</v>
      </c>
      <c r="I49" s="9">
        <f>IFERROR((_xlfn.XLOOKUP($C49, Lebensmitteldaten!$C:$C, Lebensmitteldaten!I:I) * $B22) / 100, 0)</f>
        <v>3.5960000000000001</v>
      </c>
      <c r="J49" s="9">
        <f>IFERROR((_xlfn.XLOOKUP($C49, Lebensmitteldaten!$C:$C, Lebensmitteldaten!J:J) * $B22) / 100, 0)</f>
        <v>0</v>
      </c>
      <c r="K49" s="9">
        <f>IFERROR((_xlfn.XLOOKUP($C49, Lebensmitteldaten!$C:$C, Lebensmitteldaten!K:K) * $B22) / 100, 0)</f>
        <v>0</v>
      </c>
      <c r="L49" s="9">
        <f>IFERROR((_xlfn.XLOOKUP($C49, Lebensmitteldaten!$C:$C, Lebensmitteldaten!L:L) * $B22) / 100, 0)</f>
        <v>0.4</v>
      </c>
      <c r="M49" s="9">
        <f>IFERROR((_xlfn.XLOOKUP($C49, Lebensmitteldaten!$C:$C, Lebensmitteldaten!M:M) * $B22) / 100, 0)</f>
        <v>3.6</v>
      </c>
      <c r="N49" s="9">
        <f>IFERROR((_xlfn.XLOOKUP($C49, Lebensmitteldaten!$C:$C, Lebensmitteldaten!N:N) * $B22) / 100, 0)</f>
        <v>760</v>
      </c>
      <c r="O49" s="9">
        <f>IFERROR((_xlfn.XLOOKUP($C49, Lebensmitteldaten!$C:$C, Lebensmitteldaten!O:O) * $B22) / 100, 0)</f>
        <v>200</v>
      </c>
      <c r="P49" s="9">
        <f>IFERROR((_xlfn.XLOOKUP($C49, Lebensmitteldaten!$C:$C, Lebensmitteldaten!P:P) * $B22) / 100, 0)</f>
        <v>48</v>
      </c>
      <c r="Q49" s="9">
        <f>IFERROR((_xlfn.XLOOKUP($C49, Lebensmitteldaten!$C:$C, Lebensmitteldaten!Q:Q) * $B22) / 100, 0)</f>
        <v>40</v>
      </c>
      <c r="R49" s="9">
        <f>IFERROR((_xlfn.XLOOKUP($C49, Lebensmitteldaten!$C:$C, Lebensmitteldaten!R:R) * $B22) / 100, 0)</f>
        <v>80</v>
      </c>
      <c r="S49" s="9">
        <f>IFERROR((_xlfn.XLOOKUP($C49, Lebensmitteldaten!$C:$C, Lebensmitteldaten!S:S) * $B22) / 100, 0)</f>
        <v>0</v>
      </c>
      <c r="T49" s="9">
        <f>IFERROR((_xlfn.XLOOKUP($C49, Lebensmitteldaten!$C:$C, Lebensmitteldaten!T:T) * $B22) / 100, 0)</f>
        <v>3</v>
      </c>
      <c r="U49" s="9">
        <f>IFERROR((_xlfn.XLOOKUP($C49, Lebensmitteldaten!$C:$C, Lebensmitteldaten!U:U) * $B22) / 100, 0)</f>
        <v>8</v>
      </c>
      <c r="V49" s="9">
        <f>IFERROR((_xlfn.XLOOKUP($C49, Lebensmitteldaten!$C:$C, Lebensmitteldaten!V:V) * $B22) / 100, 0)</f>
        <v>0</v>
      </c>
      <c r="W49" s="9">
        <f>IFERROR((_xlfn.XLOOKUP($C49, Lebensmitteldaten!$C:$C, Lebensmitteldaten!W:W) * $B22) / 100 / 1000, 0)</f>
        <v>0.8</v>
      </c>
      <c r="X49" s="9">
        <f>IFERROR((_xlfn.XLOOKUP($C49, Lebensmitteldaten!$C:$C, Lebensmitteldaten!X:X) * $B22) / 100 / 1000, 0)</f>
        <v>0.4</v>
      </c>
      <c r="Y49" s="9">
        <f>IFERROR((_xlfn.XLOOKUP($C49, Lebensmitteldaten!$C:$C, Lebensmitteldaten!Y:Y) * $B22) / 100, 0)</f>
        <v>180</v>
      </c>
      <c r="Z49" s="9">
        <f>IFERROR((_xlfn.XLOOKUP($C49, Lebensmitteldaten!$C:$C, Lebensmitteldaten!Z:Z) * $B22) / 100, 0)</f>
        <v>0</v>
      </c>
      <c r="AA49" s="9">
        <f>IFERROR((_xlfn.XLOOKUP($C49, Lebensmitteldaten!$C:$C, Lebensmitteldaten!AA:AA) * $B22) / 100, 0)</f>
        <v>2.5</v>
      </c>
      <c r="AB49" s="9">
        <f>IFERROR((_xlfn.XLOOKUP($C49, Lebensmitteldaten!$C:$C, Lebensmitteldaten!AB:AB) * $B22) / 100, 0)</f>
        <v>3.6</v>
      </c>
      <c r="AC49" s="9">
        <f>IFERROR((_xlfn.XLOOKUP($C49, Lebensmitteldaten!$C:$C, Lebensmitteldaten!AC:AC) * $B22) / 100, 0)</f>
        <v>288.28840000000002</v>
      </c>
      <c r="AD49" s="9">
        <f>IFERROR((_xlfn.XLOOKUP($C49, Lebensmitteldaten!$C:$C, Lebensmitteldaten!AD:AD) * $B22) / 100 * 1000, 0)</f>
        <v>200</v>
      </c>
      <c r="AE49" s="9">
        <f>IFERROR((_xlfn.XLOOKUP($C49, Lebensmitteldaten!$C:$C, Lebensmitteldaten!AE:AE) * $B22) / 100 * 1000, 0)</f>
        <v>600</v>
      </c>
      <c r="AF49" s="9">
        <f>IFERROR((_xlfn.XLOOKUP($C49, Lebensmitteldaten!$C:$C, Lebensmitteldaten!AF:AF) * $B22) / 100 * 1000, 0)</f>
        <v>0</v>
      </c>
      <c r="AG49" s="9">
        <f>IFERROR((_xlfn.XLOOKUP($C49, Lebensmitteldaten!$C:$C, Lebensmitteldaten!AG:AG) * $B22) / 100, 0)</f>
        <v>0</v>
      </c>
      <c r="AH49" s="9">
        <f>IFERROR((_xlfn.XLOOKUP($C49, Lebensmitteldaten!$C:$C, Lebensmitteldaten!AH:AH) * $B22) / 100, 0)</f>
        <v>4</v>
      </c>
      <c r="AI49" s="9">
        <f>IFERROR((_xlfn.XLOOKUP($C49, Lebensmitteldaten!$C:$C, Lebensmitteldaten!AI:AI) * $B22) / 100, 0)</f>
        <v>0</v>
      </c>
      <c r="AJ49" s="9">
        <f>IFERROR((_xlfn.XLOOKUP($C49, Lebensmitteldaten!$C:$C, Lebensmitteldaten!AJ:AJ) * $B22) / 100, 0)</f>
        <v>0</v>
      </c>
      <c r="AK49" s="9">
        <f>IFERROR((_xlfn.XLOOKUP($C49, Lebensmitteldaten!$C:$C, Lebensmitteldaten!AK:AK) * $B22) / 100, 0)</f>
        <v>40</v>
      </c>
      <c r="AL49" s="9">
        <f>IFERROR((_xlfn.XLOOKUP($C49, Lebensmitteldaten!$C:$C, Lebensmitteldaten!AL:AL) * $B22) / 100, 0)</f>
        <v>0</v>
      </c>
      <c r="AM49" s="9">
        <f>IFERROR((_xlfn.XLOOKUP($C49, Lebensmitteldaten!$C:$C, Lebensmitteldaten!AM:AM) * $B22) / 100, 0)</f>
        <v>0</v>
      </c>
      <c r="AN49" s="9">
        <f>IFERROR((_xlfn.XLOOKUP($C49, Lebensmitteldaten!$C:$C, Lebensmitteldaten!AN:AN) * $B22) / 100 * 1000, 0)</f>
        <v>0</v>
      </c>
      <c r="AO49" s="9">
        <f>IFERROR((_xlfn.XLOOKUP($C49, Lebensmitteldaten!$C:$C, Lebensmitteldaten!AO:AO) * $B22) / 100 * 1000, 0)</f>
        <v>0</v>
      </c>
      <c r="AP49" s="9">
        <f>IFERROR((_xlfn.XLOOKUP($C49, Lebensmitteldaten!$C:$C, Lebensmitteldaten!AP:AP) * $B22) / 100 * 1000, 0)</f>
        <v>0</v>
      </c>
      <c r="AQ49" s="9">
        <f>IFERROR((_xlfn.XLOOKUP($C49, Lebensmitteldaten!$C:$C, Lebensmitteldaten!AQ:AQ) * $B22) / 100 * 1000, 0)</f>
        <v>0</v>
      </c>
      <c r="AR49" s="9">
        <f>IFERROR((_xlfn.XLOOKUP($C49, Lebensmitteldaten!$C:$C, Lebensmitteldaten!AR:AR) * $B22) / 100 * 1000, 0)</f>
        <v>0</v>
      </c>
      <c r="AS49" s="9">
        <f>IFERROR((_xlfn.XLOOKUP($C49, Lebensmitteldaten!$C:$C, Lebensmitteldaten!AS:AS) * $B22) / 100 * 1000, 0)</f>
        <v>0</v>
      </c>
      <c r="AT49" s="9">
        <f>IFERROR((_xlfn.XLOOKUP($C49, Lebensmitteldaten!$C:$C, Lebensmitteldaten!AT:AT) * $B22) / 100 * 1000, 0)</f>
        <v>0</v>
      </c>
      <c r="AU49" s="9">
        <f>IFERROR((_xlfn.XLOOKUP($C49, Lebensmitteldaten!$C:$C, Lebensmitteldaten!AU:AU) * $B22) / 100 * 1000, 0)</f>
        <v>0</v>
      </c>
      <c r="AV49" s="9">
        <f>IFERROR((_xlfn.XLOOKUP($C49, Lebensmitteldaten!$C:$C, Lebensmitteldaten!AV:AV) * $B22) / 100 * 1000, 0)</f>
        <v>0</v>
      </c>
      <c r="AW49" s="9">
        <f>IFERROR((_xlfn.XLOOKUP($C49, Lebensmitteldaten!$C:$C, Lebensmitteldaten!AW:AW) * $B22) / 100 * 1000, 0)</f>
        <v>0</v>
      </c>
      <c r="AX49" s="9">
        <f>IFERROR((_xlfn.XLOOKUP($C49, Lebensmitteldaten!$C:$C, Lebensmitteldaten!AX:AX) * $B22) / 100, 0)</f>
        <v>100</v>
      </c>
      <c r="AY49" s="9">
        <f>IFERROR((_xlfn.XLOOKUP($C49, Lebensmitteldaten!$C:$C, Lebensmitteldaten!AY:AY) * $B22) / 100, 0)</f>
        <v>960.00037200000008</v>
      </c>
      <c r="AZ49" s="9">
        <f>IFERROR((_xlfn.XLOOKUP($C49, Lebensmitteldaten!$C:$C, Lebensmitteldaten!AZ:AZ) * $B22) / 100, 0)</f>
        <v>5.3639999999999999</v>
      </c>
    </row>
    <row r="50" spans="1:52" x14ac:dyDescent="0.45">
      <c r="A50" t="str">
        <f>_xlfn.XLOOKUP($A23, Lebensmitteldaten!$C:$C, Lebensmitteldaten!$A:$A, "")</f>
        <v>Zusätze</v>
      </c>
      <c r="B50">
        <f>_xlfn.XLOOKUP($A23, Lebensmitteldaten!$C:$C, Lebensmitteldaten!$B:$B, "")</f>
        <v>0</v>
      </c>
      <c r="C50" t="str">
        <f t="shared" si="1"/>
        <v>Napfcheck Novomineral Sensitive</v>
      </c>
      <c r="D50" s="9">
        <f>IFERROR((_xlfn.XLOOKUP($C50, Lebensmitteldaten!$C:$C, Lebensmitteldaten!D:D) * $B23) / 100, 0)</f>
        <v>0</v>
      </c>
      <c r="E50" s="9">
        <f>IFERROR((_xlfn.XLOOKUP($C50, Lebensmitteldaten!$C:$C, Lebensmitteldaten!E:E) * $B23) / 100, 0)</f>
        <v>0</v>
      </c>
      <c r="F50" s="9">
        <f>IFERROR((_xlfn.XLOOKUP($C50, Lebensmitteldaten!$C:$C, Lebensmitteldaten!F:F) * $B23) / 100, 0)</f>
        <v>0</v>
      </c>
      <c r="G50" s="9">
        <f>IFERROR((_xlfn.XLOOKUP($C50, Lebensmitteldaten!$C:$C, Lebensmitteldaten!G:G) * $B23) / 100, 0)</f>
        <v>0</v>
      </c>
      <c r="H50" s="9">
        <f>IFERROR((_xlfn.XLOOKUP($C50, Lebensmitteldaten!$C:$C, Lebensmitteldaten!H:H) * $B23) / 100, 0)</f>
        <v>0</v>
      </c>
      <c r="I50" s="9">
        <f>IFERROR((_xlfn.XLOOKUP($C50, Lebensmitteldaten!$C:$C, Lebensmitteldaten!I:I) * $B23) / 100, 0)</f>
        <v>4.5</v>
      </c>
      <c r="J50" s="9">
        <f>IFERROR((_xlfn.XLOOKUP($C50, Lebensmitteldaten!$C:$C, Lebensmitteldaten!J:J) * $B23) / 100, 0)</f>
        <v>0</v>
      </c>
      <c r="K50" s="9">
        <f>IFERROR((_xlfn.XLOOKUP($C50, Lebensmitteldaten!$C:$C, Lebensmitteldaten!K:K) * $B23) / 100, 0)</f>
        <v>0</v>
      </c>
      <c r="L50" s="9">
        <f>IFERROR((_xlfn.XLOOKUP($C50, Lebensmitteldaten!$C:$C, Lebensmitteldaten!L:L) * $B23) / 100, 0)</f>
        <v>0.5</v>
      </c>
      <c r="M50" s="9">
        <f>IFERROR((_xlfn.XLOOKUP($C50, Lebensmitteldaten!$C:$C, Lebensmitteldaten!M:M) * $B23) / 100, 0)</f>
        <v>4.5</v>
      </c>
      <c r="N50" s="9">
        <f>IFERROR((_xlfn.XLOOKUP($C50, Lebensmitteldaten!$C:$C, Lebensmitteldaten!N:N) * $B23) / 100, 0)</f>
        <v>1050</v>
      </c>
      <c r="O50" s="9">
        <f>IFERROR((_xlfn.XLOOKUP($C50, Lebensmitteldaten!$C:$C, Lebensmitteldaten!O:O) * $B23) / 100, 0)</f>
        <v>100</v>
      </c>
      <c r="P50" s="9">
        <f>IFERROR((_xlfn.XLOOKUP($C50, Lebensmitteldaten!$C:$C, Lebensmitteldaten!P:P) * $B23) / 100, 0)</f>
        <v>65</v>
      </c>
      <c r="Q50" s="9">
        <f>IFERROR((_xlfn.XLOOKUP($C50, Lebensmitteldaten!$C:$C, Lebensmitteldaten!Q:Q) * $B23) / 100, 0)</f>
        <v>50</v>
      </c>
      <c r="R50" s="9">
        <f>IFERROR((_xlfn.XLOOKUP($C50, Lebensmitteldaten!$C:$C, Lebensmitteldaten!R:R) * $B23) / 100, 0)</f>
        <v>0</v>
      </c>
      <c r="S50" s="9">
        <f>IFERROR((_xlfn.XLOOKUP($C50, Lebensmitteldaten!$C:$C, Lebensmitteldaten!S:S) * $B23) / 100, 0)</f>
        <v>0</v>
      </c>
      <c r="T50" s="9">
        <f>IFERROR((_xlfn.XLOOKUP($C50, Lebensmitteldaten!$C:$C, Lebensmitteldaten!T:T) * $B23) / 100, 0)</f>
        <v>5</v>
      </c>
      <c r="U50" s="9">
        <f>IFERROR((_xlfn.XLOOKUP($C50, Lebensmitteldaten!$C:$C, Lebensmitteldaten!U:U) * $B23) / 100, 0)</f>
        <v>15</v>
      </c>
      <c r="V50" s="9">
        <f>IFERROR((_xlfn.XLOOKUP($C50, Lebensmitteldaten!$C:$C, Lebensmitteldaten!V:V) * $B23) / 100, 0)</f>
        <v>0</v>
      </c>
      <c r="W50" s="9">
        <f>IFERROR((_xlfn.XLOOKUP($C50, Lebensmitteldaten!$C:$C, Lebensmitteldaten!W:W) * $B23) / 100 / 1000, 0)</f>
        <v>1.75</v>
      </c>
      <c r="X50" s="9">
        <f>IFERROR((_xlfn.XLOOKUP($C50, Lebensmitteldaten!$C:$C, Lebensmitteldaten!X:X) * $B23) / 100 / 1000, 0)</f>
        <v>1</v>
      </c>
      <c r="Y50" s="9">
        <f>IFERROR((_xlfn.XLOOKUP($C50, Lebensmitteldaten!$C:$C, Lebensmitteldaten!Y:Y) * $B23) / 100, 0)</f>
        <v>300</v>
      </c>
      <c r="Z50" s="9">
        <f>IFERROR((_xlfn.XLOOKUP($C50, Lebensmitteldaten!$C:$C, Lebensmitteldaten!Z:Z) * $B23) / 100, 0)</f>
        <v>0</v>
      </c>
      <c r="AA50" s="9">
        <f>IFERROR((_xlfn.XLOOKUP($C50, Lebensmitteldaten!$C:$C, Lebensmitteldaten!AA:AA) * $B23) / 100, 0)</f>
        <v>3.75</v>
      </c>
      <c r="AB50" s="9">
        <f>IFERROR((_xlfn.XLOOKUP($C50, Lebensmitteldaten!$C:$C, Lebensmitteldaten!AB:AB) * $B23) / 100, 0)</f>
        <v>10</v>
      </c>
      <c r="AC50" s="9">
        <f>IFERROR((_xlfn.XLOOKUP($C50, Lebensmitteldaten!$C:$C, Lebensmitteldaten!AC:AC) * $B23) / 100, 0)</f>
        <v>390</v>
      </c>
      <c r="AD50" s="9">
        <f>IFERROR((_xlfn.XLOOKUP($C50, Lebensmitteldaten!$C:$C, Lebensmitteldaten!AD:AD) * $B23) / 100 * 1000, 0)</f>
        <v>1000</v>
      </c>
      <c r="AE50" s="9">
        <f>IFERROR((_xlfn.XLOOKUP($C50, Lebensmitteldaten!$C:$C, Lebensmitteldaten!AE:AE) * $B23) / 100 * 1000, 0)</f>
        <v>2000</v>
      </c>
      <c r="AF50" s="9">
        <f>IFERROR((_xlfn.XLOOKUP($C50, Lebensmitteldaten!$C:$C, Lebensmitteldaten!AF:AF) * $B23) / 100 * 1000, 0)</f>
        <v>5000</v>
      </c>
      <c r="AG50" s="9">
        <f>IFERROR((_xlfn.XLOOKUP($C50, Lebensmitteldaten!$C:$C, Lebensmitteldaten!AG:AG) * $B23) / 100, 0)</f>
        <v>600</v>
      </c>
      <c r="AH50" s="9">
        <f>IFERROR((_xlfn.XLOOKUP($C50, Lebensmitteldaten!$C:$C, Lebensmitteldaten!AH:AH) * $B23) / 100, 0)</f>
        <v>15</v>
      </c>
      <c r="AI50" s="9">
        <f>IFERROR((_xlfn.XLOOKUP($C50, Lebensmitteldaten!$C:$C, Lebensmitteldaten!AI:AI) * $B23) / 100, 0)</f>
        <v>0</v>
      </c>
      <c r="AJ50" s="9">
        <f>IFERROR((_xlfn.XLOOKUP($C50, Lebensmitteldaten!$C:$C, Lebensmitteldaten!AJ:AJ) * $B23) / 100, 0)</f>
        <v>0</v>
      </c>
      <c r="AK50" s="9">
        <f>IFERROR((_xlfn.XLOOKUP($C50, Lebensmitteldaten!$C:$C, Lebensmitteldaten!AK:AK) * $B23) / 100, 0)</f>
        <v>25</v>
      </c>
      <c r="AL50" s="9">
        <f>IFERROR((_xlfn.XLOOKUP($C50, Lebensmitteldaten!$C:$C, Lebensmitteldaten!AL:AL) * $B23) / 100, 0)</f>
        <v>5</v>
      </c>
      <c r="AM50" s="9">
        <f>IFERROR((_xlfn.XLOOKUP($C50, Lebensmitteldaten!$C:$C, Lebensmitteldaten!AM:AM) * $B23) / 100, 0)</f>
        <v>0</v>
      </c>
      <c r="AN50" s="9">
        <f>IFERROR((_xlfn.XLOOKUP($C50, Lebensmitteldaten!$C:$C, Lebensmitteldaten!AN:AN) * $B23) / 100 * 1000, 0)</f>
        <v>0</v>
      </c>
      <c r="AO50" s="9">
        <f>IFERROR((_xlfn.XLOOKUP($C50, Lebensmitteldaten!$C:$C, Lebensmitteldaten!AO:AO) * $B23) / 100 * 1000, 0)</f>
        <v>0</v>
      </c>
      <c r="AP50" s="9">
        <f>IFERROR((_xlfn.XLOOKUP($C50, Lebensmitteldaten!$C:$C, Lebensmitteldaten!AP:AP) * $B23) / 100 * 1000, 0)</f>
        <v>0</v>
      </c>
      <c r="AQ50" s="9">
        <f>IFERROR((_xlfn.XLOOKUP($C50, Lebensmitteldaten!$C:$C, Lebensmitteldaten!AQ:AQ) * $B23) / 100 * 1000, 0)</f>
        <v>0</v>
      </c>
      <c r="AR50" s="9">
        <f>IFERROR((_xlfn.XLOOKUP($C50, Lebensmitteldaten!$C:$C, Lebensmitteldaten!AR:AR) * $B23) / 100 * 1000, 0)</f>
        <v>0</v>
      </c>
      <c r="AS50" s="9">
        <f>IFERROR((_xlfn.XLOOKUP($C50, Lebensmitteldaten!$C:$C, Lebensmitteldaten!AS:AS) * $B23) / 100 * 1000, 0)</f>
        <v>0</v>
      </c>
      <c r="AT50" s="9">
        <f>IFERROR((_xlfn.XLOOKUP($C50, Lebensmitteldaten!$C:$C, Lebensmitteldaten!AT:AT) * $B23) / 100 * 1000, 0)</f>
        <v>0</v>
      </c>
      <c r="AU50" s="9">
        <f>IFERROR((_xlfn.XLOOKUP($C50, Lebensmitteldaten!$C:$C, Lebensmitteldaten!AU:AU) * $B23) / 100 * 1000, 0)</f>
        <v>0</v>
      </c>
      <c r="AV50" s="9">
        <f>IFERROR((_xlfn.XLOOKUP($C50, Lebensmitteldaten!$C:$C, Lebensmitteldaten!AV:AV) * $B23) / 100 * 1000, 0)</f>
        <v>0</v>
      </c>
      <c r="AW50" s="9">
        <f>IFERROR((_xlfn.XLOOKUP($C50, Lebensmitteldaten!$C:$C, Lebensmitteldaten!AW:AW) * $B23) / 100 * 1000, 0)</f>
        <v>0</v>
      </c>
      <c r="AX50" s="9">
        <f>IFERROR((_xlfn.XLOOKUP($C50, Lebensmitteldaten!$C:$C, Lebensmitteldaten!AX:AX) * $B23) / 100, 0)</f>
        <v>150</v>
      </c>
      <c r="AY50" s="9">
        <f>IFERROR((_xlfn.XLOOKUP($C50, Lebensmitteldaten!$C:$C, Lebensmitteldaten!AY:AY) * $B23) / 100, 0)</f>
        <v>1298.7</v>
      </c>
      <c r="AZ50" s="9">
        <f>IFERROR((_xlfn.XLOOKUP($C50, Lebensmitteldaten!$C:$C, Lebensmitteldaten!AZ:AZ) * $B23) / 100, 0)</f>
        <v>14.9</v>
      </c>
    </row>
    <row r="51" spans="1:52" x14ac:dyDescent="0.45">
      <c r="A51" t="str">
        <f>_xlfn.XLOOKUP($A24, Lebensmitteldaten!$C:$C, Lebensmitteldaten!$A:$A, "")</f>
        <v/>
      </c>
      <c r="B51" t="str">
        <f>_xlfn.XLOOKUP($A24, Lebensmitteldaten!$C:$C, Lebensmitteldaten!$B:$B, "")</f>
        <v/>
      </c>
      <c r="C51">
        <f t="shared" si="1"/>
        <v>0</v>
      </c>
      <c r="D51" s="9">
        <f>IFERROR((_xlfn.XLOOKUP($C51, Lebensmitteldaten!$C:$C, Lebensmitteldaten!D:D) * $B24) / 100, 0)</f>
        <v>0</v>
      </c>
      <c r="E51" s="9">
        <f>IFERROR((_xlfn.XLOOKUP($C51, Lebensmitteldaten!$C:$C, Lebensmitteldaten!E:E) * $B24) / 100, 0)</f>
        <v>0</v>
      </c>
      <c r="F51" s="9">
        <f>IFERROR((_xlfn.XLOOKUP($C51, Lebensmitteldaten!$C:$C, Lebensmitteldaten!F:F) * $B24) / 100, 0)</f>
        <v>0</v>
      </c>
      <c r="G51" s="9">
        <f>IFERROR((_xlfn.XLOOKUP($C51, Lebensmitteldaten!$C:$C, Lebensmitteldaten!G:G) * $B24) / 100, 0)</f>
        <v>0</v>
      </c>
      <c r="H51" s="9">
        <f>IFERROR((_xlfn.XLOOKUP($C51, Lebensmitteldaten!$C:$C, Lebensmitteldaten!H:H) * $B24) / 100, 0)</f>
        <v>0</v>
      </c>
      <c r="I51" s="9">
        <f>IFERROR((_xlfn.XLOOKUP($C51, Lebensmitteldaten!$C:$C, Lebensmitteldaten!I:I) * $B24) / 100, 0)</f>
        <v>0</v>
      </c>
      <c r="J51" s="9">
        <f>IFERROR((_xlfn.XLOOKUP($C51, Lebensmitteldaten!$C:$C, Lebensmitteldaten!J:J) * $B24) / 100, 0)</f>
        <v>0</v>
      </c>
      <c r="K51" s="9">
        <f>IFERROR((_xlfn.XLOOKUP($C51, Lebensmitteldaten!$C:$C, Lebensmitteldaten!K:K) * $B24) / 100, 0)</f>
        <v>0</v>
      </c>
      <c r="L51" s="9">
        <f>IFERROR((_xlfn.XLOOKUP($C51, Lebensmitteldaten!$C:$C, Lebensmitteldaten!L:L) * $B24) / 100, 0)</f>
        <v>0</v>
      </c>
      <c r="M51" s="9">
        <f>IFERROR((_xlfn.XLOOKUP($C51, Lebensmitteldaten!$C:$C, Lebensmitteldaten!M:M) * $B24) / 100, 0)</f>
        <v>0</v>
      </c>
      <c r="N51" s="9">
        <f>IFERROR((_xlfn.XLOOKUP($C51, Lebensmitteldaten!$C:$C, Lebensmitteldaten!N:N) * $B24) / 100, 0)</f>
        <v>0</v>
      </c>
      <c r="O51" s="9">
        <f>IFERROR((_xlfn.XLOOKUP($C51, Lebensmitteldaten!$C:$C, Lebensmitteldaten!O:O) * $B24) / 100, 0)</f>
        <v>0</v>
      </c>
      <c r="P51" s="9">
        <f>IFERROR((_xlfn.XLOOKUP($C51, Lebensmitteldaten!$C:$C, Lebensmitteldaten!P:P) * $B24) / 100, 0)</f>
        <v>0</v>
      </c>
      <c r="Q51" s="9">
        <f>IFERROR((_xlfn.XLOOKUP($C51, Lebensmitteldaten!$C:$C, Lebensmitteldaten!Q:Q) * $B24) / 100, 0)</f>
        <v>0</v>
      </c>
      <c r="R51" s="9">
        <f>IFERROR((_xlfn.XLOOKUP($C51, Lebensmitteldaten!$C:$C, Lebensmitteldaten!R:R) * $B24) / 100, 0)</f>
        <v>0</v>
      </c>
      <c r="S51" s="9">
        <f>IFERROR((_xlfn.XLOOKUP($C51, Lebensmitteldaten!$C:$C, Lebensmitteldaten!S:S) * $B24) / 100, 0)</f>
        <v>0</v>
      </c>
      <c r="T51" s="9">
        <f>IFERROR((_xlfn.XLOOKUP($C51, Lebensmitteldaten!$C:$C, Lebensmitteldaten!T:T) * $B24) / 100, 0)</f>
        <v>0</v>
      </c>
      <c r="U51" s="9">
        <f>IFERROR((_xlfn.XLOOKUP($C51, Lebensmitteldaten!$C:$C, Lebensmitteldaten!U:U) * $B24) / 100, 0)</f>
        <v>0</v>
      </c>
      <c r="V51" s="9">
        <f>IFERROR((_xlfn.XLOOKUP($C51, Lebensmitteldaten!$C:$C, Lebensmitteldaten!V:V) * $B24) / 100, 0)</f>
        <v>0</v>
      </c>
      <c r="W51" s="9">
        <f>IFERROR((_xlfn.XLOOKUP($C51, Lebensmitteldaten!$C:$C, Lebensmitteldaten!W:W) * $B24) / 100 / 1000, 0)</f>
        <v>0</v>
      </c>
      <c r="X51" s="9">
        <f>IFERROR((_xlfn.XLOOKUP($C51, Lebensmitteldaten!$C:$C, Lebensmitteldaten!X:X) * $B24) / 100 / 1000, 0)</f>
        <v>0</v>
      </c>
      <c r="Y51" s="9">
        <f>IFERROR((_xlfn.XLOOKUP($C51, Lebensmitteldaten!$C:$C, Lebensmitteldaten!Y:Y) * $B24) / 100, 0)</f>
        <v>0</v>
      </c>
      <c r="Z51" s="9">
        <f>IFERROR((_xlfn.XLOOKUP($C51, Lebensmitteldaten!$C:$C, Lebensmitteldaten!Z:Z) * $B24) / 100, 0)</f>
        <v>0</v>
      </c>
      <c r="AA51" s="9">
        <f>IFERROR((_xlfn.XLOOKUP($C51, Lebensmitteldaten!$C:$C, Lebensmitteldaten!AA:AA) * $B24) / 100, 0)</f>
        <v>0</v>
      </c>
      <c r="AB51" s="9">
        <f>IFERROR((_xlfn.XLOOKUP($C51, Lebensmitteldaten!$C:$C, Lebensmitteldaten!AB:AB) * $B24) / 100, 0)</f>
        <v>0</v>
      </c>
      <c r="AC51" s="9">
        <f>IFERROR((_xlfn.XLOOKUP($C51, Lebensmitteldaten!$C:$C, Lebensmitteldaten!AC:AC) * $B24) / 100, 0)</f>
        <v>0</v>
      </c>
      <c r="AD51" s="9">
        <f>IFERROR((_xlfn.XLOOKUP($C51, Lebensmitteldaten!$C:$C, Lebensmitteldaten!AD:AD) * $B24) / 100 * 1000, 0)</f>
        <v>0</v>
      </c>
      <c r="AE51" s="9">
        <f>IFERROR((_xlfn.XLOOKUP($C51, Lebensmitteldaten!$C:$C, Lebensmitteldaten!AE:AE) * $B24) / 100 * 1000, 0)</f>
        <v>0</v>
      </c>
      <c r="AF51" s="9">
        <f>IFERROR((_xlfn.XLOOKUP($C51, Lebensmitteldaten!$C:$C, Lebensmitteldaten!AF:AF) * $B24) / 100 * 1000, 0)</f>
        <v>0</v>
      </c>
      <c r="AG51" s="9">
        <f>IFERROR((_xlfn.XLOOKUP($C51, Lebensmitteldaten!$C:$C, Lebensmitteldaten!AG:AG) * $B24) / 100, 0)</f>
        <v>0</v>
      </c>
      <c r="AH51" s="9">
        <f>IFERROR((_xlfn.XLOOKUP($C51, Lebensmitteldaten!$C:$C, Lebensmitteldaten!AH:AH) * $B24) / 100, 0)</f>
        <v>0</v>
      </c>
      <c r="AI51" s="9">
        <f>IFERROR((_xlfn.XLOOKUP($C51, Lebensmitteldaten!$C:$C, Lebensmitteldaten!AI:AI) * $B24) / 100, 0)</f>
        <v>0</v>
      </c>
      <c r="AJ51" s="9">
        <f>IFERROR((_xlfn.XLOOKUP($C51, Lebensmitteldaten!$C:$C, Lebensmitteldaten!AJ:AJ) * $B24) / 100, 0)</f>
        <v>0</v>
      </c>
      <c r="AK51" s="9">
        <f>IFERROR((_xlfn.XLOOKUP($C51, Lebensmitteldaten!$C:$C, Lebensmitteldaten!AK:AK) * $B24) / 100, 0)</f>
        <v>0</v>
      </c>
      <c r="AL51" s="9">
        <f>IFERROR((_xlfn.XLOOKUP($C51, Lebensmitteldaten!$C:$C, Lebensmitteldaten!AL:AL) * $B24) / 100, 0)</f>
        <v>0</v>
      </c>
      <c r="AM51" s="9">
        <f>IFERROR((_xlfn.XLOOKUP($C51, Lebensmitteldaten!$C:$C, Lebensmitteldaten!AM:AM) * $B24) / 100, 0)</f>
        <v>0</v>
      </c>
      <c r="AN51" s="9">
        <f>IFERROR((_xlfn.XLOOKUP($C51, Lebensmitteldaten!$C:$C, Lebensmitteldaten!AN:AN) * $B24) / 100 * 1000, 0)</f>
        <v>0</v>
      </c>
      <c r="AO51" s="9">
        <f>IFERROR((_xlfn.XLOOKUP($C51, Lebensmitteldaten!$C:$C, Lebensmitteldaten!AO:AO) * $B24) / 100 * 1000, 0)</f>
        <v>0</v>
      </c>
      <c r="AP51" s="9">
        <f>IFERROR((_xlfn.XLOOKUP($C51, Lebensmitteldaten!$C:$C, Lebensmitteldaten!AP:AP) * $B24) / 100 * 1000, 0)</f>
        <v>0</v>
      </c>
      <c r="AQ51" s="9">
        <f>IFERROR((_xlfn.XLOOKUP($C51, Lebensmitteldaten!$C:$C, Lebensmitteldaten!AQ:AQ) * $B24) / 100 * 1000, 0)</f>
        <v>0</v>
      </c>
      <c r="AR51" s="9">
        <f>IFERROR((_xlfn.XLOOKUP($C51, Lebensmitteldaten!$C:$C, Lebensmitteldaten!AR:AR) * $B24) / 100 * 1000, 0)</f>
        <v>0</v>
      </c>
      <c r="AS51" s="9">
        <f>IFERROR((_xlfn.XLOOKUP($C51, Lebensmitteldaten!$C:$C, Lebensmitteldaten!AS:AS) * $B24) / 100 * 1000, 0)</f>
        <v>0</v>
      </c>
      <c r="AT51" s="9">
        <f>IFERROR((_xlfn.XLOOKUP($C51, Lebensmitteldaten!$C:$C, Lebensmitteldaten!AT:AT) * $B24) / 100 * 1000, 0)</f>
        <v>0</v>
      </c>
      <c r="AU51" s="9">
        <f>IFERROR((_xlfn.XLOOKUP($C51, Lebensmitteldaten!$C:$C, Lebensmitteldaten!AU:AU) * $B24) / 100 * 1000, 0)</f>
        <v>0</v>
      </c>
      <c r="AV51" s="9">
        <f>IFERROR((_xlfn.XLOOKUP($C51, Lebensmitteldaten!$C:$C, Lebensmitteldaten!AV:AV) * $B24) / 100 * 1000, 0)</f>
        <v>0</v>
      </c>
      <c r="AW51" s="9">
        <f>IFERROR((_xlfn.XLOOKUP($C51, Lebensmitteldaten!$C:$C, Lebensmitteldaten!AW:AW) * $B24) / 100 * 1000, 0)</f>
        <v>0</v>
      </c>
      <c r="AX51" s="9">
        <f>IFERROR((_xlfn.XLOOKUP($C51, Lebensmitteldaten!$C:$C, Lebensmitteldaten!AX:AX) * $B24) / 100, 0)</f>
        <v>0</v>
      </c>
      <c r="AY51" s="9">
        <f>IFERROR((_xlfn.XLOOKUP($C51, Lebensmitteldaten!$C:$C, Lebensmitteldaten!AY:AY) * $B24) / 100, 0)</f>
        <v>0</v>
      </c>
      <c r="AZ51" s="9">
        <f>IFERROR((_xlfn.XLOOKUP($C51, Lebensmitteldaten!$C:$C, Lebensmitteldaten!AZ:AZ) * $B24) / 100, 0)</f>
        <v>0</v>
      </c>
    </row>
    <row r="52" spans="1:52" x14ac:dyDescent="0.45">
      <c r="A52" t="str">
        <f>_xlfn.XLOOKUP($A25, Lebensmitteldaten!$C:$C, Lebensmitteldaten!$A:$A, "")</f>
        <v/>
      </c>
      <c r="B52" t="str">
        <f>_xlfn.XLOOKUP($A25, Lebensmitteldaten!$C:$C, Lebensmitteldaten!$B:$B, "")</f>
        <v/>
      </c>
      <c r="C52">
        <f t="shared" si="1"/>
        <v>0</v>
      </c>
      <c r="D52" s="9">
        <f>IFERROR((_xlfn.XLOOKUP($C52, Lebensmitteldaten!$C:$C, Lebensmitteldaten!D:D) * $B25) / 100, 0)</f>
        <v>0</v>
      </c>
      <c r="E52" s="9">
        <f>IFERROR((_xlfn.XLOOKUP($C52, Lebensmitteldaten!$C:$C, Lebensmitteldaten!E:E) * $B25) / 100, 0)</f>
        <v>0</v>
      </c>
      <c r="F52" s="9">
        <f>IFERROR((_xlfn.XLOOKUP($C52, Lebensmitteldaten!$C:$C, Lebensmitteldaten!F:F) * $B25) / 100, 0)</f>
        <v>0</v>
      </c>
      <c r="G52" s="9">
        <f>IFERROR((_xlfn.XLOOKUP($C52, Lebensmitteldaten!$C:$C, Lebensmitteldaten!G:G) * $B25) / 100, 0)</f>
        <v>0</v>
      </c>
      <c r="H52" s="9">
        <f>IFERROR((_xlfn.XLOOKUP($C52, Lebensmitteldaten!$C:$C, Lebensmitteldaten!H:H) * $B25) / 100, 0)</f>
        <v>0</v>
      </c>
      <c r="I52" s="9">
        <f>IFERROR((_xlfn.XLOOKUP($C52, Lebensmitteldaten!$C:$C, Lebensmitteldaten!I:I) * $B25) / 100, 0)</f>
        <v>0</v>
      </c>
      <c r="J52" s="9">
        <f>IFERROR((_xlfn.XLOOKUP($C52, Lebensmitteldaten!$C:$C, Lebensmitteldaten!J:J) * $B25) / 100, 0)</f>
        <v>0</v>
      </c>
      <c r="K52" s="9">
        <f>IFERROR((_xlfn.XLOOKUP($C52, Lebensmitteldaten!$C:$C, Lebensmitteldaten!K:K) * $B25) / 100, 0)</f>
        <v>0</v>
      </c>
      <c r="L52" s="9">
        <f>IFERROR((_xlfn.XLOOKUP($C52, Lebensmitteldaten!$C:$C, Lebensmitteldaten!L:L) * $B25) / 100, 0)</f>
        <v>0</v>
      </c>
      <c r="M52" s="9">
        <f>IFERROR((_xlfn.XLOOKUP($C52, Lebensmitteldaten!$C:$C, Lebensmitteldaten!M:M) * $B25) / 100, 0)</f>
        <v>0</v>
      </c>
      <c r="N52" s="9">
        <f>IFERROR((_xlfn.XLOOKUP($C52, Lebensmitteldaten!$C:$C, Lebensmitteldaten!N:N) * $B25) / 100, 0)</f>
        <v>0</v>
      </c>
      <c r="O52" s="9">
        <f>IFERROR((_xlfn.XLOOKUP($C52, Lebensmitteldaten!$C:$C, Lebensmitteldaten!O:O) * $B25) / 100, 0)</f>
        <v>0</v>
      </c>
      <c r="P52" s="9">
        <f>IFERROR((_xlfn.XLOOKUP($C52, Lebensmitteldaten!$C:$C, Lebensmitteldaten!P:P) * $B25) / 100, 0)</f>
        <v>0</v>
      </c>
      <c r="Q52" s="9">
        <f>IFERROR((_xlfn.XLOOKUP($C52, Lebensmitteldaten!$C:$C, Lebensmitteldaten!Q:Q) * $B25) / 100, 0)</f>
        <v>0</v>
      </c>
      <c r="R52" s="9">
        <f>IFERROR((_xlfn.XLOOKUP($C52, Lebensmitteldaten!$C:$C, Lebensmitteldaten!R:R) * $B25) / 100, 0)</f>
        <v>0</v>
      </c>
      <c r="S52" s="9">
        <f>IFERROR((_xlfn.XLOOKUP($C52, Lebensmitteldaten!$C:$C, Lebensmitteldaten!S:S) * $B25) / 100, 0)</f>
        <v>0</v>
      </c>
      <c r="T52" s="9">
        <f>IFERROR((_xlfn.XLOOKUP($C52, Lebensmitteldaten!$C:$C, Lebensmitteldaten!T:T) * $B25) / 100, 0)</f>
        <v>0</v>
      </c>
      <c r="U52" s="9">
        <f>IFERROR((_xlfn.XLOOKUP($C52, Lebensmitteldaten!$C:$C, Lebensmitteldaten!U:U) * $B25) / 100, 0)</f>
        <v>0</v>
      </c>
      <c r="V52" s="9">
        <f>IFERROR((_xlfn.XLOOKUP($C52, Lebensmitteldaten!$C:$C, Lebensmitteldaten!V:V) * $B25) / 100, 0)</f>
        <v>0</v>
      </c>
      <c r="W52" s="9">
        <f>IFERROR((_xlfn.XLOOKUP($C52, Lebensmitteldaten!$C:$C, Lebensmitteldaten!W:W) * $B25) / 100 / 1000, 0)</f>
        <v>0</v>
      </c>
      <c r="X52" s="9">
        <f>IFERROR((_xlfn.XLOOKUP($C52, Lebensmitteldaten!$C:$C, Lebensmitteldaten!X:X) * $B25) / 100 / 1000, 0)</f>
        <v>0</v>
      </c>
      <c r="Y52" s="9">
        <f>IFERROR((_xlfn.XLOOKUP($C52, Lebensmitteldaten!$C:$C, Lebensmitteldaten!Y:Y) * $B25) / 100, 0)</f>
        <v>0</v>
      </c>
      <c r="Z52" s="9">
        <f>IFERROR((_xlfn.XLOOKUP($C52, Lebensmitteldaten!$C:$C, Lebensmitteldaten!Z:Z) * $B25) / 100, 0)</f>
        <v>0</v>
      </c>
      <c r="AA52" s="9">
        <f>IFERROR((_xlfn.XLOOKUP($C52, Lebensmitteldaten!$C:$C, Lebensmitteldaten!AA:AA) * $B25) / 100, 0)</f>
        <v>0</v>
      </c>
      <c r="AB52" s="9">
        <f>IFERROR((_xlfn.XLOOKUP($C52, Lebensmitteldaten!$C:$C, Lebensmitteldaten!AB:AB) * $B25) / 100, 0)</f>
        <v>0</v>
      </c>
      <c r="AC52" s="9">
        <f>IFERROR((_xlfn.XLOOKUP($C52, Lebensmitteldaten!$C:$C, Lebensmitteldaten!AC:AC) * $B25) / 100, 0)</f>
        <v>0</v>
      </c>
      <c r="AD52" s="9">
        <f>IFERROR((_xlfn.XLOOKUP($C52, Lebensmitteldaten!$C:$C, Lebensmitteldaten!AD:AD) * $B25) / 100 * 1000, 0)</f>
        <v>0</v>
      </c>
      <c r="AE52" s="9">
        <f>IFERROR((_xlfn.XLOOKUP($C52, Lebensmitteldaten!$C:$C, Lebensmitteldaten!AE:AE) * $B25) / 100 * 1000, 0)</f>
        <v>0</v>
      </c>
      <c r="AF52" s="9">
        <f>IFERROR((_xlfn.XLOOKUP($C52, Lebensmitteldaten!$C:$C, Lebensmitteldaten!AF:AF) * $B25) / 100 * 1000, 0)</f>
        <v>0</v>
      </c>
      <c r="AG52" s="9">
        <f>IFERROR((_xlfn.XLOOKUP($C52, Lebensmitteldaten!$C:$C, Lebensmitteldaten!AG:AG) * $B25) / 100, 0)</f>
        <v>0</v>
      </c>
      <c r="AH52" s="9">
        <f>IFERROR((_xlfn.XLOOKUP($C52, Lebensmitteldaten!$C:$C, Lebensmitteldaten!AH:AH) * $B25) / 100, 0)</f>
        <v>0</v>
      </c>
      <c r="AI52" s="9">
        <f>IFERROR((_xlfn.XLOOKUP($C52, Lebensmitteldaten!$C:$C, Lebensmitteldaten!AI:AI) * $B25) / 100, 0)</f>
        <v>0</v>
      </c>
      <c r="AJ52" s="9">
        <f>IFERROR((_xlfn.XLOOKUP($C52, Lebensmitteldaten!$C:$C, Lebensmitteldaten!AJ:AJ) * $B25) / 100, 0)</f>
        <v>0</v>
      </c>
      <c r="AK52" s="9">
        <f>IFERROR((_xlfn.XLOOKUP($C52, Lebensmitteldaten!$C:$C, Lebensmitteldaten!AK:AK) * $B25) / 100, 0)</f>
        <v>0</v>
      </c>
      <c r="AL52" s="9">
        <f>IFERROR((_xlfn.XLOOKUP($C52, Lebensmitteldaten!$C:$C, Lebensmitteldaten!AL:AL) * $B25) / 100, 0)</f>
        <v>0</v>
      </c>
      <c r="AM52" s="9">
        <f>IFERROR((_xlfn.XLOOKUP($C52, Lebensmitteldaten!$C:$C, Lebensmitteldaten!AM:AM) * $B25) / 100, 0)</f>
        <v>0</v>
      </c>
      <c r="AN52" s="9">
        <f>IFERROR((_xlfn.XLOOKUP($C52, Lebensmitteldaten!$C:$C, Lebensmitteldaten!AN:AN) * $B25) / 100 * 1000, 0)</f>
        <v>0</v>
      </c>
      <c r="AO52" s="9">
        <f>IFERROR((_xlfn.XLOOKUP($C52, Lebensmitteldaten!$C:$C, Lebensmitteldaten!AO:AO) * $B25) / 100 * 1000, 0)</f>
        <v>0</v>
      </c>
      <c r="AP52" s="9">
        <f>IFERROR((_xlfn.XLOOKUP($C52, Lebensmitteldaten!$C:$C, Lebensmitteldaten!AP:AP) * $B25) / 100 * 1000, 0)</f>
        <v>0</v>
      </c>
      <c r="AQ52" s="9">
        <f>IFERROR((_xlfn.XLOOKUP($C52, Lebensmitteldaten!$C:$C, Lebensmitteldaten!AQ:AQ) * $B25) / 100 * 1000, 0)</f>
        <v>0</v>
      </c>
      <c r="AR52" s="9">
        <f>IFERROR((_xlfn.XLOOKUP($C52, Lebensmitteldaten!$C:$C, Lebensmitteldaten!AR:AR) * $B25) / 100 * 1000, 0)</f>
        <v>0</v>
      </c>
      <c r="AS52" s="9">
        <f>IFERROR((_xlfn.XLOOKUP($C52, Lebensmitteldaten!$C:$C, Lebensmitteldaten!AS:AS) * $B25) / 100 * 1000, 0)</f>
        <v>0</v>
      </c>
      <c r="AT52" s="9">
        <f>IFERROR((_xlfn.XLOOKUP($C52, Lebensmitteldaten!$C:$C, Lebensmitteldaten!AT:AT) * $B25) / 100 * 1000, 0)</f>
        <v>0</v>
      </c>
      <c r="AU52" s="9">
        <f>IFERROR((_xlfn.XLOOKUP($C52, Lebensmitteldaten!$C:$C, Lebensmitteldaten!AU:AU) * $B25) / 100 * 1000, 0)</f>
        <v>0</v>
      </c>
      <c r="AV52" s="9">
        <f>IFERROR((_xlfn.XLOOKUP($C52, Lebensmitteldaten!$C:$C, Lebensmitteldaten!AV:AV) * $B25) / 100 * 1000, 0)</f>
        <v>0</v>
      </c>
      <c r="AW52" s="9">
        <f>IFERROR((_xlfn.XLOOKUP($C52, Lebensmitteldaten!$C:$C, Lebensmitteldaten!AW:AW) * $B25) / 100 * 1000, 0)</f>
        <v>0</v>
      </c>
      <c r="AX52" s="9">
        <f>IFERROR((_xlfn.XLOOKUP($C52, Lebensmitteldaten!$C:$C, Lebensmitteldaten!AX:AX) * $B25) / 100, 0)</f>
        <v>0</v>
      </c>
      <c r="AY52" s="9">
        <f>IFERROR((_xlfn.XLOOKUP($C52, Lebensmitteldaten!$C:$C, Lebensmitteldaten!AY:AY) * $B25) / 100, 0)</f>
        <v>0</v>
      </c>
      <c r="AZ52" s="9">
        <f>IFERROR((_xlfn.XLOOKUP($C52, Lebensmitteldaten!$C:$C, Lebensmitteldaten!AZ:AZ) * $B25) / 100, 0)</f>
        <v>0</v>
      </c>
    </row>
    <row r="53" spans="1:52" x14ac:dyDescent="0.45">
      <c r="A53" t="str">
        <f>_xlfn.XLOOKUP($A26, Lebensmitteldaten!$C:$C, Lebensmitteldaten!$A:$A, "")</f>
        <v/>
      </c>
      <c r="B53" t="str">
        <f>_xlfn.XLOOKUP($A26, Lebensmitteldaten!$C:$C, Lebensmitteldaten!$B:$B, "")</f>
        <v/>
      </c>
      <c r="C53">
        <f t="shared" si="1"/>
        <v>0</v>
      </c>
      <c r="D53" s="9">
        <f>IFERROR((_xlfn.XLOOKUP($C53, Lebensmitteldaten!$C:$C, Lebensmitteldaten!D:D) * $B26) / 100, 0)</f>
        <v>0</v>
      </c>
      <c r="E53" s="9">
        <f>IFERROR((_xlfn.XLOOKUP($C53, Lebensmitteldaten!$C:$C, Lebensmitteldaten!E:E) * $B26) / 100, 0)</f>
        <v>0</v>
      </c>
      <c r="F53" s="9">
        <f>IFERROR((_xlfn.XLOOKUP($C53, Lebensmitteldaten!$C:$C, Lebensmitteldaten!F:F) * $B26) / 100, 0)</f>
        <v>0</v>
      </c>
      <c r="G53" s="9">
        <f>IFERROR((_xlfn.XLOOKUP($C53, Lebensmitteldaten!$C:$C, Lebensmitteldaten!G:G) * $B26) / 100, 0)</f>
        <v>0</v>
      </c>
      <c r="H53" s="9">
        <f>IFERROR((_xlfn.XLOOKUP($C53, Lebensmitteldaten!$C:$C, Lebensmitteldaten!H:H) * $B26) / 100, 0)</f>
        <v>0</v>
      </c>
      <c r="I53" s="9">
        <f>IFERROR((_xlfn.XLOOKUP($C53, Lebensmitteldaten!$C:$C, Lebensmitteldaten!I:I) * $B26) / 100, 0)</f>
        <v>0</v>
      </c>
      <c r="J53" s="9">
        <f>IFERROR((_xlfn.XLOOKUP($C53, Lebensmitteldaten!$C:$C, Lebensmitteldaten!J:J) * $B26) / 100, 0)</f>
        <v>0</v>
      </c>
      <c r="K53" s="9">
        <f>IFERROR((_xlfn.XLOOKUP($C53, Lebensmitteldaten!$C:$C, Lebensmitteldaten!K:K) * $B26) / 100, 0)</f>
        <v>0</v>
      </c>
      <c r="L53" s="9">
        <f>IFERROR((_xlfn.XLOOKUP($C53, Lebensmitteldaten!$C:$C, Lebensmitteldaten!L:L) * $B26) / 100, 0)</f>
        <v>0</v>
      </c>
      <c r="M53" s="9">
        <f>IFERROR((_xlfn.XLOOKUP($C53, Lebensmitteldaten!$C:$C, Lebensmitteldaten!M:M) * $B26) / 100, 0)</f>
        <v>0</v>
      </c>
      <c r="N53" s="9">
        <f>IFERROR((_xlfn.XLOOKUP($C53, Lebensmitteldaten!$C:$C, Lebensmitteldaten!N:N) * $B26) / 100, 0)</f>
        <v>0</v>
      </c>
      <c r="O53" s="9">
        <f>IFERROR((_xlfn.XLOOKUP($C53, Lebensmitteldaten!$C:$C, Lebensmitteldaten!O:O) * $B26) / 100, 0)</f>
        <v>0</v>
      </c>
      <c r="P53" s="9">
        <f>IFERROR((_xlfn.XLOOKUP($C53, Lebensmitteldaten!$C:$C, Lebensmitteldaten!P:P) * $B26) / 100, 0)</f>
        <v>0</v>
      </c>
      <c r="Q53" s="9">
        <f>IFERROR((_xlfn.XLOOKUP($C53, Lebensmitteldaten!$C:$C, Lebensmitteldaten!Q:Q) * $B26) / 100, 0)</f>
        <v>0</v>
      </c>
      <c r="R53" s="9">
        <f>IFERROR((_xlfn.XLOOKUP($C53, Lebensmitteldaten!$C:$C, Lebensmitteldaten!R:R) * $B26) / 100, 0)</f>
        <v>0</v>
      </c>
      <c r="S53" s="9">
        <f>IFERROR((_xlfn.XLOOKUP($C53, Lebensmitteldaten!$C:$C, Lebensmitteldaten!S:S) * $B26) / 100, 0)</f>
        <v>0</v>
      </c>
      <c r="T53" s="9">
        <f>IFERROR((_xlfn.XLOOKUP($C53, Lebensmitteldaten!$C:$C, Lebensmitteldaten!T:T) * $B26) / 100, 0)</f>
        <v>0</v>
      </c>
      <c r="U53" s="9">
        <f>IFERROR((_xlfn.XLOOKUP($C53, Lebensmitteldaten!$C:$C, Lebensmitteldaten!U:U) * $B26) / 100, 0)</f>
        <v>0</v>
      </c>
      <c r="V53" s="9">
        <f>IFERROR((_xlfn.XLOOKUP($C53, Lebensmitteldaten!$C:$C, Lebensmitteldaten!V:V) * $B26) / 100, 0)</f>
        <v>0</v>
      </c>
      <c r="W53" s="9">
        <f>IFERROR((_xlfn.XLOOKUP($C53, Lebensmitteldaten!$C:$C, Lebensmitteldaten!W:W) * $B26) / 100 / 1000, 0)</f>
        <v>0</v>
      </c>
      <c r="X53" s="9">
        <f>IFERROR((_xlfn.XLOOKUP($C53, Lebensmitteldaten!$C:$C, Lebensmitteldaten!X:X) * $B26) / 100 / 1000, 0)</f>
        <v>0</v>
      </c>
      <c r="Y53" s="9">
        <f>IFERROR((_xlfn.XLOOKUP($C53, Lebensmitteldaten!$C:$C, Lebensmitteldaten!Y:Y) * $B26) / 100, 0)</f>
        <v>0</v>
      </c>
      <c r="Z53" s="9">
        <f>IFERROR((_xlfn.XLOOKUP($C53, Lebensmitteldaten!$C:$C, Lebensmitteldaten!Z:Z) * $B26) / 100, 0)</f>
        <v>0</v>
      </c>
      <c r="AA53" s="9">
        <f>IFERROR((_xlfn.XLOOKUP($C53, Lebensmitteldaten!$C:$C, Lebensmitteldaten!AA:AA) * $B26) / 100, 0)</f>
        <v>0</v>
      </c>
      <c r="AB53" s="9">
        <f>IFERROR((_xlfn.XLOOKUP($C53, Lebensmitteldaten!$C:$C, Lebensmitteldaten!AB:AB) * $B26) / 100, 0)</f>
        <v>0</v>
      </c>
      <c r="AC53" s="9">
        <f>IFERROR((_xlfn.XLOOKUP($C53, Lebensmitteldaten!$C:$C, Lebensmitteldaten!AC:AC) * $B26) / 100, 0)</f>
        <v>0</v>
      </c>
      <c r="AD53" s="9">
        <f>IFERROR((_xlfn.XLOOKUP($C53, Lebensmitteldaten!$C:$C, Lebensmitteldaten!AD:AD) * $B26) / 100 * 1000, 0)</f>
        <v>0</v>
      </c>
      <c r="AE53" s="9">
        <f>IFERROR((_xlfn.XLOOKUP($C53, Lebensmitteldaten!$C:$C, Lebensmitteldaten!AE:AE) * $B26) / 100 * 1000, 0)</f>
        <v>0</v>
      </c>
      <c r="AF53" s="9">
        <f>IFERROR((_xlfn.XLOOKUP($C53, Lebensmitteldaten!$C:$C, Lebensmitteldaten!AF:AF) * $B26) / 100 * 1000, 0)</f>
        <v>0</v>
      </c>
      <c r="AG53" s="9">
        <f>IFERROR((_xlfn.XLOOKUP($C53, Lebensmitteldaten!$C:$C, Lebensmitteldaten!AG:AG) * $B26) / 100, 0)</f>
        <v>0</v>
      </c>
      <c r="AH53" s="9">
        <f>IFERROR((_xlfn.XLOOKUP($C53, Lebensmitteldaten!$C:$C, Lebensmitteldaten!AH:AH) * $B26) / 100, 0)</f>
        <v>0</v>
      </c>
      <c r="AI53" s="9">
        <f>IFERROR((_xlfn.XLOOKUP($C53, Lebensmitteldaten!$C:$C, Lebensmitteldaten!AI:AI) * $B26) / 100, 0)</f>
        <v>0</v>
      </c>
      <c r="AJ53" s="9">
        <f>IFERROR((_xlfn.XLOOKUP($C53, Lebensmitteldaten!$C:$C, Lebensmitteldaten!AJ:AJ) * $B26) / 100, 0)</f>
        <v>0</v>
      </c>
      <c r="AK53" s="9">
        <f>IFERROR((_xlfn.XLOOKUP($C53, Lebensmitteldaten!$C:$C, Lebensmitteldaten!AK:AK) * $B26) / 100, 0)</f>
        <v>0</v>
      </c>
      <c r="AL53" s="9">
        <f>IFERROR((_xlfn.XLOOKUP($C53, Lebensmitteldaten!$C:$C, Lebensmitteldaten!AL:AL) * $B26) / 100, 0)</f>
        <v>0</v>
      </c>
      <c r="AM53" s="9">
        <f>IFERROR((_xlfn.XLOOKUP($C53, Lebensmitteldaten!$C:$C, Lebensmitteldaten!AM:AM) * $B26) / 100, 0)</f>
        <v>0</v>
      </c>
      <c r="AN53" s="9">
        <f>IFERROR((_xlfn.XLOOKUP($C53, Lebensmitteldaten!$C:$C, Lebensmitteldaten!AN:AN) * $B26) / 100 * 1000, 0)</f>
        <v>0</v>
      </c>
      <c r="AO53" s="9">
        <f>IFERROR((_xlfn.XLOOKUP($C53, Lebensmitteldaten!$C:$C, Lebensmitteldaten!AO:AO) * $B26) / 100 * 1000, 0)</f>
        <v>0</v>
      </c>
      <c r="AP53" s="9">
        <f>IFERROR((_xlfn.XLOOKUP($C53, Lebensmitteldaten!$C:$C, Lebensmitteldaten!AP:AP) * $B26) / 100 * 1000, 0)</f>
        <v>0</v>
      </c>
      <c r="AQ53" s="9">
        <f>IFERROR((_xlfn.XLOOKUP($C53, Lebensmitteldaten!$C:$C, Lebensmitteldaten!AQ:AQ) * $B26) / 100 * 1000, 0)</f>
        <v>0</v>
      </c>
      <c r="AR53" s="9">
        <f>IFERROR((_xlfn.XLOOKUP($C53, Lebensmitteldaten!$C:$C, Lebensmitteldaten!AR:AR) * $B26) / 100 * 1000, 0)</f>
        <v>0</v>
      </c>
      <c r="AS53" s="9">
        <f>IFERROR((_xlfn.XLOOKUP($C53, Lebensmitteldaten!$C:$C, Lebensmitteldaten!AS:AS) * $B26) / 100 * 1000, 0)</f>
        <v>0</v>
      </c>
      <c r="AT53" s="9">
        <f>IFERROR((_xlfn.XLOOKUP($C53, Lebensmitteldaten!$C:$C, Lebensmitteldaten!AT:AT) * $B26) / 100 * 1000, 0)</f>
        <v>0</v>
      </c>
      <c r="AU53" s="9">
        <f>IFERROR((_xlfn.XLOOKUP($C53, Lebensmitteldaten!$C:$C, Lebensmitteldaten!AU:AU) * $B26) / 100 * 1000, 0)</f>
        <v>0</v>
      </c>
      <c r="AV53" s="9">
        <f>IFERROR((_xlfn.XLOOKUP($C53, Lebensmitteldaten!$C:$C, Lebensmitteldaten!AV:AV) * $B26) / 100 * 1000, 0)</f>
        <v>0</v>
      </c>
      <c r="AW53" s="9">
        <f>IFERROR((_xlfn.XLOOKUP($C53, Lebensmitteldaten!$C:$C, Lebensmitteldaten!AW:AW) * $B26) / 100 * 1000, 0)</f>
        <v>0</v>
      </c>
      <c r="AX53" s="9">
        <f>IFERROR((_xlfn.XLOOKUP($C53, Lebensmitteldaten!$C:$C, Lebensmitteldaten!AX:AX) * $B26) / 100, 0)</f>
        <v>0</v>
      </c>
      <c r="AY53" s="9">
        <f>IFERROR((_xlfn.XLOOKUP($C53, Lebensmitteldaten!$C:$C, Lebensmitteldaten!AY:AY) * $B26) / 100, 0)</f>
        <v>0</v>
      </c>
      <c r="AZ53" s="9">
        <f>IFERROR((_xlfn.XLOOKUP($C53, Lebensmitteldaten!$C:$C, Lebensmitteldaten!AZ:AZ) * $B26) / 100, 0)</f>
        <v>0</v>
      </c>
    </row>
    <row r="54" spans="1:52" x14ac:dyDescent="0.45">
      <c r="A54" t="str">
        <f>_xlfn.XLOOKUP($A27, Lebensmitteldaten!$C:$C, Lebensmitteldaten!$A:$A, "")</f>
        <v/>
      </c>
      <c r="B54" t="str">
        <f>_xlfn.XLOOKUP($A27, Lebensmitteldaten!$C:$C, Lebensmitteldaten!$B:$B, "")</f>
        <v/>
      </c>
      <c r="C54">
        <f t="shared" si="1"/>
        <v>0</v>
      </c>
      <c r="D54" s="9">
        <f>IFERROR((_xlfn.XLOOKUP($C54, Lebensmitteldaten!$C:$C, Lebensmitteldaten!D:D) * $B27) / 100, 0)</f>
        <v>0</v>
      </c>
      <c r="E54" s="9">
        <f>IFERROR((_xlfn.XLOOKUP($C54, Lebensmitteldaten!$C:$C, Lebensmitteldaten!E:E) * $B27) / 100, 0)</f>
        <v>0</v>
      </c>
      <c r="F54" s="9">
        <f>IFERROR((_xlfn.XLOOKUP($C54, Lebensmitteldaten!$C:$C, Lebensmitteldaten!F:F) * $B27) / 100, 0)</f>
        <v>0</v>
      </c>
      <c r="G54" s="9">
        <f>IFERROR((_xlfn.XLOOKUP($C54, Lebensmitteldaten!$C:$C, Lebensmitteldaten!G:G) * $B27) / 100, 0)</f>
        <v>0</v>
      </c>
      <c r="H54" s="9">
        <f>IFERROR((_xlfn.XLOOKUP($C54, Lebensmitteldaten!$C:$C, Lebensmitteldaten!H:H) * $B27) / 100, 0)</f>
        <v>0</v>
      </c>
      <c r="I54" s="9">
        <f>IFERROR((_xlfn.XLOOKUP($C54, Lebensmitteldaten!$C:$C, Lebensmitteldaten!I:I) * $B27) / 100, 0)</f>
        <v>0</v>
      </c>
      <c r="J54" s="9">
        <f>IFERROR((_xlfn.XLOOKUP($C54, Lebensmitteldaten!$C:$C, Lebensmitteldaten!J:J) * $B27) / 100, 0)</f>
        <v>0</v>
      </c>
      <c r="K54" s="9">
        <f>IFERROR((_xlfn.XLOOKUP($C54, Lebensmitteldaten!$C:$C, Lebensmitteldaten!K:K) * $B27) / 100, 0)</f>
        <v>0</v>
      </c>
      <c r="L54" s="9">
        <f>IFERROR((_xlfn.XLOOKUP($C54, Lebensmitteldaten!$C:$C, Lebensmitteldaten!L:L) * $B27) / 100, 0)</f>
        <v>0</v>
      </c>
      <c r="M54" s="9">
        <f>IFERROR((_xlfn.XLOOKUP($C54, Lebensmitteldaten!$C:$C, Lebensmitteldaten!M:M) * $B27) / 100, 0)</f>
        <v>0</v>
      </c>
      <c r="N54" s="9">
        <f>IFERROR((_xlfn.XLOOKUP($C54, Lebensmitteldaten!$C:$C, Lebensmitteldaten!N:N) * $B27) / 100, 0)</f>
        <v>0</v>
      </c>
      <c r="O54" s="9">
        <f>IFERROR((_xlfn.XLOOKUP($C54, Lebensmitteldaten!$C:$C, Lebensmitteldaten!O:O) * $B27) / 100, 0)</f>
        <v>0</v>
      </c>
      <c r="P54" s="9">
        <f>IFERROR((_xlfn.XLOOKUP($C54, Lebensmitteldaten!$C:$C, Lebensmitteldaten!P:P) * $B27) / 100, 0)</f>
        <v>0</v>
      </c>
      <c r="Q54" s="9">
        <f>IFERROR((_xlfn.XLOOKUP($C54, Lebensmitteldaten!$C:$C, Lebensmitteldaten!Q:Q) * $B27) / 100, 0)</f>
        <v>0</v>
      </c>
      <c r="R54" s="9">
        <f>IFERROR((_xlfn.XLOOKUP($C54, Lebensmitteldaten!$C:$C, Lebensmitteldaten!R:R) * $B27) / 100, 0)</f>
        <v>0</v>
      </c>
      <c r="S54" s="9">
        <f>IFERROR((_xlfn.XLOOKUP($C54, Lebensmitteldaten!$C:$C, Lebensmitteldaten!S:S) * $B27) / 100, 0)</f>
        <v>0</v>
      </c>
      <c r="T54" s="9">
        <f>IFERROR((_xlfn.XLOOKUP($C54, Lebensmitteldaten!$C:$C, Lebensmitteldaten!T:T) * $B27) / 100, 0)</f>
        <v>0</v>
      </c>
      <c r="U54" s="9">
        <f>IFERROR((_xlfn.XLOOKUP($C54, Lebensmitteldaten!$C:$C, Lebensmitteldaten!U:U) * $B27) / 100, 0)</f>
        <v>0</v>
      </c>
      <c r="V54" s="9">
        <f>IFERROR((_xlfn.XLOOKUP($C54, Lebensmitteldaten!$C:$C, Lebensmitteldaten!V:V) * $B27) / 100, 0)</f>
        <v>0</v>
      </c>
      <c r="W54" s="9">
        <f>IFERROR((_xlfn.XLOOKUP($C54, Lebensmitteldaten!$C:$C, Lebensmitteldaten!W:W) * $B27) / 100 / 1000, 0)</f>
        <v>0</v>
      </c>
      <c r="X54" s="9">
        <f>IFERROR((_xlfn.XLOOKUP($C54, Lebensmitteldaten!$C:$C, Lebensmitteldaten!X:X) * $B27) / 100 / 1000, 0)</f>
        <v>0</v>
      </c>
      <c r="Y54" s="9">
        <f>IFERROR((_xlfn.XLOOKUP($C54, Lebensmitteldaten!$C:$C, Lebensmitteldaten!Y:Y) * $B27) / 100, 0)</f>
        <v>0</v>
      </c>
      <c r="Z54" s="9">
        <f>IFERROR((_xlfn.XLOOKUP($C54, Lebensmitteldaten!$C:$C, Lebensmitteldaten!Z:Z) * $B27) / 100, 0)</f>
        <v>0</v>
      </c>
      <c r="AA54" s="9">
        <f>IFERROR((_xlfn.XLOOKUP($C54, Lebensmitteldaten!$C:$C, Lebensmitteldaten!AA:AA) * $B27) / 100, 0)</f>
        <v>0</v>
      </c>
      <c r="AB54" s="9">
        <f>IFERROR((_xlfn.XLOOKUP($C54, Lebensmitteldaten!$C:$C, Lebensmitteldaten!AB:AB) * $B27) / 100, 0)</f>
        <v>0</v>
      </c>
      <c r="AC54" s="9">
        <f>IFERROR((_xlfn.XLOOKUP($C54, Lebensmitteldaten!$C:$C, Lebensmitteldaten!AC:AC) * $B27) / 100, 0)</f>
        <v>0</v>
      </c>
      <c r="AD54" s="9">
        <f>IFERROR((_xlfn.XLOOKUP($C54, Lebensmitteldaten!$C:$C, Lebensmitteldaten!AD:AD) * $B27) / 100 * 1000, 0)</f>
        <v>0</v>
      </c>
      <c r="AE54" s="9">
        <f>IFERROR((_xlfn.XLOOKUP($C54, Lebensmitteldaten!$C:$C, Lebensmitteldaten!AE:AE) * $B27) / 100 * 1000, 0)</f>
        <v>0</v>
      </c>
      <c r="AF54" s="9">
        <f>IFERROR((_xlfn.XLOOKUP($C54, Lebensmitteldaten!$C:$C, Lebensmitteldaten!AF:AF) * $B27) / 100 * 1000, 0)</f>
        <v>0</v>
      </c>
      <c r="AG54" s="9">
        <f>IFERROR((_xlfn.XLOOKUP($C54, Lebensmitteldaten!$C:$C, Lebensmitteldaten!AG:AG) * $B27) / 100, 0)</f>
        <v>0</v>
      </c>
      <c r="AH54" s="9">
        <f>IFERROR((_xlfn.XLOOKUP($C54, Lebensmitteldaten!$C:$C, Lebensmitteldaten!AH:AH) * $B27) / 100, 0)</f>
        <v>0</v>
      </c>
      <c r="AI54" s="9">
        <f>IFERROR((_xlfn.XLOOKUP($C54, Lebensmitteldaten!$C:$C, Lebensmitteldaten!AI:AI) * $B27) / 100, 0)</f>
        <v>0</v>
      </c>
      <c r="AJ54" s="9">
        <f>IFERROR((_xlfn.XLOOKUP($C54, Lebensmitteldaten!$C:$C, Lebensmitteldaten!AJ:AJ) * $B27) / 100, 0)</f>
        <v>0</v>
      </c>
      <c r="AK54" s="9">
        <f>IFERROR((_xlfn.XLOOKUP($C54, Lebensmitteldaten!$C:$C, Lebensmitteldaten!AK:AK) * $B27) / 100, 0)</f>
        <v>0</v>
      </c>
      <c r="AL54" s="9">
        <f>IFERROR((_xlfn.XLOOKUP($C54, Lebensmitteldaten!$C:$C, Lebensmitteldaten!AL:AL) * $B27) / 100, 0)</f>
        <v>0</v>
      </c>
      <c r="AM54" s="9">
        <f>IFERROR((_xlfn.XLOOKUP($C54, Lebensmitteldaten!$C:$C, Lebensmitteldaten!AM:AM) * $B27) / 100, 0)</f>
        <v>0</v>
      </c>
      <c r="AN54" s="9">
        <f>IFERROR((_xlfn.XLOOKUP($C54, Lebensmitteldaten!$C:$C, Lebensmitteldaten!AN:AN) * $B27) / 100 * 1000, 0)</f>
        <v>0</v>
      </c>
      <c r="AO54" s="9">
        <f>IFERROR((_xlfn.XLOOKUP($C54, Lebensmitteldaten!$C:$C, Lebensmitteldaten!AO:AO) * $B27) / 100 * 1000, 0)</f>
        <v>0</v>
      </c>
      <c r="AP54" s="9">
        <f>IFERROR((_xlfn.XLOOKUP($C54, Lebensmitteldaten!$C:$C, Lebensmitteldaten!AP:AP) * $B27) / 100 * 1000, 0)</f>
        <v>0</v>
      </c>
      <c r="AQ54" s="9">
        <f>IFERROR((_xlfn.XLOOKUP($C54, Lebensmitteldaten!$C:$C, Lebensmitteldaten!AQ:AQ) * $B27) / 100 * 1000, 0)</f>
        <v>0</v>
      </c>
      <c r="AR54" s="9">
        <f>IFERROR((_xlfn.XLOOKUP($C54, Lebensmitteldaten!$C:$C, Lebensmitteldaten!AR:AR) * $B27) / 100 * 1000, 0)</f>
        <v>0</v>
      </c>
      <c r="AS54" s="9">
        <f>IFERROR((_xlfn.XLOOKUP($C54, Lebensmitteldaten!$C:$C, Lebensmitteldaten!AS:AS) * $B27) / 100 * 1000, 0)</f>
        <v>0</v>
      </c>
      <c r="AT54" s="9">
        <f>IFERROR((_xlfn.XLOOKUP($C54, Lebensmitteldaten!$C:$C, Lebensmitteldaten!AT:AT) * $B27) / 100 * 1000, 0)</f>
        <v>0</v>
      </c>
      <c r="AU54" s="9">
        <f>IFERROR((_xlfn.XLOOKUP($C54, Lebensmitteldaten!$C:$C, Lebensmitteldaten!AU:AU) * $B27) / 100 * 1000, 0)</f>
        <v>0</v>
      </c>
      <c r="AV54" s="9">
        <f>IFERROR((_xlfn.XLOOKUP($C54, Lebensmitteldaten!$C:$C, Lebensmitteldaten!AV:AV) * $B27) / 100 * 1000, 0)</f>
        <v>0</v>
      </c>
      <c r="AW54" s="9">
        <f>IFERROR((_xlfn.XLOOKUP($C54, Lebensmitteldaten!$C:$C, Lebensmitteldaten!AW:AW) * $B27) / 100 * 1000, 0)</f>
        <v>0</v>
      </c>
      <c r="AX54" s="9">
        <f>IFERROR((_xlfn.XLOOKUP($C54, Lebensmitteldaten!$C:$C, Lebensmitteldaten!AX:AX) * $B27) / 100, 0)</f>
        <v>0</v>
      </c>
      <c r="AY54" s="9">
        <f>IFERROR((_xlfn.XLOOKUP($C54, Lebensmitteldaten!$C:$C, Lebensmitteldaten!AY:AY) * $B27) / 100, 0)</f>
        <v>0</v>
      </c>
      <c r="AZ54" s="9">
        <f>IFERROR((_xlfn.XLOOKUP($C54, Lebensmitteldaten!$C:$C, Lebensmitteldaten!AZ:AZ) * $B27) / 100, 0)</f>
        <v>0</v>
      </c>
    </row>
    <row r="55" spans="1:52" x14ac:dyDescent="0.45">
      <c r="A55" t="str">
        <f>_xlfn.XLOOKUP($A28, Lebensmitteldaten!$C:$C, Lebensmitteldaten!$A:$A, "")</f>
        <v/>
      </c>
      <c r="B55" t="str">
        <f>_xlfn.XLOOKUP($A28, Lebensmitteldaten!$C:$C, Lebensmitteldaten!$B:$B, "")</f>
        <v/>
      </c>
      <c r="C55">
        <f t="shared" si="1"/>
        <v>0</v>
      </c>
      <c r="D55" s="9">
        <f>IFERROR((_xlfn.XLOOKUP($C55, Lebensmitteldaten!$C:$C, Lebensmitteldaten!D:D) * $B28) / 100, 0)</f>
        <v>0</v>
      </c>
      <c r="E55" s="9">
        <f>IFERROR((_xlfn.XLOOKUP($C55, Lebensmitteldaten!$C:$C, Lebensmitteldaten!E:E) * $B28) / 100, 0)</f>
        <v>0</v>
      </c>
      <c r="F55" s="9">
        <f>IFERROR((_xlfn.XLOOKUP($C55, Lebensmitteldaten!$C:$C, Lebensmitteldaten!F:F) * $B28) / 100, 0)</f>
        <v>0</v>
      </c>
      <c r="G55" s="9">
        <f>IFERROR((_xlfn.XLOOKUP($C55, Lebensmitteldaten!$C:$C, Lebensmitteldaten!G:G) * $B28) / 100, 0)</f>
        <v>0</v>
      </c>
      <c r="H55" s="9">
        <f>IFERROR((_xlfn.XLOOKUP($C55, Lebensmitteldaten!$C:$C, Lebensmitteldaten!H:H) * $B28) / 100, 0)</f>
        <v>0</v>
      </c>
      <c r="I55" s="9">
        <f>IFERROR((_xlfn.XLOOKUP($C55, Lebensmitteldaten!$C:$C, Lebensmitteldaten!I:I) * $B28) / 100, 0)</f>
        <v>0</v>
      </c>
      <c r="J55" s="9">
        <f>IFERROR((_xlfn.XLOOKUP($C55, Lebensmitteldaten!$C:$C, Lebensmitteldaten!J:J) * $B28) / 100, 0)</f>
        <v>0</v>
      </c>
      <c r="K55" s="9">
        <f>IFERROR((_xlfn.XLOOKUP($C55, Lebensmitteldaten!$C:$C, Lebensmitteldaten!K:K) * $B28) / 100, 0)</f>
        <v>0</v>
      </c>
      <c r="L55" s="9">
        <f>IFERROR((_xlfn.XLOOKUP($C55, Lebensmitteldaten!$C:$C, Lebensmitteldaten!L:L) * $B28) / 100, 0)</f>
        <v>0</v>
      </c>
      <c r="M55" s="9">
        <f>IFERROR((_xlfn.XLOOKUP($C55, Lebensmitteldaten!$C:$C, Lebensmitteldaten!M:M) * $B28) / 100, 0)</f>
        <v>0</v>
      </c>
      <c r="N55" s="9">
        <f>IFERROR((_xlfn.XLOOKUP($C55, Lebensmitteldaten!$C:$C, Lebensmitteldaten!N:N) * $B28) / 100, 0)</f>
        <v>0</v>
      </c>
      <c r="O55" s="9">
        <f>IFERROR((_xlfn.XLOOKUP($C55, Lebensmitteldaten!$C:$C, Lebensmitteldaten!O:O) * $B28) / 100, 0)</f>
        <v>0</v>
      </c>
      <c r="P55" s="9">
        <f>IFERROR((_xlfn.XLOOKUP($C55, Lebensmitteldaten!$C:$C, Lebensmitteldaten!P:P) * $B28) / 100, 0)</f>
        <v>0</v>
      </c>
      <c r="Q55" s="9">
        <f>IFERROR((_xlfn.XLOOKUP($C55, Lebensmitteldaten!$C:$C, Lebensmitteldaten!Q:Q) * $B28) / 100, 0)</f>
        <v>0</v>
      </c>
      <c r="R55" s="9">
        <f>IFERROR((_xlfn.XLOOKUP($C55, Lebensmitteldaten!$C:$C, Lebensmitteldaten!R:R) * $B28) / 100, 0)</f>
        <v>0</v>
      </c>
      <c r="S55" s="9">
        <f>IFERROR((_xlfn.XLOOKUP($C55, Lebensmitteldaten!$C:$C, Lebensmitteldaten!S:S) * $B28) / 100, 0)</f>
        <v>0</v>
      </c>
      <c r="T55" s="9">
        <f>IFERROR((_xlfn.XLOOKUP($C55, Lebensmitteldaten!$C:$C, Lebensmitteldaten!T:T) * $B28) / 100, 0)</f>
        <v>0</v>
      </c>
      <c r="U55" s="9">
        <f>IFERROR((_xlfn.XLOOKUP($C55, Lebensmitteldaten!$C:$C, Lebensmitteldaten!U:U) * $B28) / 100, 0)</f>
        <v>0</v>
      </c>
      <c r="V55" s="9">
        <f>IFERROR((_xlfn.XLOOKUP($C55, Lebensmitteldaten!$C:$C, Lebensmitteldaten!V:V) * $B28) / 100, 0)</f>
        <v>0</v>
      </c>
      <c r="W55" s="9">
        <f>IFERROR((_xlfn.XLOOKUP($C55, Lebensmitteldaten!$C:$C, Lebensmitteldaten!W:W) * $B28) / 100 / 1000, 0)</f>
        <v>0</v>
      </c>
      <c r="X55" s="9">
        <f>IFERROR((_xlfn.XLOOKUP($C55, Lebensmitteldaten!$C:$C, Lebensmitteldaten!X:X) * $B28) / 100 / 1000, 0)</f>
        <v>0</v>
      </c>
      <c r="Y55" s="9">
        <f>IFERROR((_xlfn.XLOOKUP($C55, Lebensmitteldaten!$C:$C, Lebensmitteldaten!Y:Y) * $B28) / 100, 0)</f>
        <v>0</v>
      </c>
      <c r="Z55" s="9">
        <f>IFERROR((_xlfn.XLOOKUP($C55, Lebensmitteldaten!$C:$C, Lebensmitteldaten!Z:Z) * $B28) / 100, 0)</f>
        <v>0</v>
      </c>
      <c r="AA55" s="9">
        <f>IFERROR((_xlfn.XLOOKUP($C55, Lebensmitteldaten!$C:$C, Lebensmitteldaten!AA:AA) * $B28) / 100, 0)</f>
        <v>0</v>
      </c>
      <c r="AB55" s="9">
        <f>IFERROR((_xlfn.XLOOKUP($C55, Lebensmitteldaten!$C:$C, Lebensmitteldaten!AB:AB) * $B28) / 100, 0)</f>
        <v>0</v>
      </c>
      <c r="AC55" s="9">
        <f>IFERROR((_xlfn.XLOOKUP($C55, Lebensmitteldaten!$C:$C, Lebensmitteldaten!AC:AC) * $B28) / 100, 0)</f>
        <v>0</v>
      </c>
      <c r="AD55" s="9">
        <f>IFERROR((_xlfn.XLOOKUP($C55, Lebensmitteldaten!$C:$C, Lebensmitteldaten!AD:AD) * $B28) / 100 * 1000, 0)</f>
        <v>0</v>
      </c>
      <c r="AE55" s="9">
        <f>IFERROR((_xlfn.XLOOKUP($C55, Lebensmitteldaten!$C:$C, Lebensmitteldaten!AE:AE) * $B28) / 100 * 1000, 0)</f>
        <v>0</v>
      </c>
      <c r="AF55" s="9">
        <f>IFERROR((_xlfn.XLOOKUP($C55, Lebensmitteldaten!$C:$C, Lebensmitteldaten!AF:AF) * $B28) / 100 * 1000, 0)</f>
        <v>0</v>
      </c>
      <c r="AG55" s="9">
        <f>IFERROR((_xlfn.XLOOKUP($C55, Lebensmitteldaten!$C:$C, Lebensmitteldaten!AG:AG) * $B28) / 100, 0)</f>
        <v>0</v>
      </c>
      <c r="AH55" s="9">
        <f>IFERROR((_xlfn.XLOOKUP($C55, Lebensmitteldaten!$C:$C, Lebensmitteldaten!AH:AH) * $B28) / 100, 0)</f>
        <v>0</v>
      </c>
      <c r="AI55" s="9">
        <f>IFERROR((_xlfn.XLOOKUP($C55, Lebensmitteldaten!$C:$C, Lebensmitteldaten!AI:AI) * $B28) / 100, 0)</f>
        <v>0</v>
      </c>
      <c r="AJ55" s="9">
        <f>IFERROR((_xlfn.XLOOKUP($C55, Lebensmitteldaten!$C:$C, Lebensmitteldaten!AJ:AJ) * $B28) / 100, 0)</f>
        <v>0</v>
      </c>
      <c r="AK55" s="9">
        <f>IFERROR((_xlfn.XLOOKUP($C55, Lebensmitteldaten!$C:$C, Lebensmitteldaten!AK:AK) * $B28) / 100, 0)</f>
        <v>0</v>
      </c>
      <c r="AL55" s="9">
        <f>IFERROR((_xlfn.XLOOKUP($C55, Lebensmitteldaten!$C:$C, Lebensmitteldaten!AL:AL) * $B28) / 100, 0)</f>
        <v>0</v>
      </c>
      <c r="AM55" s="9">
        <f>IFERROR((_xlfn.XLOOKUP($C55, Lebensmitteldaten!$C:$C, Lebensmitteldaten!AM:AM) * $B28) / 100, 0)</f>
        <v>0</v>
      </c>
      <c r="AN55" s="9">
        <f>IFERROR((_xlfn.XLOOKUP($C55, Lebensmitteldaten!$C:$C, Lebensmitteldaten!AN:AN) * $B28) / 100 * 1000, 0)</f>
        <v>0</v>
      </c>
      <c r="AO55" s="9">
        <f>IFERROR((_xlfn.XLOOKUP($C55, Lebensmitteldaten!$C:$C, Lebensmitteldaten!AO:AO) * $B28) / 100 * 1000, 0)</f>
        <v>0</v>
      </c>
      <c r="AP55" s="9">
        <f>IFERROR((_xlfn.XLOOKUP($C55, Lebensmitteldaten!$C:$C, Lebensmitteldaten!AP:AP) * $B28) / 100 * 1000, 0)</f>
        <v>0</v>
      </c>
      <c r="AQ55" s="9">
        <f>IFERROR((_xlfn.XLOOKUP($C55, Lebensmitteldaten!$C:$C, Lebensmitteldaten!AQ:AQ) * $B28) / 100 * 1000, 0)</f>
        <v>0</v>
      </c>
      <c r="AR55" s="9">
        <f>IFERROR((_xlfn.XLOOKUP($C55, Lebensmitteldaten!$C:$C, Lebensmitteldaten!AR:AR) * $B28) / 100 * 1000, 0)</f>
        <v>0</v>
      </c>
      <c r="AS55" s="9">
        <f>IFERROR((_xlfn.XLOOKUP($C55, Lebensmitteldaten!$C:$C, Lebensmitteldaten!AS:AS) * $B28) / 100 * 1000, 0)</f>
        <v>0</v>
      </c>
      <c r="AT55" s="9">
        <f>IFERROR((_xlfn.XLOOKUP($C55, Lebensmitteldaten!$C:$C, Lebensmitteldaten!AT:AT) * $B28) / 100 * 1000, 0)</f>
        <v>0</v>
      </c>
      <c r="AU55" s="9">
        <f>IFERROR((_xlfn.XLOOKUP($C55, Lebensmitteldaten!$C:$C, Lebensmitteldaten!AU:AU) * $B28) / 100 * 1000, 0)</f>
        <v>0</v>
      </c>
      <c r="AV55" s="9">
        <f>IFERROR((_xlfn.XLOOKUP($C55, Lebensmitteldaten!$C:$C, Lebensmitteldaten!AV:AV) * $B28) / 100 * 1000, 0)</f>
        <v>0</v>
      </c>
      <c r="AW55" s="9">
        <f>IFERROR((_xlfn.XLOOKUP($C55, Lebensmitteldaten!$C:$C, Lebensmitteldaten!AW:AW) * $B28) / 100 * 1000, 0)</f>
        <v>0</v>
      </c>
      <c r="AX55" s="9">
        <f>IFERROR((_xlfn.XLOOKUP($C55, Lebensmitteldaten!$C:$C, Lebensmitteldaten!AX:AX) * $B28) / 100, 0)</f>
        <v>0</v>
      </c>
      <c r="AY55" s="9">
        <f>IFERROR((_xlfn.XLOOKUP($C55, Lebensmitteldaten!$C:$C, Lebensmitteldaten!AY:AY) * $B28) / 100, 0)</f>
        <v>0</v>
      </c>
      <c r="AZ55" s="9">
        <f>IFERROR((_xlfn.XLOOKUP($C55, Lebensmitteldaten!$C:$C, Lebensmitteldaten!AZ:AZ) * $B28) / 100, 0)</f>
        <v>0</v>
      </c>
    </row>
    <row r="56" spans="1:52" x14ac:dyDescent="0.45">
      <c r="A56" t="str">
        <f>_xlfn.XLOOKUP($A29, Lebensmitteldaten!$C:$C, Lebensmitteldaten!$A:$A, "")</f>
        <v/>
      </c>
      <c r="B56" t="str">
        <f>_xlfn.XLOOKUP($A29, Lebensmitteldaten!$C:$C, Lebensmitteldaten!$B:$B, "")</f>
        <v/>
      </c>
      <c r="C56">
        <f t="shared" si="1"/>
        <v>0</v>
      </c>
      <c r="D56" s="9">
        <f>IFERROR((_xlfn.XLOOKUP($C56, Lebensmitteldaten!$C:$C, Lebensmitteldaten!D:D) * $B29) / 100, 0)</f>
        <v>0</v>
      </c>
      <c r="E56" s="9">
        <f>IFERROR((_xlfn.XLOOKUP($C56, Lebensmitteldaten!$C:$C, Lebensmitteldaten!E:E) * $B29) / 100, 0)</f>
        <v>0</v>
      </c>
      <c r="F56" s="9">
        <f>IFERROR((_xlfn.XLOOKUP($C56, Lebensmitteldaten!$C:$C, Lebensmitteldaten!F:F) * $B29) / 100, 0)</f>
        <v>0</v>
      </c>
      <c r="G56" s="9">
        <f>IFERROR((_xlfn.XLOOKUP($C56, Lebensmitteldaten!$C:$C, Lebensmitteldaten!G:G) * $B29) / 100, 0)</f>
        <v>0</v>
      </c>
      <c r="H56" s="9">
        <f>IFERROR((_xlfn.XLOOKUP($C56, Lebensmitteldaten!$C:$C, Lebensmitteldaten!H:H) * $B29) / 100, 0)</f>
        <v>0</v>
      </c>
      <c r="I56" s="9">
        <f>IFERROR((_xlfn.XLOOKUP($C56, Lebensmitteldaten!$C:$C, Lebensmitteldaten!I:I) * $B29) / 100, 0)</f>
        <v>0</v>
      </c>
      <c r="J56" s="9">
        <f>IFERROR((_xlfn.XLOOKUP($C56, Lebensmitteldaten!$C:$C, Lebensmitteldaten!J:J) * $B29) / 100, 0)</f>
        <v>0</v>
      </c>
      <c r="K56" s="9">
        <f>IFERROR((_xlfn.XLOOKUP($C56, Lebensmitteldaten!$C:$C, Lebensmitteldaten!K:K) * $B29) / 100, 0)</f>
        <v>0</v>
      </c>
      <c r="L56" s="9">
        <f>IFERROR((_xlfn.XLOOKUP($C56, Lebensmitteldaten!$C:$C, Lebensmitteldaten!L:L) * $B29) / 100, 0)</f>
        <v>0</v>
      </c>
      <c r="M56" s="9">
        <f>IFERROR((_xlfn.XLOOKUP($C56, Lebensmitteldaten!$C:$C, Lebensmitteldaten!M:M) * $B29) / 100, 0)</f>
        <v>0</v>
      </c>
      <c r="N56" s="9">
        <f>IFERROR((_xlfn.XLOOKUP($C56, Lebensmitteldaten!$C:$C, Lebensmitteldaten!N:N) * $B29) / 100, 0)</f>
        <v>0</v>
      </c>
      <c r="O56" s="9">
        <f>IFERROR((_xlfn.XLOOKUP($C56, Lebensmitteldaten!$C:$C, Lebensmitteldaten!O:O) * $B29) / 100, 0)</f>
        <v>0</v>
      </c>
      <c r="P56" s="9">
        <f>IFERROR((_xlfn.XLOOKUP($C56, Lebensmitteldaten!$C:$C, Lebensmitteldaten!P:P) * $B29) / 100, 0)</f>
        <v>0</v>
      </c>
      <c r="Q56" s="9">
        <f>IFERROR((_xlfn.XLOOKUP($C56, Lebensmitteldaten!$C:$C, Lebensmitteldaten!Q:Q) * $B29) / 100, 0)</f>
        <v>0</v>
      </c>
      <c r="R56" s="9">
        <f>IFERROR((_xlfn.XLOOKUP($C56, Lebensmitteldaten!$C:$C, Lebensmitteldaten!R:R) * $B29) / 100, 0)</f>
        <v>0</v>
      </c>
      <c r="S56" s="9">
        <f>IFERROR((_xlfn.XLOOKUP($C56, Lebensmitteldaten!$C:$C, Lebensmitteldaten!S:S) * $B29) / 100, 0)</f>
        <v>0</v>
      </c>
      <c r="T56" s="9">
        <f>IFERROR((_xlfn.XLOOKUP($C56, Lebensmitteldaten!$C:$C, Lebensmitteldaten!T:T) * $B29) / 100, 0)</f>
        <v>0</v>
      </c>
      <c r="U56" s="9">
        <f>IFERROR((_xlfn.XLOOKUP($C56, Lebensmitteldaten!$C:$C, Lebensmitteldaten!U:U) * $B29) / 100, 0)</f>
        <v>0</v>
      </c>
      <c r="V56" s="9">
        <f>IFERROR((_xlfn.XLOOKUP($C56, Lebensmitteldaten!$C:$C, Lebensmitteldaten!V:V) * $B29) / 100, 0)</f>
        <v>0</v>
      </c>
      <c r="W56" s="9">
        <f>IFERROR((_xlfn.XLOOKUP($C56, Lebensmitteldaten!$C:$C, Lebensmitteldaten!W:W) * $B29) / 100 / 1000, 0)</f>
        <v>0</v>
      </c>
      <c r="X56" s="9">
        <f>IFERROR((_xlfn.XLOOKUP($C56, Lebensmitteldaten!$C:$C, Lebensmitteldaten!X:X) * $B29) / 100 / 1000, 0)</f>
        <v>0</v>
      </c>
      <c r="Y56" s="9">
        <f>IFERROR((_xlfn.XLOOKUP($C56, Lebensmitteldaten!$C:$C, Lebensmitteldaten!Y:Y) * $B29) / 100, 0)</f>
        <v>0</v>
      </c>
      <c r="Z56" s="9">
        <f>IFERROR((_xlfn.XLOOKUP($C56, Lebensmitteldaten!$C:$C, Lebensmitteldaten!Z:Z) * $B29) / 100, 0)</f>
        <v>0</v>
      </c>
      <c r="AA56" s="9">
        <f>IFERROR((_xlfn.XLOOKUP($C56, Lebensmitteldaten!$C:$C, Lebensmitteldaten!AA:AA) * $B29) / 100, 0)</f>
        <v>0</v>
      </c>
      <c r="AB56" s="9">
        <f>IFERROR((_xlfn.XLOOKUP($C56, Lebensmitteldaten!$C:$C, Lebensmitteldaten!AB:AB) * $B29) / 100, 0)</f>
        <v>0</v>
      </c>
      <c r="AC56" s="9">
        <f>IFERROR((_xlfn.XLOOKUP($C56, Lebensmitteldaten!$C:$C, Lebensmitteldaten!AC:AC) * $B29) / 100, 0)</f>
        <v>0</v>
      </c>
      <c r="AD56" s="9">
        <f>IFERROR((_xlfn.XLOOKUP($C56, Lebensmitteldaten!$C:$C, Lebensmitteldaten!AD:AD) * $B29) / 100 * 1000, 0)</f>
        <v>0</v>
      </c>
      <c r="AE56" s="9">
        <f>IFERROR((_xlfn.XLOOKUP($C56, Lebensmitteldaten!$C:$C, Lebensmitteldaten!AE:AE) * $B29) / 100 * 1000, 0)</f>
        <v>0</v>
      </c>
      <c r="AF56" s="9">
        <f>IFERROR((_xlfn.XLOOKUP($C56, Lebensmitteldaten!$C:$C, Lebensmitteldaten!AF:AF) * $B29) / 100 * 1000, 0)</f>
        <v>0</v>
      </c>
      <c r="AG56" s="9">
        <f>IFERROR((_xlfn.XLOOKUP($C56, Lebensmitteldaten!$C:$C, Lebensmitteldaten!AG:AG) * $B29) / 100, 0)</f>
        <v>0</v>
      </c>
      <c r="AH56" s="9">
        <f>IFERROR((_xlfn.XLOOKUP($C56, Lebensmitteldaten!$C:$C, Lebensmitteldaten!AH:AH) * $B29) / 100, 0)</f>
        <v>0</v>
      </c>
      <c r="AI56" s="9">
        <f>IFERROR((_xlfn.XLOOKUP($C56, Lebensmitteldaten!$C:$C, Lebensmitteldaten!AI:AI) * $B29) / 100, 0)</f>
        <v>0</v>
      </c>
      <c r="AJ56" s="9">
        <f>IFERROR((_xlfn.XLOOKUP($C56, Lebensmitteldaten!$C:$C, Lebensmitteldaten!AJ:AJ) * $B29) / 100, 0)</f>
        <v>0</v>
      </c>
      <c r="AK56" s="9">
        <f>IFERROR((_xlfn.XLOOKUP($C56, Lebensmitteldaten!$C:$C, Lebensmitteldaten!AK:AK) * $B29) / 100, 0)</f>
        <v>0</v>
      </c>
      <c r="AL56" s="9">
        <f>IFERROR((_xlfn.XLOOKUP($C56, Lebensmitteldaten!$C:$C, Lebensmitteldaten!AL:AL) * $B29) / 100, 0)</f>
        <v>0</v>
      </c>
      <c r="AM56" s="9">
        <f>IFERROR((_xlfn.XLOOKUP($C56, Lebensmitteldaten!$C:$C, Lebensmitteldaten!AM:AM) * $B29) / 100, 0)</f>
        <v>0</v>
      </c>
      <c r="AN56" s="9">
        <f>IFERROR((_xlfn.XLOOKUP($C56, Lebensmitteldaten!$C:$C, Lebensmitteldaten!AN:AN) * $B29) / 100 * 1000, 0)</f>
        <v>0</v>
      </c>
      <c r="AO56" s="9">
        <f>IFERROR((_xlfn.XLOOKUP($C56, Lebensmitteldaten!$C:$C, Lebensmitteldaten!AO:AO) * $B29) / 100 * 1000, 0)</f>
        <v>0</v>
      </c>
      <c r="AP56" s="9">
        <f>IFERROR((_xlfn.XLOOKUP($C56, Lebensmitteldaten!$C:$C, Lebensmitteldaten!AP:AP) * $B29) / 100 * 1000, 0)</f>
        <v>0</v>
      </c>
      <c r="AQ56" s="9">
        <f>IFERROR((_xlfn.XLOOKUP($C56, Lebensmitteldaten!$C:$C, Lebensmitteldaten!AQ:AQ) * $B29) / 100 * 1000, 0)</f>
        <v>0</v>
      </c>
      <c r="AR56" s="9">
        <f>IFERROR((_xlfn.XLOOKUP($C56, Lebensmitteldaten!$C:$C, Lebensmitteldaten!AR:AR) * $B29) / 100 * 1000, 0)</f>
        <v>0</v>
      </c>
      <c r="AS56" s="9">
        <f>IFERROR((_xlfn.XLOOKUP($C56, Lebensmitteldaten!$C:$C, Lebensmitteldaten!AS:AS) * $B29) / 100 * 1000, 0)</f>
        <v>0</v>
      </c>
      <c r="AT56" s="9">
        <f>IFERROR((_xlfn.XLOOKUP($C56, Lebensmitteldaten!$C:$C, Lebensmitteldaten!AT:AT) * $B29) / 100 * 1000, 0)</f>
        <v>0</v>
      </c>
      <c r="AU56" s="9">
        <f>IFERROR((_xlfn.XLOOKUP($C56, Lebensmitteldaten!$C:$C, Lebensmitteldaten!AU:AU) * $B29) / 100 * 1000, 0)</f>
        <v>0</v>
      </c>
      <c r="AV56" s="9">
        <f>IFERROR((_xlfn.XLOOKUP($C56, Lebensmitteldaten!$C:$C, Lebensmitteldaten!AV:AV) * $B29) / 100 * 1000, 0)</f>
        <v>0</v>
      </c>
      <c r="AW56" s="9">
        <f>IFERROR((_xlfn.XLOOKUP($C56, Lebensmitteldaten!$C:$C, Lebensmitteldaten!AW:AW) * $B29) / 100 * 1000, 0)</f>
        <v>0</v>
      </c>
      <c r="AX56" s="9">
        <f>IFERROR((_xlfn.XLOOKUP($C56, Lebensmitteldaten!$C:$C, Lebensmitteldaten!AX:AX) * $B29) / 100, 0)</f>
        <v>0</v>
      </c>
      <c r="AY56" s="9">
        <f>IFERROR((_xlfn.XLOOKUP($C56, Lebensmitteldaten!$C:$C, Lebensmitteldaten!AY:AY) * $B29) / 100, 0)</f>
        <v>0</v>
      </c>
      <c r="AZ56" s="9">
        <f>IFERROR((_xlfn.XLOOKUP($C56, Lebensmitteldaten!$C:$C, Lebensmitteldaten!AZ:AZ) * $B29) / 100, 0)</f>
        <v>0</v>
      </c>
    </row>
    <row r="57" spans="1:52" x14ac:dyDescent="0.45">
      <c r="A57" t="str">
        <f>_xlfn.XLOOKUP($A30, Lebensmitteldaten!$C:$C, Lebensmitteldaten!$A:$A, "")</f>
        <v/>
      </c>
      <c r="B57" t="str">
        <f>_xlfn.XLOOKUP($A30, Lebensmitteldaten!$C:$C, Lebensmitteldaten!$B:$B, "")</f>
        <v/>
      </c>
      <c r="C57">
        <f t="shared" si="1"/>
        <v>0</v>
      </c>
      <c r="D57" s="9">
        <f>IFERROR((_xlfn.XLOOKUP($C57, Lebensmitteldaten!$C:$C, Lebensmitteldaten!D:D) * $B30) / 100, 0)</f>
        <v>0</v>
      </c>
      <c r="E57" s="9">
        <f>IFERROR((_xlfn.XLOOKUP($C57, Lebensmitteldaten!$C:$C, Lebensmitteldaten!E:E) * $B30) / 100, 0)</f>
        <v>0</v>
      </c>
      <c r="F57" s="9">
        <f>IFERROR((_xlfn.XLOOKUP($C57, Lebensmitteldaten!$C:$C, Lebensmitteldaten!F:F) * $B30) / 100, 0)</f>
        <v>0</v>
      </c>
      <c r="G57" s="9">
        <f>IFERROR((_xlfn.XLOOKUP($C57, Lebensmitteldaten!$C:$C, Lebensmitteldaten!G:G) * $B30) / 100, 0)</f>
        <v>0</v>
      </c>
      <c r="H57" s="9">
        <f>IFERROR((_xlfn.XLOOKUP($C57, Lebensmitteldaten!$C:$C, Lebensmitteldaten!H:H) * $B30) / 100, 0)</f>
        <v>0</v>
      </c>
      <c r="I57" s="9">
        <f>IFERROR((_xlfn.XLOOKUP($C57, Lebensmitteldaten!$C:$C, Lebensmitteldaten!I:I) * $B30) / 100, 0)</f>
        <v>0</v>
      </c>
      <c r="J57" s="9">
        <f>IFERROR((_xlfn.XLOOKUP($C57, Lebensmitteldaten!$C:$C, Lebensmitteldaten!J:J) * $B30) / 100, 0)</f>
        <v>0</v>
      </c>
      <c r="K57" s="9">
        <f>IFERROR((_xlfn.XLOOKUP($C57, Lebensmitteldaten!$C:$C, Lebensmitteldaten!K:K) * $B30) / 100, 0)</f>
        <v>0</v>
      </c>
      <c r="L57" s="9">
        <f>IFERROR((_xlfn.XLOOKUP($C57, Lebensmitteldaten!$C:$C, Lebensmitteldaten!L:L) * $B30) / 100, 0)</f>
        <v>0</v>
      </c>
      <c r="M57" s="9">
        <f>IFERROR((_xlfn.XLOOKUP($C57, Lebensmitteldaten!$C:$C, Lebensmitteldaten!M:M) * $B30) / 100, 0)</f>
        <v>0</v>
      </c>
      <c r="N57" s="9">
        <f>IFERROR((_xlfn.XLOOKUP($C57, Lebensmitteldaten!$C:$C, Lebensmitteldaten!N:N) * $B30) / 100, 0)</f>
        <v>0</v>
      </c>
      <c r="O57" s="9">
        <f>IFERROR((_xlfn.XLOOKUP($C57, Lebensmitteldaten!$C:$C, Lebensmitteldaten!O:O) * $B30) / 100, 0)</f>
        <v>0</v>
      </c>
      <c r="P57" s="9">
        <f>IFERROR((_xlfn.XLOOKUP($C57, Lebensmitteldaten!$C:$C, Lebensmitteldaten!P:P) * $B30) / 100, 0)</f>
        <v>0</v>
      </c>
      <c r="Q57" s="9">
        <f>IFERROR((_xlfn.XLOOKUP($C57, Lebensmitteldaten!$C:$C, Lebensmitteldaten!Q:Q) * $B30) / 100, 0)</f>
        <v>0</v>
      </c>
      <c r="R57" s="9">
        <f>IFERROR((_xlfn.XLOOKUP($C57, Lebensmitteldaten!$C:$C, Lebensmitteldaten!R:R) * $B30) / 100, 0)</f>
        <v>0</v>
      </c>
      <c r="S57" s="9">
        <f>IFERROR((_xlfn.XLOOKUP($C57, Lebensmitteldaten!$C:$C, Lebensmitteldaten!S:S) * $B30) / 100, 0)</f>
        <v>0</v>
      </c>
      <c r="T57" s="9">
        <f>IFERROR((_xlfn.XLOOKUP($C57, Lebensmitteldaten!$C:$C, Lebensmitteldaten!T:T) * $B30) / 100, 0)</f>
        <v>0</v>
      </c>
      <c r="U57" s="9">
        <f>IFERROR((_xlfn.XLOOKUP($C57, Lebensmitteldaten!$C:$C, Lebensmitteldaten!U:U) * $B30) / 100, 0)</f>
        <v>0</v>
      </c>
      <c r="V57" s="9">
        <f>IFERROR((_xlfn.XLOOKUP($C57, Lebensmitteldaten!$C:$C, Lebensmitteldaten!V:V) * $B30) / 100, 0)</f>
        <v>0</v>
      </c>
      <c r="W57" s="9">
        <f>IFERROR((_xlfn.XLOOKUP($C57, Lebensmitteldaten!$C:$C, Lebensmitteldaten!W:W) * $B30) / 100 / 1000, 0)</f>
        <v>0</v>
      </c>
      <c r="X57" s="9">
        <f>IFERROR((_xlfn.XLOOKUP($C57, Lebensmitteldaten!$C:$C, Lebensmitteldaten!X:X) * $B30) / 100 / 1000, 0)</f>
        <v>0</v>
      </c>
      <c r="Y57" s="9">
        <f>IFERROR((_xlfn.XLOOKUP($C57, Lebensmitteldaten!$C:$C, Lebensmitteldaten!Y:Y) * $B30) / 100, 0)</f>
        <v>0</v>
      </c>
      <c r="Z57" s="9">
        <f>IFERROR((_xlfn.XLOOKUP($C57, Lebensmitteldaten!$C:$C, Lebensmitteldaten!Z:Z) * $B30) / 100, 0)</f>
        <v>0</v>
      </c>
      <c r="AA57" s="9">
        <f>IFERROR((_xlfn.XLOOKUP($C57, Lebensmitteldaten!$C:$C, Lebensmitteldaten!AA:AA) * $B30) / 100, 0)</f>
        <v>0</v>
      </c>
      <c r="AB57" s="9">
        <f>IFERROR((_xlfn.XLOOKUP($C57, Lebensmitteldaten!$C:$C, Lebensmitteldaten!AB:AB) * $B30) / 100, 0)</f>
        <v>0</v>
      </c>
      <c r="AC57" s="9">
        <f>IFERROR((_xlfn.XLOOKUP($C57, Lebensmitteldaten!$C:$C, Lebensmitteldaten!AC:AC) * $B30) / 100, 0)</f>
        <v>0</v>
      </c>
      <c r="AD57" s="9">
        <f>IFERROR((_xlfn.XLOOKUP($C57, Lebensmitteldaten!$C:$C, Lebensmitteldaten!AD:AD) * $B30) / 100 * 1000, 0)</f>
        <v>0</v>
      </c>
      <c r="AE57" s="9">
        <f>IFERROR((_xlfn.XLOOKUP($C57, Lebensmitteldaten!$C:$C, Lebensmitteldaten!AE:AE) * $B30) / 100 * 1000, 0)</f>
        <v>0</v>
      </c>
      <c r="AF57" s="9">
        <f>IFERROR((_xlfn.XLOOKUP($C57, Lebensmitteldaten!$C:$C, Lebensmitteldaten!AF:AF) * $B30) / 100 * 1000, 0)</f>
        <v>0</v>
      </c>
      <c r="AG57" s="9">
        <f>IFERROR((_xlfn.XLOOKUP($C57, Lebensmitteldaten!$C:$C, Lebensmitteldaten!AG:AG) * $B30) / 100, 0)</f>
        <v>0</v>
      </c>
      <c r="AH57" s="9">
        <f>IFERROR((_xlfn.XLOOKUP($C57, Lebensmitteldaten!$C:$C, Lebensmitteldaten!AH:AH) * $B30) / 100, 0)</f>
        <v>0</v>
      </c>
      <c r="AI57" s="9">
        <f>IFERROR((_xlfn.XLOOKUP($C57, Lebensmitteldaten!$C:$C, Lebensmitteldaten!AI:AI) * $B30) / 100, 0)</f>
        <v>0</v>
      </c>
      <c r="AJ57" s="9">
        <f>IFERROR((_xlfn.XLOOKUP($C57, Lebensmitteldaten!$C:$C, Lebensmitteldaten!AJ:AJ) * $B30) / 100, 0)</f>
        <v>0</v>
      </c>
      <c r="AK57" s="9">
        <f>IFERROR((_xlfn.XLOOKUP($C57, Lebensmitteldaten!$C:$C, Lebensmitteldaten!AK:AK) * $B30) / 100, 0)</f>
        <v>0</v>
      </c>
      <c r="AL57" s="9">
        <f>IFERROR((_xlfn.XLOOKUP($C57, Lebensmitteldaten!$C:$C, Lebensmitteldaten!AL:AL) * $B30) / 100, 0)</f>
        <v>0</v>
      </c>
      <c r="AM57" s="9">
        <f>IFERROR((_xlfn.XLOOKUP($C57, Lebensmitteldaten!$C:$C, Lebensmitteldaten!AM:AM) * $B30) / 100, 0)</f>
        <v>0</v>
      </c>
      <c r="AN57" s="9">
        <f>IFERROR((_xlfn.XLOOKUP($C57, Lebensmitteldaten!$C:$C, Lebensmitteldaten!AN:AN) * $B30) / 100 * 1000, 0)</f>
        <v>0</v>
      </c>
      <c r="AO57" s="9">
        <f>IFERROR((_xlfn.XLOOKUP($C57, Lebensmitteldaten!$C:$C, Lebensmitteldaten!AO:AO) * $B30) / 100 * 1000, 0)</f>
        <v>0</v>
      </c>
      <c r="AP57" s="9">
        <f>IFERROR((_xlfn.XLOOKUP($C57, Lebensmitteldaten!$C:$C, Lebensmitteldaten!AP:AP) * $B30) / 100 * 1000, 0)</f>
        <v>0</v>
      </c>
      <c r="AQ57" s="9">
        <f>IFERROR((_xlfn.XLOOKUP($C57, Lebensmitteldaten!$C:$C, Lebensmitteldaten!AQ:AQ) * $B30) / 100 * 1000, 0)</f>
        <v>0</v>
      </c>
      <c r="AR57" s="9">
        <f>IFERROR((_xlfn.XLOOKUP($C57, Lebensmitteldaten!$C:$C, Lebensmitteldaten!AR:AR) * $B30) / 100 * 1000, 0)</f>
        <v>0</v>
      </c>
      <c r="AS57" s="9">
        <f>IFERROR((_xlfn.XLOOKUP($C57, Lebensmitteldaten!$C:$C, Lebensmitteldaten!AS:AS) * $B30) / 100 * 1000, 0)</f>
        <v>0</v>
      </c>
      <c r="AT57" s="9">
        <f>IFERROR((_xlfn.XLOOKUP($C57, Lebensmitteldaten!$C:$C, Lebensmitteldaten!AT:AT) * $B30) / 100 * 1000, 0)</f>
        <v>0</v>
      </c>
      <c r="AU57" s="9">
        <f>IFERROR((_xlfn.XLOOKUP($C57, Lebensmitteldaten!$C:$C, Lebensmitteldaten!AU:AU) * $B30) / 100 * 1000, 0)</f>
        <v>0</v>
      </c>
      <c r="AV57" s="9">
        <f>IFERROR((_xlfn.XLOOKUP($C57, Lebensmitteldaten!$C:$C, Lebensmitteldaten!AV:AV) * $B30) / 100 * 1000, 0)</f>
        <v>0</v>
      </c>
      <c r="AW57" s="9">
        <f>IFERROR((_xlfn.XLOOKUP($C57, Lebensmitteldaten!$C:$C, Lebensmitteldaten!AW:AW) * $B30) / 100 * 1000, 0)</f>
        <v>0</v>
      </c>
      <c r="AX57" s="9">
        <f>IFERROR((_xlfn.XLOOKUP($C57, Lebensmitteldaten!$C:$C, Lebensmitteldaten!AX:AX) * $B30) / 100, 0)</f>
        <v>0</v>
      </c>
      <c r="AY57" s="9">
        <f>IFERROR((_xlfn.XLOOKUP($C57, Lebensmitteldaten!$C:$C, Lebensmitteldaten!AY:AY) * $B30) / 100, 0)</f>
        <v>0</v>
      </c>
      <c r="AZ57" s="9">
        <f>IFERROR((_xlfn.XLOOKUP($C57, Lebensmitteldaten!$C:$C, Lebensmitteldaten!AZ:AZ) * $B30) / 100, 0)</f>
        <v>0</v>
      </c>
    </row>
    <row r="58" spans="1:52" x14ac:dyDescent="0.45">
      <c r="A58" t="str">
        <f>_xlfn.XLOOKUP($A31, Lebensmitteldaten!$C:$C, Lebensmitteldaten!$A:$A, "")</f>
        <v/>
      </c>
      <c r="B58" t="str">
        <f>_xlfn.XLOOKUP($A31, Lebensmitteldaten!$C:$C, Lebensmitteldaten!$B:$B, "")</f>
        <v/>
      </c>
      <c r="C58">
        <f t="shared" si="1"/>
        <v>0</v>
      </c>
      <c r="D58" s="9">
        <f>IFERROR((_xlfn.XLOOKUP($C58, Lebensmitteldaten!$C:$C, Lebensmitteldaten!D:D) * $B31) / 100, 0)</f>
        <v>0</v>
      </c>
      <c r="E58" s="9">
        <f>IFERROR((_xlfn.XLOOKUP($C58, Lebensmitteldaten!$C:$C, Lebensmitteldaten!E:E) * $B31) / 100, 0)</f>
        <v>0</v>
      </c>
      <c r="F58" s="9">
        <f>IFERROR((_xlfn.XLOOKUP($C58, Lebensmitteldaten!$C:$C, Lebensmitteldaten!F:F) * $B31) / 100, 0)</f>
        <v>0</v>
      </c>
      <c r="G58" s="9">
        <f>IFERROR((_xlfn.XLOOKUP($C58, Lebensmitteldaten!$C:$C, Lebensmitteldaten!G:G) * $B31) / 100, 0)</f>
        <v>0</v>
      </c>
      <c r="H58" s="9">
        <f>IFERROR((_xlfn.XLOOKUP($C58, Lebensmitteldaten!$C:$C, Lebensmitteldaten!H:H) * $B31) / 100, 0)</f>
        <v>0</v>
      </c>
      <c r="I58" s="9">
        <f>IFERROR((_xlfn.XLOOKUP($C58, Lebensmitteldaten!$C:$C, Lebensmitteldaten!I:I) * $B31) / 100, 0)</f>
        <v>0</v>
      </c>
      <c r="J58" s="9">
        <f>IFERROR((_xlfn.XLOOKUP($C58, Lebensmitteldaten!$C:$C, Lebensmitteldaten!J:J) * $B31) / 100, 0)</f>
        <v>0</v>
      </c>
      <c r="K58" s="9">
        <f>IFERROR((_xlfn.XLOOKUP($C58, Lebensmitteldaten!$C:$C, Lebensmitteldaten!K:K) * $B31) / 100, 0)</f>
        <v>0</v>
      </c>
      <c r="L58" s="9">
        <f>IFERROR((_xlfn.XLOOKUP($C58, Lebensmitteldaten!$C:$C, Lebensmitteldaten!L:L) * $B31) / 100, 0)</f>
        <v>0</v>
      </c>
      <c r="M58" s="9">
        <f>IFERROR((_xlfn.XLOOKUP($C58, Lebensmitteldaten!$C:$C, Lebensmitteldaten!M:M) * $B31) / 100, 0)</f>
        <v>0</v>
      </c>
      <c r="N58" s="9">
        <f>IFERROR((_xlfn.XLOOKUP($C58, Lebensmitteldaten!$C:$C, Lebensmitteldaten!N:N) * $B31) / 100, 0)</f>
        <v>0</v>
      </c>
      <c r="O58" s="9">
        <f>IFERROR((_xlfn.XLOOKUP($C58, Lebensmitteldaten!$C:$C, Lebensmitteldaten!O:O) * $B31) / 100, 0)</f>
        <v>0</v>
      </c>
      <c r="P58" s="9">
        <f>IFERROR((_xlfn.XLOOKUP($C58, Lebensmitteldaten!$C:$C, Lebensmitteldaten!P:P) * $B31) / 100, 0)</f>
        <v>0</v>
      </c>
      <c r="Q58" s="9">
        <f>IFERROR((_xlfn.XLOOKUP($C58, Lebensmitteldaten!$C:$C, Lebensmitteldaten!Q:Q) * $B31) / 100, 0)</f>
        <v>0</v>
      </c>
      <c r="R58" s="9">
        <f>IFERROR((_xlfn.XLOOKUP($C58, Lebensmitteldaten!$C:$C, Lebensmitteldaten!R:R) * $B31) / 100, 0)</f>
        <v>0</v>
      </c>
      <c r="S58" s="9">
        <f>IFERROR((_xlfn.XLOOKUP($C58, Lebensmitteldaten!$C:$C, Lebensmitteldaten!S:S) * $B31) / 100, 0)</f>
        <v>0</v>
      </c>
      <c r="T58" s="9">
        <f>IFERROR((_xlfn.XLOOKUP($C58, Lebensmitteldaten!$C:$C, Lebensmitteldaten!T:T) * $B31) / 100, 0)</f>
        <v>0</v>
      </c>
      <c r="U58" s="9">
        <f>IFERROR((_xlfn.XLOOKUP($C58, Lebensmitteldaten!$C:$C, Lebensmitteldaten!U:U) * $B31) / 100, 0)</f>
        <v>0</v>
      </c>
      <c r="V58" s="9">
        <f>IFERROR((_xlfn.XLOOKUP($C58, Lebensmitteldaten!$C:$C, Lebensmitteldaten!V:V) * $B31) / 100, 0)</f>
        <v>0</v>
      </c>
      <c r="W58" s="9">
        <f>IFERROR((_xlfn.XLOOKUP($C58, Lebensmitteldaten!$C:$C, Lebensmitteldaten!W:W) * $B31) / 100 / 1000, 0)</f>
        <v>0</v>
      </c>
      <c r="X58" s="9">
        <f>IFERROR((_xlfn.XLOOKUP($C58, Lebensmitteldaten!$C:$C, Lebensmitteldaten!X:X) * $B31) / 100 / 1000, 0)</f>
        <v>0</v>
      </c>
      <c r="Y58" s="9">
        <f>IFERROR((_xlfn.XLOOKUP($C58, Lebensmitteldaten!$C:$C, Lebensmitteldaten!Y:Y) * $B31) / 100, 0)</f>
        <v>0</v>
      </c>
      <c r="Z58" s="9">
        <f>IFERROR((_xlfn.XLOOKUP($C58, Lebensmitteldaten!$C:$C, Lebensmitteldaten!Z:Z) * $B31) / 100, 0)</f>
        <v>0</v>
      </c>
      <c r="AA58" s="9">
        <f>IFERROR((_xlfn.XLOOKUP($C58, Lebensmitteldaten!$C:$C, Lebensmitteldaten!AA:AA) * $B31) / 100, 0)</f>
        <v>0</v>
      </c>
      <c r="AB58" s="9">
        <f>IFERROR((_xlfn.XLOOKUP($C58, Lebensmitteldaten!$C:$C, Lebensmitteldaten!AB:AB) * $B31) / 100, 0)</f>
        <v>0</v>
      </c>
      <c r="AC58" s="9">
        <f>IFERROR((_xlfn.XLOOKUP($C58, Lebensmitteldaten!$C:$C, Lebensmitteldaten!AC:AC) * $B31) / 100, 0)</f>
        <v>0</v>
      </c>
      <c r="AD58" s="9">
        <f>IFERROR((_xlfn.XLOOKUP($C58, Lebensmitteldaten!$C:$C, Lebensmitteldaten!AD:AD) * $B31) / 100 * 1000, 0)</f>
        <v>0</v>
      </c>
      <c r="AE58" s="9">
        <f>IFERROR((_xlfn.XLOOKUP($C58, Lebensmitteldaten!$C:$C, Lebensmitteldaten!AE:AE) * $B31) / 100 * 1000, 0)</f>
        <v>0</v>
      </c>
      <c r="AF58" s="9">
        <f>IFERROR((_xlfn.XLOOKUP($C58, Lebensmitteldaten!$C:$C, Lebensmitteldaten!AF:AF) * $B31) / 100 * 1000, 0)</f>
        <v>0</v>
      </c>
      <c r="AG58" s="9">
        <f>IFERROR((_xlfn.XLOOKUP($C58, Lebensmitteldaten!$C:$C, Lebensmitteldaten!AG:AG) * $B31) / 100, 0)</f>
        <v>0</v>
      </c>
      <c r="AH58" s="9">
        <f>IFERROR((_xlfn.XLOOKUP($C58, Lebensmitteldaten!$C:$C, Lebensmitteldaten!AH:AH) * $B31) / 100, 0)</f>
        <v>0</v>
      </c>
      <c r="AI58" s="9">
        <f>IFERROR((_xlfn.XLOOKUP($C58, Lebensmitteldaten!$C:$C, Lebensmitteldaten!AI:AI) * $B31) / 100, 0)</f>
        <v>0</v>
      </c>
      <c r="AJ58" s="9">
        <f>IFERROR((_xlfn.XLOOKUP($C58, Lebensmitteldaten!$C:$C, Lebensmitteldaten!AJ:AJ) * $B31) / 100, 0)</f>
        <v>0</v>
      </c>
      <c r="AK58" s="9">
        <f>IFERROR((_xlfn.XLOOKUP($C58, Lebensmitteldaten!$C:$C, Lebensmitteldaten!AK:AK) * $B31) / 100, 0)</f>
        <v>0</v>
      </c>
      <c r="AL58" s="9">
        <f>IFERROR((_xlfn.XLOOKUP($C58, Lebensmitteldaten!$C:$C, Lebensmitteldaten!AL:AL) * $B31) / 100, 0)</f>
        <v>0</v>
      </c>
      <c r="AM58" s="9">
        <f>IFERROR((_xlfn.XLOOKUP($C58, Lebensmitteldaten!$C:$C, Lebensmitteldaten!AM:AM) * $B31) / 100, 0)</f>
        <v>0</v>
      </c>
      <c r="AN58" s="9">
        <f>IFERROR((_xlfn.XLOOKUP($C58, Lebensmitteldaten!$C:$C, Lebensmitteldaten!AN:AN) * $B31) / 100 * 1000, 0)</f>
        <v>0</v>
      </c>
      <c r="AO58" s="9">
        <f>IFERROR((_xlfn.XLOOKUP($C58, Lebensmitteldaten!$C:$C, Lebensmitteldaten!AO:AO) * $B31) / 100 * 1000, 0)</f>
        <v>0</v>
      </c>
      <c r="AP58" s="9">
        <f>IFERROR((_xlfn.XLOOKUP($C58, Lebensmitteldaten!$C:$C, Lebensmitteldaten!AP:AP) * $B31) / 100 * 1000, 0)</f>
        <v>0</v>
      </c>
      <c r="AQ58" s="9">
        <f>IFERROR((_xlfn.XLOOKUP($C58, Lebensmitteldaten!$C:$C, Lebensmitteldaten!AQ:AQ) * $B31) / 100 * 1000, 0)</f>
        <v>0</v>
      </c>
      <c r="AR58" s="9">
        <f>IFERROR((_xlfn.XLOOKUP($C58, Lebensmitteldaten!$C:$C, Lebensmitteldaten!AR:AR) * $B31) / 100 * 1000, 0)</f>
        <v>0</v>
      </c>
      <c r="AS58" s="9">
        <f>IFERROR((_xlfn.XLOOKUP($C58, Lebensmitteldaten!$C:$C, Lebensmitteldaten!AS:AS) * $B31) / 100 * 1000, 0)</f>
        <v>0</v>
      </c>
      <c r="AT58" s="9">
        <f>IFERROR((_xlfn.XLOOKUP($C58, Lebensmitteldaten!$C:$C, Lebensmitteldaten!AT:AT) * $B31) / 100 * 1000, 0)</f>
        <v>0</v>
      </c>
      <c r="AU58" s="9">
        <f>IFERROR((_xlfn.XLOOKUP($C58, Lebensmitteldaten!$C:$C, Lebensmitteldaten!AU:AU) * $B31) / 100 * 1000, 0)</f>
        <v>0</v>
      </c>
      <c r="AV58" s="9">
        <f>IFERROR((_xlfn.XLOOKUP($C58, Lebensmitteldaten!$C:$C, Lebensmitteldaten!AV:AV) * $B31) / 100 * 1000, 0)</f>
        <v>0</v>
      </c>
      <c r="AW58" s="9">
        <f>IFERROR((_xlfn.XLOOKUP($C58, Lebensmitteldaten!$C:$C, Lebensmitteldaten!AW:AW) * $B31) / 100 * 1000, 0)</f>
        <v>0</v>
      </c>
      <c r="AX58" s="9">
        <f>IFERROR((_xlfn.XLOOKUP($C58, Lebensmitteldaten!$C:$C, Lebensmitteldaten!AX:AX) * $B31) / 100, 0)</f>
        <v>0</v>
      </c>
      <c r="AY58" s="9">
        <f>IFERROR((_xlfn.XLOOKUP($C58, Lebensmitteldaten!$C:$C, Lebensmitteldaten!AY:AY) * $B31) / 100, 0)</f>
        <v>0</v>
      </c>
      <c r="AZ58" s="9">
        <f>IFERROR((_xlfn.XLOOKUP($C58, Lebensmitteldaten!$C:$C, Lebensmitteldaten!AZ:AZ) * $B31) / 100, 0)</f>
        <v>0</v>
      </c>
    </row>
    <row r="59" spans="1:52" x14ac:dyDescent="0.45">
      <c r="A59" t="str">
        <f>_xlfn.XLOOKUP($A32, Lebensmitteldaten!$C:$C, Lebensmitteldaten!$A:$A, "")</f>
        <v/>
      </c>
      <c r="B59" t="str">
        <f>_xlfn.XLOOKUP($A32, Lebensmitteldaten!$C:$C, Lebensmitteldaten!$B:$B, "")</f>
        <v/>
      </c>
      <c r="C59">
        <f t="shared" si="1"/>
        <v>0</v>
      </c>
      <c r="D59" s="9">
        <f>IFERROR((_xlfn.XLOOKUP($C59, Lebensmitteldaten!$C:$C, Lebensmitteldaten!D:D) * $B32) / 100, 0)</f>
        <v>0</v>
      </c>
      <c r="E59" s="9">
        <f>IFERROR((_xlfn.XLOOKUP($C59, Lebensmitteldaten!$C:$C, Lebensmitteldaten!E:E) * $B32) / 100, 0)</f>
        <v>0</v>
      </c>
      <c r="F59" s="9">
        <f>IFERROR((_xlfn.XLOOKUP($C59, Lebensmitteldaten!$C:$C, Lebensmitteldaten!F:F) * $B32) / 100, 0)</f>
        <v>0</v>
      </c>
      <c r="G59" s="9">
        <f>IFERROR((_xlfn.XLOOKUP($C59, Lebensmitteldaten!$C:$C, Lebensmitteldaten!G:G) * $B32) / 100, 0)</f>
        <v>0</v>
      </c>
      <c r="H59" s="9">
        <f>IFERROR((_xlfn.XLOOKUP($C59, Lebensmitteldaten!$C:$C, Lebensmitteldaten!H:H) * $B32) / 100, 0)</f>
        <v>0</v>
      </c>
      <c r="I59" s="9">
        <f>IFERROR((_xlfn.XLOOKUP($C59, Lebensmitteldaten!$C:$C, Lebensmitteldaten!I:I) * $B32) / 100, 0)</f>
        <v>0</v>
      </c>
      <c r="J59" s="9">
        <f>IFERROR((_xlfn.XLOOKUP($C59, Lebensmitteldaten!$C:$C, Lebensmitteldaten!J:J) * $B32) / 100, 0)</f>
        <v>0</v>
      </c>
      <c r="K59" s="9">
        <f>IFERROR((_xlfn.XLOOKUP($C59, Lebensmitteldaten!$C:$C, Lebensmitteldaten!K:K) * $B32) / 100, 0)</f>
        <v>0</v>
      </c>
      <c r="L59" s="9">
        <f>IFERROR((_xlfn.XLOOKUP($C59, Lebensmitteldaten!$C:$C, Lebensmitteldaten!L:L) * $B32) / 100, 0)</f>
        <v>0</v>
      </c>
      <c r="M59" s="9">
        <f>IFERROR((_xlfn.XLOOKUP($C59, Lebensmitteldaten!$C:$C, Lebensmitteldaten!M:M) * $B32) / 100, 0)</f>
        <v>0</v>
      </c>
      <c r="N59" s="9">
        <f>IFERROR((_xlfn.XLOOKUP($C59, Lebensmitteldaten!$C:$C, Lebensmitteldaten!N:N) * $B32) / 100, 0)</f>
        <v>0</v>
      </c>
      <c r="O59" s="9">
        <f>IFERROR((_xlfn.XLOOKUP($C59, Lebensmitteldaten!$C:$C, Lebensmitteldaten!O:O) * $B32) / 100, 0)</f>
        <v>0</v>
      </c>
      <c r="P59" s="9">
        <f>IFERROR((_xlfn.XLOOKUP($C59, Lebensmitteldaten!$C:$C, Lebensmitteldaten!P:P) * $B32) / 100, 0)</f>
        <v>0</v>
      </c>
      <c r="Q59" s="9">
        <f>IFERROR((_xlfn.XLOOKUP($C59, Lebensmitteldaten!$C:$C, Lebensmitteldaten!Q:Q) * $B32) / 100, 0)</f>
        <v>0</v>
      </c>
      <c r="R59" s="9">
        <f>IFERROR((_xlfn.XLOOKUP($C59, Lebensmitteldaten!$C:$C, Lebensmitteldaten!R:R) * $B32) / 100, 0)</f>
        <v>0</v>
      </c>
      <c r="S59" s="9">
        <f>IFERROR((_xlfn.XLOOKUP($C59, Lebensmitteldaten!$C:$C, Lebensmitteldaten!S:S) * $B32) / 100, 0)</f>
        <v>0</v>
      </c>
      <c r="T59" s="9">
        <f>IFERROR((_xlfn.XLOOKUP($C59, Lebensmitteldaten!$C:$C, Lebensmitteldaten!T:T) * $B32) / 100, 0)</f>
        <v>0</v>
      </c>
      <c r="U59" s="9">
        <f>IFERROR((_xlfn.XLOOKUP($C59, Lebensmitteldaten!$C:$C, Lebensmitteldaten!U:U) * $B32) / 100, 0)</f>
        <v>0</v>
      </c>
      <c r="V59" s="9">
        <f>IFERROR((_xlfn.XLOOKUP($C59, Lebensmitteldaten!$C:$C, Lebensmitteldaten!V:V) * $B32) / 100, 0)</f>
        <v>0</v>
      </c>
      <c r="W59" s="9">
        <f>IFERROR((_xlfn.XLOOKUP($C59, Lebensmitteldaten!$C:$C, Lebensmitteldaten!W:W) * $B32) / 100 / 1000, 0)</f>
        <v>0</v>
      </c>
      <c r="X59" s="9">
        <f>IFERROR((_xlfn.XLOOKUP($C59, Lebensmitteldaten!$C:$C, Lebensmitteldaten!X:X) * $B32) / 100 / 1000, 0)</f>
        <v>0</v>
      </c>
      <c r="Y59" s="9">
        <f>IFERROR((_xlfn.XLOOKUP($C59, Lebensmitteldaten!$C:$C, Lebensmitteldaten!Y:Y) * $B32) / 100, 0)</f>
        <v>0</v>
      </c>
      <c r="Z59" s="9">
        <f>IFERROR((_xlfn.XLOOKUP($C59, Lebensmitteldaten!$C:$C, Lebensmitteldaten!Z:Z) * $B32) / 100, 0)</f>
        <v>0</v>
      </c>
      <c r="AA59" s="9">
        <f>IFERROR((_xlfn.XLOOKUP($C59, Lebensmitteldaten!$C:$C, Lebensmitteldaten!AA:AA) * $B32) / 100, 0)</f>
        <v>0</v>
      </c>
      <c r="AB59" s="9">
        <f>IFERROR((_xlfn.XLOOKUP($C59, Lebensmitteldaten!$C:$C, Lebensmitteldaten!AB:AB) * $B32) / 100, 0)</f>
        <v>0</v>
      </c>
      <c r="AC59" s="9">
        <f>IFERROR((_xlfn.XLOOKUP($C59, Lebensmitteldaten!$C:$C, Lebensmitteldaten!AC:AC) * $B32) / 100, 0)</f>
        <v>0</v>
      </c>
      <c r="AD59" s="9">
        <f>IFERROR((_xlfn.XLOOKUP($C59, Lebensmitteldaten!$C:$C, Lebensmitteldaten!AD:AD) * $B32) / 100 * 1000, 0)</f>
        <v>0</v>
      </c>
      <c r="AE59" s="9">
        <f>IFERROR((_xlfn.XLOOKUP($C59, Lebensmitteldaten!$C:$C, Lebensmitteldaten!AE:AE) * $B32) / 100 * 1000, 0)</f>
        <v>0</v>
      </c>
      <c r="AF59" s="9">
        <f>IFERROR((_xlfn.XLOOKUP($C59, Lebensmitteldaten!$C:$C, Lebensmitteldaten!AF:AF) * $B32) / 100 * 1000, 0)</f>
        <v>0</v>
      </c>
      <c r="AG59" s="9">
        <f>IFERROR((_xlfn.XLOOKUP($C59, Lebensmitteldaten!$C:$C, Lebensmitteldaten!AG:AG) * $B32) / 100, 0)</f>
        <v>0</v>
      </c>
      <c r="AH59" s="9">
        <f>IFERROR((_xlfn.XLOOKUP($C59, Lebensmitteldaten!$C:$C, Lebensmitteldaten!AH:AH) * $B32) / 100, 0)</f>
        <v>0</v>
      </c>
      <c r="AI59" s="9">
        <f>IFERROR((_xlfn.XLOOKUP($C59, Lebensmitteldaten!$C:$C, Lebensmitteldaten!AI:AI) * $B32) / 100, 0)</f>
        <v>0</v>
      </c>
      <c r="AJ59" s="9">
        <f>IFERROR((_xlfn.XLOOKUP($C59, Lebensmitteldaten!$C:$C, Lebensmitteldaten!AJ:AJ) * $B32) / 100, 0)</f>
        <v>0</v>
      </c>
      <c r="AK59" s="9">
        <f>IFERROR((_xlfn.XLOOKUP($C59, Lebensmitteldaten!$C:$C, Lebensmitteldaten!AK:AK) * $B32) / 100, 0)</f>
        <v>0</v>
      </c>
      <c r="AL59" s="9">
        <f>IFERROR((_xlfn.XLOOKUP($C59, Lebensmitteldaten!$C:$C, Lebensmitteldaten!AL:AL) * $B32) / 100, 0)</f>
        <v>0</v>
      </c>
      <c r="AM59" s="9">
        <f>IFERROR((_xlfn.XLOOKUP($C59, Lebensmitteldaten!$C:$C, Lebensmitteldaten!AM:AM) * $B32) / 100, 0)</f>
        <v>0</v>
      </c>
      <c r="AN59" s="9">
        <f>IFERROR((_xlfn.XLOOKUP($C59, Lebensmitteldaten!$C:$C, Lebensmitteldaten!AN:AN) * $B32) / 100 * 1000, 0)</f>
        <v>0</v>
      </c>
      <c r="AO59" s="9">
        <f>IFERROR((_xlfn.XLOOKUP($C59, Lebensmitteldaten!$C:$C, Lebensmitteldaten!AO:AO) * $B32) / 100 * 1000, 0)</f>
        <v>0</v>
      </c>
      <c r="AP59" s="9">
        <f>IFERROR((_xlfn.XLOOKUP($C59, Lebensmitteldaten!$C:$C, Lebensmitteldaten!AP:AP) * $B32) / 100 * 1000, 0)</f>
        <v>0</v>
      </c>
      <c r="AQ59" s="9">
        <f>IFERROR((_xlfn.XLOOKUP($C59, Lebensmitteldaten!$C:$C, Lebensmitteldaten!AQ:AQ) * $B32) / 100 * 1000, 0)</f>
        <v>0</v>
      </c>
      <c r="AR59" s="9">
        <f>IFERROR((_xlfn.XLOOKUP($C59, Lebensmitteldaten!$C:$C, Lebensmitteldaten!AR:AR) * $B32) / 100 * 1000, 0)</f>
        <v>0</v>
      </c>
      <c r="AS59" s="9">
        <f>IFERROR((_xlfn.XLOOKUP($C59, Lebensmitteldaten!$C:$C, Lebensmitteldaten!AS:AS) * $B32) / 100 * 1000, 0)</f>
        <v>0</v>
      </c>
      <c r="AT59" s="9">
        <f>IFERROR((_xlfn.XLOOKUP($C59, Lebensmitteldaten!$C:$C, Lebensmitteldaten!AT:AT) * $B32) / 100 * 1000, 0)</f>
        <v>0</v>
      </c>
      <c r="AU59" s="9">
        <f>IFERROR((_xlfn.XLOOKUP($C59, Lebensmitteldaten!$C:$C, Lebensmitteldaten!AU:AU) * $B32) / 100 * 1000, 0)</f>
        <v>0</v>
      </c>
      <c r="AV59" s="9">
        <f>IFERROR((_xlfn.XLOOKUP($C59, Lebensmitteldaten!$C:$C, Lebensmitteldaten!AV:AV) * $B32) / 100 * 1000, 0)</f>
        <v>0</v>
      </c>
      <c r="AW59" s="9">
        <f>IFERROR((_xlfn.XLOOKUP($C59, Lebensmitteldaten!$C:$C, Lebensmitteldaten!AW:AW) * $B32) / 100 * 1000, 0)</f>
        <v>0</v>
      </c>
      <c r="AX59" s="9">
        <f>IFERROR((_xlfn.XLOOKUP($C59, Lebensmitteldaten!$C:$C, Lebensmitteldaten!AX:AX) * $B32) / 100, 0)</f>
        <v>0</v>
      </c>
      <c r="AY59" s="9">
        <f>IFERROR((_xlfn.XLOOKUP($C59, Lebensmitteldaten!$C:$C, Lebensmitteldaten!AY:AY) * $B32) / 100, 0)</f>
        <v>0</v>
      </c>
      <c r="AZ59" s="9">
        <f>IFERROR((_xlfn.XLOOKUP($C59, Lebensmitteldaten!$C:$C, Lebensmitteldaten!AZ:AZ) * $B32) / 100, 0)</f>
        <v>0</v>
      </c>
    </row>
    <row r="60" spans="1:52" x14ac:dyDescent="0.45">
      <c r="A60" t="str">
        <f>_xlfn.XLOOKUP($A33, Lebensmitteldaten!$C:$C, Lebensmitteldaten!$A:$A, "")</f>
        <v/>
      </c>
      <c r="B60" t="str">
        <f>_xlfn.XLOOKUP($A33, Lebensmitteldaten!$C:$C, Lebensmitteldaten!$B:$B, "")</f>
        <v/>
      </c>
      <c r="C60">
        <f t="shared" si="1"/>
        <v>0</v>
      </c>
      <c r="D60" s="9">
        <f>IFERROR((_xlfn.XLOOKUP($C60, Lebensmitteldaten!$C:$C, Lebensmitteldaten!D:D) * $B33) / 100, 0)</f>
        <v>0</v>
      </c>
      <c r="E60" s="9">
        <f>IFERROR((_xlfn.XLOOKUP($C60, Lebensmitteldaten!$C:$C, Lebensmitteldaten!E:E) * $B33) / 100, 0)</f>
        <v>0</v>
      </c>
      <c r="F60" s="9">
        <f>IFERROR((_xlfn.XLOOKUP($C60, Lebensmitteldaten!$C:$C, Lebensmitteldaten!F:F) * $B33) / 100, 0)</f>
        <v>0</v>
      </c>
      <c r="G60" s="9">
        <f>IFERROR((_xlfn.XLOOKUP($C60, Lebensmitteldaten!$C:$C, Lebensmitteldaten!G:G) * $B33) / 100, 0)</f>
        <v>0</v>
      </c>
      <c r="H60" s="9">
        <f>IFERROR((_xlfn.XLOOKUP($C60, Lebensmitteldaten!$C:$C, Lebensmitteldaten!H:H) * $B33) / 100, 0)</f>
        <v>0</v>
      </c>
      <c r="I60" s="9">
        <f>IFERROR((_xlfn.XLOOKUP($C60, Lebensmitteldaten!$C:$C, Lebensmitteldaten!I:I) * $B33) / 100, 0)</f>
        <v>0</v>
      </c>
      <c r="J60" s="9">
        <f>IFERROR((_xlfn.XLOOKUP($C60, Lebensmitteldaten!$C:$C, Lebensmitteldaten!J:J) * $B33) / 100, 0)</f>
        <v>0</v>
      </c>
      <c r="K60" s="9">
        <f>IFERROR((_xlfn.XLOOKUP($C60, Lebensmitteldaten!$C:$C, Lebensmitteldaten!K:K) * $B33) / 100, 0)</f>
        <v>0</v>
      </c>
      <c r="L60" s="9">
        <f>IFERROR((_xlfn.XLOOKUP($C60, Lebensmitteldaten!$C:$C, Lebensmitteldaten!L:L) * $B33) / 100, 0)</f>
        <v>0</v>
      </c>
      <c r="M60" s="9">
        <f>IFERROR((_xlfn.XLOOKUP($C60, Lebensmitteldaten!$C:$C, Lebensmitteldaten!M:M) * $B33) / 100, 0)</f>
        <v>0</v>
      </c>
      <c r="N60" s="9">
        <f>IFERROR((_xlfn.XLOOKUP($C60, Lebensmitteldaten!$C:$C, Lebensmitteldaten!N:N) * $B33) / 100, 0)</f>
        <v>0</v>
      </c>
      <c r="O60" s="9">
        <f>IFERROR((_xlfn.XLOOKUP($C60, Lebensmitteldaten!$C:$C, Lebensmitteldaten!O:O) * $B33) / 100, 0)</f>
        <v>0</v>
      </c>
      <c r="P60" s="9">
        <f>IFERROR((_xlfn.XLOOKUP($C60, Lebensmitteldaten!$C:$C, Lebensmitteldaten!P:P) * $B33) / 100, 0)</f>
        <v>0</v>
      </c>
      <c r="Q60" s="9">
        <f>IFERROR((_xlfn.XLOOKUP($C60, Lebensmitteldaten!$C:$C, Lebensmitteldaten!Q:Q) * $B33) / 100, 0)</f>
        <v>0</v>
      </c>
      <c r="R60" s="9">
        <f>IFERROR((_xlfn.XLOOKUP($C60, Lebensmitteldaten!$C:$C, Lebensmitteldaten!R:R) * $B33) / 100, 0)</f>
        <v>0</v>
      </c>
      <c r="S60" s="9">
        <f>IFERROR((_xlfn.XLOOKUP($C60, Lebensmitteldaten!$C:$C, Lebensmitteldaten!S:S) * $B33) / 100, 0)</f>
        <v>0</v>
      </c>
      <c r="T60" s="9">
        <f>IFERROR((_xlfn.XLOOKUP($C60, Lebensmitteldaten!$C:$C, Lebensmitteldaten!T:T) * $B33) / 100, 0)</f>
        <v>0</v>
      </c>
      <c r="U60" s="9">
        <f>IFERROR((_xlfn.XLOOKUP($C60, Lebensmitteldaten!$C:$C, Lebensmitteldaten!U:U) * $B33) / 100, 0)</f>
        <v>0</v>
      </c>
      <c r="V60" s="9">
        <f>IFERROR((_xlfn.XLOOKUP($C60, Lebensmitteldaten!$C:$C, Lebensmitteldaten!V:V) * $B33) / 100, 0)</f>
        <v>0</v>
      </c>
      <c r="W60" s="9">
        <f>IFERROR((_xlfn.XLOOKUP($C60, Lebensmitteldaten!$C:$C, Lebensmitteldaten!W:W) * $B33) / 100 / 1000, 0)</f>
        <v>0</v>
      </c>
      <c r="X60" s="9">
        <f>IFERROR((_xlfn.XLOOKUP($C60, Lebensmitteldaten!$C:$C, Lebensmitteldaten!X:X) * $B33) / 100 / 1000, 0)</f>
        <v>0</v>
      </c>
      <c r="Y60" s="9">
        <f>IFERROR((_xlfn.XLOOKUP($C60, Lebensmitteldaten!$C:$C, Lebensmitteldaten!Y:Y) * $B33) / 100, 0)</f>
        <v>0</v>
      </c>
      <c r="Z60" s="9">
        <f>IFERROR((_xlfn.XLOOKUP($C60, Lebensmitteldaten!$C:$C, Lebensmitteldaten!Z:Z) * $B33) / 100, 0)</f>
        <v>0</v>
      </c>
      <c r="AA60" s="9">
        <f>IFERROR((_xlfn.XLOOKUP($C60, Lebensmitteldaten!$C:$C, Lebensmitteldaten!AA:AA) * $B33) / 100, 0)</f>
        <v>0</v>
      </c>
      <c r="AB60" s="9">
        <f>IFERROR((_xlfn.XLOOKUP($C60, Lebensmitteldaten!$C:$C, Lebensmitteldaten!AB:AB) * $B33) / 100, 0)</f>
        <v>0</v>
      </c>
      <c r="AC60" s="9">
        <f>IFERROR((_xlfn.XLOOKUP($C60, Lebensmitteldaten!$C:$C, Lebensmitteldaten!AC:AC) * $B33) / 100, 0)</f>
        <v>0</v>
      </c>
      <c r="AD60" s="9">
        <f>IFERROR((_xlfn.XLOOKUP($C60, Lebensmitteldaten!$C:$C, Lebensmitteldaten!AD:AD) * $B33) / 100 * 1000, 0)</f>
        <v>0</v>
      </c>
      <c r="AE60" s="9">
        <f>IFERROR((_xlfn.XLOOKUP($C60, Lebensmitteldaten!$C:$C, Lebensmitteldaten!AE:AE) * $B33) / 100 * 1000, 0)</f>
        <v>0</v>
      </c>
      <c r="AF60" s="9">
        <f>IFERROR((_xlfn.XLOOKUP($C60, Lebensmitteldaten!$C:$C, Lebensmitteldaten!AF:AF) * $B33) / 100 * 1000, 0)</f>
        <v>0</v>
      </c>
      <c r="AG60" s="9">
        <f>IFERROR((_xlfn.XLOOKUP($C60, Lebensmitteldaten!$C:$C, Lebensmitteldaten!AG:AG) * $B33) / 100, 0)</f>
        <v>0</v>
      </c>
      <c r="AH60" s="9">
        <f>IFERROR((_xlfn.XLOOKUP($C60, Lebensmitteldaten!$C:$C, Lebensmitteldaten!AH:AH) * $B33) / 100, 0)</f>
        <v>0</v>
      </c>
      <c r="AI60" s="9">
        <f>IFERROR((_xlfn.XLOOKUP($C60, Lebensmitteldaten!$C:$C, Lebensmitteldaten!AI:AI) * $B33) / 100, 0)</f>
        <v>0</v>
      </c>
      <c r="AJ60" s="9">
        <f>IFERROR((_xlfn.XLOOKUP($C60, Lebensmitteldaten!$C:$C, Lebensmitteldaten!AJ:AJ) * $B33) / 100, 0)</f>
        <v>0</v>
      </c>
      <c r="AK60" s="9">
        <f>IFERROR((_xlfn.XLOOKUP($C60, Lebensmitteldaten!$C:$C, Lebensmitteldaten!AK:AK) * $B33) / 100, 0)</f>
        <v>0</v>
      </c>
      <c r="AL60" s="9">
        <f>IFERROR((_xlfn.XLOOKUP($C60, Lebensmitteldaten!$C:$C, Lebensmitteldaten!AL:AL) * $B33) / 100, 0)</f>
        <v>0</v>
      </c>
      <c r="AM60" s="9">
        <f>IFERROR((_xlfn.XLOOKUP($C60, Lebensmitteldaten!$C:$C, Lebensmitteldaten!AM:AM) * $B33) / 100, 0)</f>
        <v>0</v>
      </c>
      <c r="AN60" s="9">
        <f>IFERROR((_xlfn.XLOOKUP($C60, Lebensmitteldaten!$C:$C, Lebensmitteldaten!AN:AN) * $B33) / 100 * 1000, 0)</f>
        <v>0</v>
      </c>
      <c r="AO60" s="9">
        <f>IFERROR((_xlfn.XLOOKUP($C60, Lebensmitteldaten!$C:$C, Lebensmitteldaten!AO:AO) * $B33) / 100 * 1000, 0)</f>
        <v>0</v>
      </c>
      <c r="AP60" s="9">
        <f>IFERROR((_xlfn.XLOOKUP($C60, Lebensmitteldaten!$C:$C, Lebensmitteldaten!AP:AP) * $B33) / 100 * 1000, 0)</f>
        <v>0</v>
      </c>
      <c r="AQ60" s="9">
        <f>IFERROR((_xlfn.XLOOKUP($C60, Lebensmitteldaten!$C:$C, Lebensmitteldaten!AQ:AQ) * $B33) / 100 * 1000, 0)</f>
        <v>0</v>
      </c>
      <c r="AR60" s="9">
        <f>IFERROR((_xlfn.XLOOKUP($C60, Lebensmitteldaten!$C:$C, Lebensmitteldaten!AR:AR) * $B33) / 100 * 1000, 0)</f>
        <v>0</v>
      </c>
      <c r="AS60" s="9">
        <f>IFERROR((_xlfn.XLOOKUP($C60, Lebensmitteldaten!$C:$C, Lebensmitteldaten!AS:AS) * $B33) / 100 * 1000, 0)</f>
        <v>0</v>
      </c>
      <c r="AT60" s="9">
        <f>IFERROR((_xlfn.XLOOKUP($C60, Lebensmitteldaten!$C:$C, Lebensmitteldaten!AT:AT) * $B33) / 100 * 1000, 0)</f>
        <v>0</v>
      </c>
      <c r="AU60" s="9">
        <f>IFERROR((_xlfn.XLOOKUP($C60, Lebensmitteldaten!$C:$C, Lebensmitteldaten!AU:AU) * $B33) / 100 * 1000, 0)</f>
        <v>0</v>
      </c>
      <c r="AV60" s="9">
        <f>IFERROR((_xlfn.XLOOKUP($C60, Lebensmitteldaten!$C:$C, Lebensmitteldaten!AV:AV) * $B33) / 100 * 1000, 0)</f>
        <v>0</v>
      </c>
      <c r="AW60" s="9">
        <f>IFERROR((_xlfn.XLOOKUP($C60, Lebensmitteldaten!$C:$C, Lebensmitteldaten!AW:AW) * $B33) / 100 * 1000, 0)</f>
        <v>0</v>
      </c>
      <c r="AX60" s="9">
        <f>IFERROR((_xlfn.XLOOKUP($C60, Lebensmitteldaten!$C:$C, Lebensmitteldaten!AX:AX) * $B33) / 100, 0)</f>
        <v>0</v>
      </c>
      <c r="AY60" s="9">
        <f>IFERROR((_xlfn.XLOOKUP($C60, Lebensmitteldaten!$C:$C, Lebensmitteldaten!AY:AY) * $B33) / 100, 0)</f>
        <v>0</v>
      </c>
      <c r="AZ60" s="9">
        <f>IFERROR((_xlfn.XLOOKUP($C60, Lebensmitteldaten!$C:$C, Lebensmitteldaten!AZ:AZ) * $B33) / 100, 0)</f>
        <v>0</v>
      </c>
    </row>
    <row r="61" spans="1:52" x14ac:dyDescent="0.45">
      <c r="A61" s="9"/>
      <c r="B61" t="str">
        <f>_xlfn.XLOOKUP($A34, Lebensmitteldaten!$C:$C, Lebensmitteldaten!$B:$B, "")</f>
        <v/>
      </c>
      <c r="C61">
        <f t="shared" si="1"/>
        <v>0</v>
      </c>
      <c r="D61" s="9">
        <f>IFERROR((_xlfn.XLOOKUP($C61, Lebensmitteldaten!$C:$C, Lebensmitteldaten!D:D) * $B34) / 100, 0)</f>
        <v>0</v>
      </c>
      <c r="E61" s="9">
        <f>IFERROR((_xlfn.XLOOKUP($C61, Lebensmitteldaten!$C:$C, Lebensmitteldaten!E:E) * $B34) / 100, 0)</f>
        <v>0</v>
      </c>
      <c r="F61" s="9">
        <f>IFERROR((_xlfn.XLOOKUP($C61, Lebensmitteldaten!$C:$C, Lebensmitteldaten!F:F) * $B34) / 100, 0)</f>
        <v>0</v>
      </c>
      <c r="G61" s="9">
        <f>IFERROR((_xlfn.XLOOKUP($C61, Lebensmitteldaten!$C:$C, Lebensmitteldaten!G:G) * $B34) / 100, 0)</f>
        <v>0</v>
      </c>
      <c r="H61" s="9">
        <f>IFERROR((_xlfn.XLOOKUP($C61, Lebensmitteldaten!$C:$C, Lebensmitteldaten!H:H) * $B34) / 100, 0)</f>
        <v>0</v>
      </c>
      <c r="I61" s="9">
        <f>IFERROR((_xlfn.XLOOKUP($C61, Lebensmitteldaten!$C:$C, Lebensmitteldaten!I:I) * $B34) / 100, 0)</f>
        <v>0</v>
      </c>
      <c r="J61" s="9">
        <f>IFERROR((_xlfn.XLOOKUP($C61, Lebensmitteldaten!$C:$C, Lebensmitteldaten!J:J) * $B34) / 100, 0)</f>
        <v>0</v>
      </c>
      <c r="K61" s="9">
        <f>IFERROR((_xlfn.XLOOKUP($C61, Lebensmitteldaten!$C:$C, Lebensmitteldaten!K:K) * $B34) / 100, 0)</f>
        <v>0</v>
      </c>
      <c r="L61" s="9">
        <f>IFERROR((_xlfn.XLOOKUP($C61, Lebensmitteldaten!$C:$C, Lebensmitteldaten!L:L) * $B34) / 100, 0)</f>
        <v>0</v>
      </c>
      <c r="M61" s="9">
        <f>IFERROR((_xlfn.XLOOKUP($C61, Lebensmitteldaten!$C:$C, Lebensmitteldaten!M:M) * $B34) / 100, 0)</f>
        <v>0</v>
      </c>
      <c r="N61" s="9">
        <f>IFERROR((_xlfn.XLOOKUP($C61, Lebensmitteldaten!$C:$C, Lebensmitteldaten!N:N) * $B34) / 100, 0)</f>
        <v>0</v>
      </c>
      <c r="O61" s="9">
        <f>IFERROR((_xlfn.XLOOKUP($C61, Lebensmitteldaten!$C:$C, Lebensmitteldaten!O:O) * $B34) / 100, 0)</f>
        <v>0</v>
      </c>
      <c r="P61" s="9">
        <f>IFERROR((_xlfn.XLOOKUP($C61, Lebensmitteldaten!$C:$C, Lebensmitteldaten!P:P) * $B34) / 100, 0)</f>
        <v>0</v>
      </c>
      <c r="Q61" s="9">
        <f>IFERROR((_xlfn.XLOOKUP($C61, Lebensmitteldaten!$C:$C, Lebensmitteldaten!Q:Q) * $B34) / 100, 0)</f>
        <v>0</v>
      </c>
      <c r="R61" s="9">
        <f>IFERROR((_xlfn.XLOOKUP($C61, Lebensmitteldaten!$C:$C, Lebensmitteldaten!R:R) * $B34) / 100, 0)</f>
        <v>0</v>
      </c>
      <c r="S61" s="9">
        <f>IFERROR((_xlfn.XLOOKUP($C61, Lebensmitteldaten!$C:$C, Lebensmitteldaten!S:S) * $B34) / 100, 0)</f>
        <v>0</v>
      </c>
      <c r="T61" s="9">
        <f>IFERROR((_xlfn.XLOOKUP($C61, Lebensmitteldaten!$C:$C, Lebensmitteldaten!T:T) * $B34) / 100, 0)</f>
        <v>0</v>
      </c>
      <c r="U61" s="9">
        <f>IFERROR((_xlfn.XLOOKUP($C61, Lebensmitteldaten!$C:$C, Lebensmitteldaten!U:U) * $B34) / 100, 0)</f>
        <v>0</v>
      </c>
      <c r="V61" s="9">
        <f>IFERROR((_xlfn.XLOOKUP($C61, Lebensmitteldaten!$C:$C, Lebensmitteldaten!V:V) * $B34) / 100, 0)</f>
        <v>0</v>
      </c>
      <c r="W61" s="9">
        <f>IFERROR((_xlfn.XLOOKUP($C61, Lebensmitteldaten!$C:$C, Lebensmitteldaten!W:W) * $B34) / 100 / 1000, 0)</f>
        <v>0</v>
      </c>
      <c r="X61" s="9">
        <f>IFERROR((_xlfn.XLOOKUP($C61, Lebensmitteldaten!$C:$C, Lebensmitteldaten!X:X) * $B34) / 100 / 1000, 0)</f>
        <v>0</v>
      </c>
      <c r="Y61" s="9">
        <f>IFERROR((_xlfn.XLOOKUP($C61, Lebensmitteldaten!$C:$C, Lebensmitteldaten!Y:Y) * $B34) / 100, 0)</f>
        <v>0</v>
      </c>
      <c r="Z61" s="9">
        <f>IFERROR((_xlfn.XLOOKUP($C61, Lebensmitteldaten!$C:$C, Lebensmitteldaten!Z:Z) * $B34) / 100, 0)</f>
        <v>0</v>
      </c>
      <c r="AA61" s="9">
        <f>IFERROR((_xlfn.XLOOKUP($C61, Lebensmitteldaten!$C:$C, Lebensmitteldaten!AA:AA) * $B34) / 100, 0)</f>
        <v>0</v>
      </c>
      <c r="AB61" s="9">
        <f>IFERROR((_xlfn.XLOOKUP($C61, Lebensmitteldaten!$C:$C, Lebensmitteldaten!AB:AB) * $B34) / 100, 0)</f>
        <v>0</v>
      </c>
      <c r="AC61" s="9">
        <f>IFERROR((_xlfn.XLOOKUP($C61, Lebensmitteldaten!$C:$C, Lebensmitteldaten!AC:AC) * $B34) / 100, 0)</f>
        <v>0</v>
      </c>
      <c r="AD61" s="9">
        <f>IFERROR((_xlfn.XLOOKUP($C61, Lebensmitteldaten!$C:$C, Lebensmitteldaten!AD:AD) * $B34) / 100 * 1000, 0)</f>
        <v>0</v>
      </c>
      <c r="AE61" s="9">
        <f>IFERROR((_xlfn.XLOOKUP($C61, Lebensmitteldaten!$C:$C, Lebensmitteldaten!AE:AE) * $B34) / 100 * 1000, 0)</f>
        <v>0</v>
      </c>
      <c r="AF61" s="9">
        <f>IFERROR((_xlfn.XLOOKUP($C61, Lebensmitteldaten!$C:$C, Lebensmitteldaten!AF:AF) * $B34) / 100 * 1000, 0)</f>
        <v>0</v>
      </c>
      <c r="AG61" s="9">
        <f>IFERROR((_xlfn.XLOOKUP($C61, Lebensmitteldaten!$C:$C, Lebensmitteldaten!AG:AG) * $B34) / 100, 0)</f>
        <v>0</v>
      </c>
      <c r="AH61" s="9">
        <f>IFERROR((_xlfn.XLOOKUP($C61, Lebensmitteldaten!$C:$C, Lebensmitteldaten!AH:AH) * $B34) / 100, 0)</f>
        <v>0</v>
      </c>
      <c r="AI61" s="9">
        <f>IFERROR((_xlfn.XLOOKUP($C61, Lebensmitteldaten!$C:$C, Lebensmitteldaten!AI:AI) * $B34) / 100, 0)</f>
        <v>0</v>
      </c>
      <c r="AJ61" s="9">
        <f>IFERROR((_xlfn.XLOOKUP($C61, Lebensmitteldaten!$C:$C, Lebensmitteldaten!AJ:AJ) * $B34) / 100, 0)</f>
        <v>0</v>
      </c>
      <c r="AK61" s="9">
        <f>IFERROR((_xlfn.XLOOKUP($C61, Lebensmitteldaten!$C:$C, Lebensmitteldaten!AK:AK) * $B34) / 100, 0)</f>
        <v>0</v>
      </c>
      <c r="AL61" s="9">
        <f>IFERROR((_xlfn.XLOOKUP($C61, Lebensmitteldaten!$C:$C, Lebensmitteldaten!AL:AL) * $B34) / 100, 0)</f>
        <v>0</v>
      </c>
      <c r="AM61" s="9">
        <f>IFERROR((_xlfn.XLOOKUP($C61, Lebensmitteldaten!$C:$C, Lebensmitteldaten!AM:AM) * $B34) / 100, 0)</f>
        <v>0</v>
      </c>
      <c r="AN61" s="9">
        <f>IFERROR((_xlfn.XLOOKUP($C61, Lebensmitteldaten!$C:$C, Lebensmitteldaten!AN:AN) * $B34) / 100 * 1000, 0)</f>
        <v>0</v>
      </c>
      <c r="AO61" s="9">
        <f>IFERROR((_xlfn.XLOOKUP($C61, Lebensmitteldaten!$C:$C, Lebensmitteldaten!AO:AO) * $B34) / 100 * 1000, 0)</f>
        <v>0</v>
      </c>
      <c r="AP61" s="9">
        <f>IFERROR((_xlfn.XLOOKUP($C61, Lebensmitteldaten!$C:$C, Lebensmitteldaten!AP:AP) * $B34) / 100 * 1000, 0)</f>
        <v>0</v>
      </c>
      <c r="AQ61" s="9">
        <f>IFERROR((_xlfn.XLOOKUP($C61, Lebensmitteldaten!$C:$C, Lebensmitteldaten!AQ:AQ) * $B34) / 100 * 1000, 0)</f>
        <v>0</v>
      </c>
      <c r="AR61" s="9">
        <f>IFERROR((_xlfn.XLOOKUP($C61, Lebensmitteldaten!$C:$C, Lebensmitteldaten!AR:AR) * $B34) / 100 * 1000, 0)</f>
        <v>0</v>
      </c>
      <c r="AS61" s="9">
        <f>IFERROR((_xlfn.XLOOKUP($C61, Lebensmitteldaten!$C:$C, Lebensmitteldaten!AS:AS) * $B34) / 100 * 1000, 0)</f>
        <v>0</v>
      </c>
      <c r="AT61" s="9">
        <f>IFERROR((_xlfn.XLOOKUP($C61, Lebensmitteldaten!$C:$C, Lebensmitteldaten!AT:AT) * $B34) / 100 * 1000, 0)</f>
        <v>0</v>
      </c>
      <c r="AU61" s="9">
        <f>IFERROR((_xlfn.XLOOKUP($C61, Lebensmitteldaten!$C:$C, Lebensmitteldaten!AU:AU) * $B34) / 100 * 1000, 0)</f>
        <v>0</v>
      </c>
      <c r="AV61" s="9">
        <f>IFERROR((_xlfn.XLOOKUP($C61, Lebensmitteldaten!$C:$C, Lebensmitteldaten!AV:AV) * $B34) / 100 * 1000, 0)</f>
        <v>0</v>
      </c>
      <c r="AW61" s="9">
        <f>IFERROR((_xlfn.XLOOKUP($C61, Lebensmitteldaten!$C:$C, Lebensmitteldaten!AW:AW) * $B34) / 100 * 1000, 0)</f>
        <v>0</v>
      </c>
      <c r="AX61" s="9">
        <f>IFERROR((_xlfn.XLOOKUP($C61, Lebensmitteldaten!$C:$C, Lebensmitteldaten!AX:AX) * $B34) / 100, 0)</f>
        <v>0</v>
      </c>
      <c r="AY61" s="9">
        <f>IFERROR((_xlfn.XLOOKUP($C61, Lebensmitteldaten!$C:$C, Lebensmitteldaten!AY:AY) * $B34) / 100, 0)</f>
        <v>0</v>
      </c>
      <c r="AZ61" s="9">
        <f>IFERROR((_xlfn.XLOOKUP($C61, Lebensmitteldaten!$C:$C, Lebensmitteldaten!AZ:AZ) * $B34) / 100, 0)</f>
        <v>0</v>
      </c>
    </row>
    <row r="68" spans="1:2" x14ac:dyDescent="0.45">
      <c r="A68" s="7" t="s">
        <v>1176</v>
      </c>
    </row>
    <row r="69" spans="1:2" x14ac:dyDescent="0.45">
      <c r="A69" t="s">
        <v>1177</v>
      </c>
      <c r="B69" s="9">
        <f>(50*N39+82*P39+43*Q39+26*R39-65*O39)/1000</f>
        <v>99.346204723719993</v>
      </c>
    </row>
    <row r="70" spans="1:2" x14ac:dyDescent="0.45">
      <c r="A70" t="s">
        <v>1178</v>
      </c>
      <c r="B70" s="9">
        <f>((B69-(F39*0.625))/(M39/100)*0.019+6.5)</f>
        <v>6.9885389190949887</v>
      </c>
    </row>
  </sheetData>
  <dataValidations count="1">
    <dataValidation type="list" allowBlank="1" showInputMessage="1" showErrorMessage="1" sqref="B7" xr:uid="{A1B00CAD-275A-47E2-B9E6-F25BBAE39271}">
      <formula1>"Normal,kastriert (- 15 %),kastriert (- 20 %),Übergewicht (- 30 %)"</formula1>
    </dataValidation>
  </dataValidation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2A62BD7-85C3-4160-8F1E-E626B6AF65AF}">
          <x14:formula1>
            <xm:f>Lebensmitteldaten!$C:$C</xm:f>
          </x14:formula1>
          <xm:sqref>A14:A34</xm:sqref>
        </x14:dataValidation>
        <x14:dataValidation type="list" allowBlank="1" showInputMessage="1" showErrorMessage="1" xr:uid="{C3289110-67FE-4037-A859-A80E4F9281C9}">
          <x14:formula1>
            <xm:f>Hintergrunddaten!$F$4:$F$8</xm:f>
          </x14:formula1>
          <xm:sqref>B6</xm:sqref>
        </x14:dataValidation>
        <x14:dataValidation type="list" allowBlank="1" showInputMessage="1" showErrorMessage="1" xr:uid="{71B021BC-FCD0-432F-A50F-5F3845F76EDD}">
          <x14:formula1>
            <xm:f>Hintergrunddaten!$I$4:$I$7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0A966-6B3B-439E-B657-B44EC017DAA7}">
  <dimension ref="A1:AY18"/>
  <sheetViews>
    <sheetView zoomScaleNormal="100" workbookViewId="0">
      <selection activeCell="A21" sqref="A21"/>
    </sheetView>
  </sheetViews>
  <sheetFormatPr baseColWidth="10" defaultRowHeight="14.25" x14ac:dyDescent="0.45"/>
  <cols>
    <col min="1" max="1" width="16.9296875" bestFit="1" customWidth="1"/>
    <col min="2" max="2" width="11.796875" bestFit="1" customWidth="1"/>
    <col min="3" max="3" width="16.19921875" bestFit="1" customWidth="1"/>
    <col min="4" max="4" width="14.86328125" bestFit="1" customWidth="1"/>
    <col min="5" max="5" width="16.59765625" bestFit="1" customWidth="1"/>
    <col min="6" max="6" width="6.19921875" bestFit="1" customWidth="1"/>
    <col min="7" max="7" width="13.59765625" bestFit="1" customWidth="1"/>
    <col min="8" max="8" width="10.86328125" bestFit="1" customWidth="1"/>
    <col min="9" max="9" width="14.86328125" bestFit="1" customWidth="1"/>
    <col min="10" max="10" width="15.53125" bestFit="1" customWidth="1"/>
    <col min="11" max="11" width="13.59765625" bestFit="1" customWidth="1"/>
    <col min="12" max="12" width="13.59765625" customWidth="1"/>
    <col min="13" max="13" width="15.86328125" bestFit="1" customWidth="1"/>
    <col min="14" max="14" width="16.86328125" bestFit="1" customWidth="1"/>
    <col min="15" max="15" width="18.33203125" bestFit="1" customWidth="1"/>
    <col min="16" max="16" width="15.6640625" bestFit="1" customWidth="1"/>
    <col min="17" max="17" width="14.73046875" bestFit="1" customWidth="1"/>
    <col min="18" max="18" width="15.06640625" bestFit="1" customWidth="1"/>
    <col min="19" max="19" width="13.53125" bestFit="1" customWidth="1"/>
    <col min="20" max="20" width="12.53125" bestFit="1" customWidth="1"/>
    <col min="21" max="21" width="13.265625" bestFit="1" customWidth="1"/>
    <col min="22" max="22" width="14" bestFit="1" customWidth="1"/>
    <col min="23" max="23" width="14.796875" bestFit="1" customWidth="1"/>
    <col min="24" max="24" width="11.33203125" bestFit="1" customWidth="1"/>
    <col min="25" max="25" width="16.73046875" bestFit="1" customWidth="1"/>
    <col min="26" max="26" width="17.33203125" bestFit="1" customWidth="1"/>
    <col min="27" max="27" width="16.6640625" bestFit="1" customWidth="1"/>
    <col min="28" max="28" width="16.19921875" bestFit="1" customWidth="1"/>
    <col min="29" max="30" width="17.73046875" bestFit="1" customWidth="1"/>
    <col min="31" max="31" width="20.06640625" bestFit="1" customWidth="1"/>
    <col min="32" max="32" width="17.19921875" bestFit="1" customWidth="1"/>
    <col min="33" max="33" width="18.19921875" bestFit="1" customWidth="1"/>
    <col min="34" max="34" width="16.86328125" bestFit="1" customWidth="1"/>
    <col min="35" max="35" width="16.19921875" bestFit="1" customWidth="1"/>
    <col min="36" max="36" width="15.59765625" bestFit="1" customWidth="1"/>
    <col min="37" max="37" width="13.265625" bestFit="1" customWidth="1"/>
    <col min="38" max="38" width="13.86328125" bestFit="1" customWidth="1"/>
    <col min="39" max="39" width="21.6640625" bestFit="1" customWidth="1"/>
    <col min="40" max="40" width="10.796875" bestFit="1" customWidth="1"/>
    <col min="41" max="41" width="11.19921875" bestFit="1" customWidth="1"/>
    <col min="42" max="42" width="21.6640625" bestFit="1" customWidth="1"/>
    <col min="43" max="43" width="16.06640625" bestFit="1" customWidth="1"/>
    <col min="44" max="44" width="13.19921875" bestFit="1" customWidth="1"/>
    <col min="45" max="45" width="13.6640625" bestFit="1" customWidth="1"/>
    <col min="46" max="46" width="13.796875" bestFit="1" customWidth="1"/>
    <col min="47" max="47" width="11.73046875" bestFit="1" customWidth="1"/>
    <col min="48" max="48" width="15.59765625" bestFit="1" customWidth="1"/>
    <col min="49" max="49" width="11.265625" bestFit="1" customWidth="1"/>
    <col min="50" max="50" width="10.06640625" bestFit="1" customWidth="1"/>
    <col min="51" max="51" width="10" bestFit="1" customWidth="1"/>
  </cols>
  <sheetData>
    <row r="1" spans="1:51" x14ac:dyDescent="0.45">
      <c r="A1" t="s">
        <v>1152</v>
      </c>
      <c r="B1" t="str">
        <f>Dashboard!B1</f>
        <v>Cara</v>
      </c>
    </row>
    <row r="2" spans="1:51" x14ac:dyDescent="0.45">
      <c r="A2" t="s">
        <v>1153</v>
      </c>
      <c r="B2">
        <f>Dashboard!B2</f>
        <v>27</v>
      </c>
    </row>
    <row r="3" spans="1:51" x14ac:dyDescent="0.45">
      <c r="A3" t="s">
        <v>1159</v>
      </c>
      <c r="B3">
        <f>Dashboard!B3</f>
        <v>27</v>
      </c>
    </row>
    <row r="4" spans="1:51" x14ac:dyDescent="0.45">
      <c r="A4" t="s">
        <v>1154</v>
      </c>
      <c r="B4" t="str">
        <f>Dashboard!B4</f>
        <v>&gt; 7 Jahre</v>
      </c>
    </row>
    <row r="5" spans="1:51" x14ac:dyDescent="0.45">
      <c r="A5" t="s">
        <v>1172</v>
      </c>
      <c r="B5" s="9">
        <f>Dashboard!B5</f>
        <v>11.844666116572432</v>
      </c>
    </row>
    <row r="12" spans="1:51" s="24" customFormat="1" ht="14.65" thickBot="1" x14ac:dyDescent="0.5">
      <c r="A12" s="20" t="s">
        <v>1156</v>
      </c>
      <c r="B12" s="21" t="s">
        <v>1179</v>
      </c>
      <c r="C12" s="22" t="s">
        <v>1202</v>
      </c>
      <c r="D12" s="22" t="s">
        <v>1203</v>
      </c>
      <c r="E12" s="22" t="s">
        <v>1204</v>
      </c>
      <c r="F12" s="22" t="s">
        <v>1206</v>
      </c>
      <c r="G12" s="22" t="s">
        <v>1205</v>
      </c>
      <c r="H12" s="23" t="s">
        <v>1207</v>
      </c>
      <c r="I12" s="22" t="s">
        <v>1208</v>
      </c>
      <c r="J12" s="22" t="s">
        <v>1209</v>
      </c>
      <c r="K12" s="22" t="s">
        <v>1210</v>
      </c>
      <c r="L12" s="22" t="s">
        <v>1160</v>
      </c>
      <c r="M12" s="22" t="s">
        <v>1211</v>
      </c>
      <c r="N12" s="22" t="s">
        <v>1212</v>
      </c>
      <c r="O12" s="22" t="s">
        <v>1213</v>
      </c>
      <c r="P12" s="22" t="s">
        <v>1214</v>
      </c>
      <c r="Q12" s="22" t="s">
        <v>1215</v>
      </c>
      <c r="R12" s="22" t="s">
        <v>1216</v>
      </c>
      <c r="S12" s="22" t="s">
        <v>1217</v>
      </c>
      <c r="T12" s="22" t="s">
        <v>1218</v>
      </c>
      <c r="U12" s="22" t="s">
        <v>1219</v>
      </c>
      <c r="V12" s="22" t="s">
        <v>1200</v>
      </c>
      <c r="W12" s="22" t="s">
        <v>1201</v>
      </c>
      <c r="X12" s="22" t="s">
        <v>1199</v>
      </c>
      <c r="Y12" s="22" t="s">
        <v>1220</v>
      </c>
      <c r="Z12" s="22" t="s">
        <v>1221</v>
      </c>
      <c r="AA12" s="22" t="s">
        <v>1222</v>
      </c>
      <c r="AB12" s="22" t="s">
        <v>1223</v>
      </c>
      <c r="AC12" s="22" t="s">
        <v>1224</v>
      </c>
      <c r="AD12" s="22" t="s">
        <v>1225</v>
      </c>
      <c r="AE12" s="22" t="s">
        <v>1226</v>
      </c>
      <c r="AF12" s="22" t="s">
        <v>1227</v>
      </c>
      <c r="AG12" s="22" t="s">
        <v>1228</v>
      </c>
      <c r="AH12" s="22" t="s">
        <v>1229</v>
      </c>
      <c r="AI12" s="22" t="s">
        <v>1230</v>
      </c>
      <c r="AJ12" s="22" t="s">
        <v>1231</v>
      </c>
      <c r="AK12" s="22" t="s">
        <v>1232</v>
      </c>
      <c r="AL12" s="22" t="s">
        <v>1233</v>
      </c>
      <c r="AM12" s="22" t="s">
        <v>1236</v>
      </c>
      <c r="AN12" s="22" t="s">
        <v>1237</v>
      </c>
      <c r="AO12" s="22" t="s">
        <v>1238</v>
      </c>
      <c r="AP12" s="22" t="s">
        <v>1235</v>
      </c>
      <c r="AQ12" s="22" t="s">
        <v>1234</v>
      </c>
      <c r="AR12" s="22" t="s">
        <v>1239</v>
      </c>
      <c r="AS12" s="22" t="s">
        <v>1240</v>
      </c>
      <c r="AT12" s="22" t="s">
        <v>1241</v>
      </c>
      <c r="AU12" s="22" t="s">
        <v>1242</v>
      </c>
      <c r="AV12" s="22" t="s">
        <v>1243</v>
      </c>
      <c r="AW12" s="23" t="s">
        <v>59</v>
      </c>
      <c r="AX12" s="23" t="s">
        <v>63</v>
      </c>
      <c r="AY12" s="23" t="s">
        <v>64</v>
      </c>
    </row>
    <row r="13" spans="1:51" s="18" customFormat="1" ht="13.15" customHeight="1" x14ac:dyDescent="0.45">
      <c r="A13" s="18" t="s">
        <v>1184</v>
      </c>
      <c r="C13" s="18">
        <v>0</v>
      </c>
      <c r="D13" s="18">
        <v>0</v>
      </c>
      <c r="E13" s="18">
        <f>F13 / _xlfn.XLOOKUP(Dashboard!$B$6, Hintergrunddaten!$F$4:$F$8, Hintergrunddaten!$G$4:$G$8, 0.85)</f>
        <v>33</v>
      </c>
      <c r="F13" s="18">
        <f>Dashboard!$B$2 * _xlfn.XLOOKUP(Dashboard!$B$2, Hintergrunddaten!$A$4:$A$11, Hintergrunddaten!$B$4:$B$11, "Fehler", -1)</f>
        <v>29.700000000000003</v>
      </c>
      <c r="G13" s="18">
        <f>Dashboard!$B$2 * 1</f>
        <v>27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f>Dashboard!$B$2 * 62</f>
        <v>1674</v>
      </c>
      <c r="N13" s="18">
        <f>Dashboard!$B$2 * 46</f>
        <v>1242</v>
      </c>
      <c r="O13" s="18">
        <f>Dashboard!$B$2 * 10</f>
        <v>270</v>
      </c>
      <c r="P13" s="18">
        <f>Dashboard!$B$2 * 20</f>
        <v>540</v>
      </c>
      <c r="Q13" s="18">
        <v>0</v>
      </c>
      <c r="R13" s="18">
        <v>0</v>
      </c>
      <c r="S13" s="18">
        <f>Dashboard!$B$2 * 0.5</f>
        <v>13.5</v>
      </c>
      <c r="T13" s="18">
        <v>0</v>
      </c>
      <c r="U13" s="18">
        <v>0</v>
      </c>
      <c r="V13" s="18">
        <v>0</v>
      </c>
      <c r="W13" s="18">
        <f>Dashboard!$B$2 * 0.01</f>
        <v>0.27</v>
      </c>
      <c r="X13" s="18">
        <f>Dashboard!$B$2 * 13</f>
        <v>351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f>Dashboard!$B$2 * 18</f>
        <v>486</v>
      </c>
      <c r="AO13" s="18">
        <f>Dashboard!$B$2 * 12</f>
        <v>324</v>
      </c>
      <c r="AP13" s="18">
        <v>0</v>
      </c>
      <c r="AQ13" s="18">
        <f>$B$2 * 50</f>
        <v>1350</v>
      </c>
      <c r="AR13" s="18">
        <f>Dashboard!$B$2 * 56</f>
        <v>1512</v>
      </c>
      <c r="AS13" s="18">
        <f>Dashboard!$B$2 * 31</f>
        <v>837</v>
      </c>
      <c r="AT13" s="18">
        <f>Dashboard!$B$2 * 32</f>
        <v>864</v>
      </c>
      <c r="AU13" s="18">
        <f>Dashboard!$B$2 * 56</f>
        <v>1512</v>
      </c>
      <c r="AV13" s="18">
        <f>Dashboard!$B$2 * 56</f>
        <v>1512</v>
      </c>
      <c r="AW13" s="18">
        <f>Z13/0.025</f>
        <v>0</v>
      </c>
      <c r="AX13" s="18">
        <f>AB13/0.3</f>
        <v>0</v>
      </c>
      <c r="AY13" s="18">
        <f>AA13/0.67</f>
        <v>0</v>
      </c>
    </row>
    <row r="14" spans="1:51" s="8" customFormat="1" ht="13.5" customHeight="1" x14ac:dyDescent="0.45">
      <c r="A14" s="8" t="s">
        <v>1185</v>
      </c>
      <c r="C14" s="17">
        <f>D14 * 239</f>
        <v>1188.9675847815406</v>
      </c>
      <c r="D14" s="17">
        <f>Dashboard!$B$5 * _xlfn.XLOOKUP(Dashboard!$B$4, Hintergrunddaten!$I$4:$I$6, Hintergrunddaten!$J$4:$J$6, 0.52)</f>
        <v>4.9747597689604213</v>
      </c>
      <c r="E14" s="17">
        <f>F14 / _xlfn.XLOOKUP(Dashboard!$B$6, Hintergrunddaten!$F$4:$F$8, Hintergrunddaten!$G$4:$G$8, 0.85)</f>
        <v>66</v>
      </c>
      <c r="F14" s="17">
        <f>Dashboard!$B$2 * _xlfn.XLOOKUP(Dashboard!$B$2, Hintergrunddaten!$A$4:$A$11, Hintergrunddaten!$C$4:$C$11, "Fehler", -1)</f>
        <v>59.400000000000006</v>
      </c>
      <c r="G14" s="17"/>
      <c r="H14" s="17">
        <v>0</v>
      </c>
      <c r="I14" s="17">
        <v>0</v>
      </c>
      <c r="J14" s="17">
        <f t="shared" ref="J14:AP14" si="0">$B$5*J13</f>
        <v>0</v>
      </c>
      <c r="K14" s="17">
        <f t="shared" si="0"/>
        <v>0</v>
      </c>
      <c r="L14" s="17">
        <v>0</v>
      </c>
      <c r="M14" s="17">
        <f>Dashboard!$B$2 * 80</f>
        <v>2160</v>
      </c>
      <c r="N14" s="17">
        <f>Dashboard!$B$2 * 60</f>
        <v>1620</v>
      </c>
      <c r="O14" s="17">
        <f>Dashboard!$B$2 * 12</f>
        <v>324</v>
      </c>
      <c r="P14" s="17">
        <f>Dashboard!$B$2 * 50</f>
        <v>1350</v>
      </c>
      <c r="Q14" s="17">
        <f>Dashboard!$B$2 * 55</f>
        <v>1485</v>
      </c>
      <c r="R14" s="17">
        <f>Dashboard!$B$2 * 75</f>
        <v>2025</v>
      </c>
      <c r="S14" s="17">
        <f>Dashboard!$B$2 * 1.4</f>
        <v>37.799999999999997</v>
      </c>
      <c r="T14" s="17">
        <f>Dashboard!$B$2 * 0.9</f>
        <v>24.3</v>
      </c>
      <c r="U14" s="17">
        <f>Dashboard!$B$2 * 2.5</f>
        <v>67.5</v>
      </c>
      <c r="V14" s="17">
        <f>Dashboard!$B$2 * 0.1</f>
        <v>2.7</v>
      </c>
      <c r="W14" s="17">
        <f>Dashboard!$B$2 * 0.07</f>
        <v>1.8900000000000001</v>
      </c>
      <c r="X14" s="17">
        <f>Dashboard!$B$2 * 15</f>
        <v>405</v>
      </c>
      <c r="Y14" s="17">
        <f t="shared" si="0"/>
        <v>0</v>
      </c>
      <c r="Z14" s="17">
        <f>Dashboard!$B$2 * 0.25</f>
        <v>6.75</v>
      </c>
      <c r="AA14" s="17">
        <f>Dashboard!$B$2 * 0.5</f>
        <v>13.5</v>
      </c>
      <c r="AB14" s="17">
        <f>Dashboard!$B$2 * 22.5</f>
        <v>607.5</v>
      </c>
      <c r="AC14" s="17">
        <f>Dashboard!$B$2 * 20</f>
        <v>540</v>
      </c>
      <c r="AD14" s="17">
        <f>Dashboard!$B$2 * 50</f>
        <v>1350</v>
      </c>
      <c r="AE14" s="17">
        <f>Dashboard!$B$2 * 200</f>
        <v>5400</v>
      </c>
      <c r="AF14" s="17">
        <f>Dashboard!$B$2 * 20</f>
        <v>540</v>
      </c>
      <c r="AG14" s="17">
        <f>Dashboard!$B$2 * 0.5</f>
        <v>13.5</v>
      </c>
      <c r="AH14" s="17">
        <f t="shared" si="0"/>
        <v>0</v>
      </c>
      <c r="AI14" s="17">
        <f t="shared" si="0"/>
        <v>0</v>
      </c>
      <c r="AJ14" s="17">
        <f>Dashboard!$B$2 * 4</f>
        <v>108</v>
      </c>
      <c r="AK14" s="17">
        <f>Dashboard!$B$2 * 2</f>
        <v>54</v>
      </c>
      <c r="AL14" s="17">
        <f t="shared" si="0"/>
        <v>0</v>
      </c>
      <c r="AM14" s="17">
        <v>0</v>
      </c>
      <c r="AN14" s="17">
        <f>Dashboard!$B$2 * 45</f>
        <v>1215</v>
      </c>
      <c r="AO14" s="17">
        <f>Dashboard!$B$2 * 30</f>
        <v>810</v>
      </c>
      <c r="AP14" s="17">
        <f t="shared" si="0"/>
        <v>0</v>
      </c>
      <c r="AQ14" s="17">
        <f>$B$2 * 150</f>
        <v>4050</v>
      </c>
      <c r="AR14" s="17">
        <f>Dashboard!$B$2 * 56</f>
        <v>1512</v>
      </c>
      <c r="AS14" s="17">
        <f>Dashboard!$B$2 * 51</f>
        <v>1377</v>
      </c>
      <c r="AT14" s="17">
        <f>Dashboard!$B$2 * 32</f>
        <v>864</v>
      </c>
      <c r="AU14" s="17">
        <f>Dashboard!$B$2 * 68</f>
        <v>1836</v>
      </c>
      <c r="AV14" s="17">
        <f>Dashboard!$B$2 * 76</f>
        <v>2052</v>
      </c>
      <c r="AW14" s="17">
        <f>Z14/0.025</f>
        <v>270</v>
      </c>
      <c r="AX14" s="17">
        <f>AB14/0.3</f>
        <v>2025</v>
      </c>
      <c r="AY14" s="17">
        <f>AA14/0.67</f>
        <v>20.149253731343283</v>
      </c>
    </row>
    <row r="15" spans="1:51" s="19" customFormat="1" ht="13.5" customHeight="1" x14ac:dyDescent="0.45">
      <c r="A15" s="19" t="s">
        <v>1186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>
        <f>Dashboard!$B$2 * 2000</f>
        <v>54000</v>
      </c>
      <c r="R15" s="25"/>
      <c r="S15" s="25"/>
      <c r="T15" s="25"/>
      <c r="U15" s="25">
        <f>Dashboard!$B$2 * 5</f>
        <v>135</v>
      </c>
      <c r="V15" s="25"/>
      <c r="W15" s="25">
        <f>Dashboard!$B$2 * 0.13</f>
        <v>3.5100000000000002</v>
      </c>
      <c r="X15" s="25"/>
      <c r="Y15" s="25"/>
      <c r="Z15" s="25">
        <f>Dashboard!$B$2 * 1.25</f>
        <v>33.75</v>
      </c>
      <c r="AA15" s="25">
        <f>Dashboard!$B$2 * 11</f>
        <v>297</v>
      </c>
      <c r="AB15" s="25">
        <f>Dashboard!$B$2 * 4500</f>
        <v>121500</v>
      </c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>
        <f>Dashboard!$B$2 * 90</f>
        <v>2430</v>
      </c>
      <c r="AO15" s="25">
        <f>Dashboard!$B$2 * 60</f>
        <v>1620</v>
      </c>
      <c r="AP15" s="25"/>
      <c r="AQ15" s="25"/>
      <c r="AR15" s="25"/>
      <c r="AS15" s="25"/>
      <c r="AT15" s="25"/>
      <c r="AU15" s="25"/>
      <c r="AV15" s="25"/>
      <c r="AW15" s="25">
        <f>Z15/0.025</f>
        <v>1350</v>
      </c>
      <c r="AX15" s="25">
        <f>AB15/0.3</f>
        <v>405000</v>
      </c>
      <c r="AY15" s="25">
        <f>AA15/0.67</f>
        <v>443.28358208955223</v>
      </c>
    </row>
    <row r="16" spans="1:51" s="36" customFormat="1" ht="14.65" thickBot="1" x14ac:dyDescent="0.5">
      <c r="A16" s="32" t="s">
        <v>1156</v>
      </c>
      <c r="B16" s="33" t="s">
        <v>1157</v>
      </c>
      <c r="C16" s="34" t="s">
        <v>25</v>
      </c>
      <c r="D16" s="34" t="s">
        <v>42</v>
      </c>
      <c r="E16" s="34" t="s">
        <v>24</v>
      </c>
      <c r="F16" s="34" t="s">
        <v>26</v>
      </c>
      <c r="G16" s="34" t="s">
        <v>27</v>
      </c>
      <c r="H16" s="35" t="s">
        <v>44</v>
      </c>
      <c r="I16" s="34" t="s">
        <v>60</v>
      </c>
      <c r="J16" s="34" t="s">
        <v>2</v>
      </c>
      <c r="K16" s="34" t="s">
        <v>1</v>
      </c>
      <c r="L16" s="34"/>
      <c r="M16" s="34" t="s">
        <v>7</v>
      </c>
      <c r="N16" s="34" t="s">
        <v>9</v>
      </c>
      <c r="O16" s="34" t="s">
        <v>8</v>
      </c>
      <c r="P16" s="34" t="s">
        <v>4</v>
      </c>
      <c r="Q16" s="34" t="s">
        <v>6</v>
      </c>
      <c r="R16" s="34" t="s">
        <v>5</v>
      </c>
      <c r="S16" s="34" t="s">
        <v>11</v>
      </c>
      <c r="T16" s="34" t="s">
        <v>12</v>
      </c>
      <c r="U16" s="34" t="s">
        <v>61</v>
      </c>
      <c r="V16" s="34" t="s">
        <v>13</v>
      </c>
      <c r="W16" s="34" t="s">
        <v>14</v>
      </c>
      <c r="X16" s="34" t="s">
        <v>28</v>
      </c>
      <c r="Y16" s="34" t="s">
        <v>10</v>
      </c>
      <c r="Z16" s="34" t="s">
        <v>29</v>
      </c>
      <c r="AA16" s="34" t="s">
        <v>30</v>
      </c>
      <c r="AB16" s="34" t="s">
        <v>62</v>
      </c>
      <c r="AC16" s="34" t="s">
        <v>31</v>
      </c>
      <c r="AD16" s="34" t="s">
        <v>32</v>
      </c>
      <c r="AE16" s="34" t="s">
        <v>33</v>
      </c>
      <c r="AF16" s="34" t="s">
        <v>34</v>
      </c>
      <c r="AG16" s="34" t="s">
        <v>35</v>
      </c>
      <c r="AH16" s="34" t="s">
        <v>36</v>
      </c>
      <c r="AI16" s="34" t="s">
        <v>37</v>
      </c>
      <c r="AJ16" s="34" t="s">
        <v>38</v>
      </c>
      <c r="AK16" s="34" t="s">
        <v>3</v>
      </c>
      <c r="AL16" s="34" t="s">
        <v>15</v>
      </c>
      <c r="AM16" s="34" t="s">
        <v>39</v>
      </c>
      <c r="AN16" s="34" t="s">
        <v>40</v>
      </c>
      <c r="AO16" s="34" t="s">
        <v>41</v>
      </c>
      <c r="AP16" s="34" t="s">
        <v>16</v>
      </c>
      <c r="AQ16" s="34" t="s">
        <v>17</v>
      </c>
      <c r="AR16" s="34" t="s">
        <v>18</v>
      </c>
      <c r="AS16" s="34" t="s">
        <v>19</v>
      </c>
      <c r="AT16" s="34" t="s">
        <v>20</v>
      </c>
      <c r="AU16" s="34" t="s">
        <v>21</v>
      </c>
      <c r="AV16" s="34" t="s">
        <v>22</v>
      </c>
      <c r="AW16" s="35" t="s">
        <v>59</v>
      </c>
      <c r="AX16" s="35" t="s">
        <v>63</v>
      </c>
      <c r="AY16" s="35" t="s">
        <v>64</v>
      </c>
    </row>
    <row r="17" spans="1:51" s="37" customFormat="1" x14ac:dyDescent="0.45">
      <c r="A17" s="37" t="s">
        <v>1173</v>
      </c>
      <c r="C17" s="37">
        <v>95</v>
      </c>
      <c r="D17" s="37">
        <f>C17/239</f>
        <v>0.39748953974895396</v>
      </c>
      <c r="E17" s="37">
        <v>3.28</v>
      </c>
      <c r="F17" s="37">
        <v>2.5</v>
      </c>
      <c r="G17" s="37">
        <v>1.32</v>
      </c>
      <c r="I17" s="37">
        <v>0.5</v>
      </c>
      <c r="M17" s="37">
        <v>130</v>
      </c>
      <c r="N17" s="37">
        <v>100</v>
      </c>
      <c r="O17" s="37">
        <v>12</v>
      </c>
      <c r="P17" s="37">
        <v>26</v>
      </c>
      <c r="Q17" s="37">
        <v>175</v>
      </c>
      <c r="R17" s="37">
        <v>40</v>
      </c>
      <c r="S17" s="37">
        <v>5</v>
      </c>
      <c r="T17" s="37">
        <v>2.5</v>
      </c>
      <c r="U17" s="37">
        <v>8.6999999999999993</v>
      </c>
      <c r="V17" s="37">
        <v>0.3</v>
      </c>
      <c r="W17" s="37">
        <v>0.23</v>
      </c>
      <c r="X17" s="37">
        <v>44</v>
      </c>
      <c r="Z17" s="37">
        <v>20</v>
      </c>
      <c r="AA17" s="37">
        <v>1.2</v>
      </c>
      <c r="AB17" s="37">
        <v>150</v>
      </c>
      <c r="AC17" s="37">
        <v>7.0000000000000007E-2</v>
      </c>
      <c r="AD17" s="37">
        <v>0.16</v>
      </c>
      <c r="AE17" s="37">
        <v>0.45</v>
      </c>
      <c r="AF17" s="37">
        <v>4.4999999999999998E-2</v>
      </c>
      <c r="AG17" s="37">
        <v>1.1000000000000001</v>
      </c>
      <c r="AJ17" s="37">
        <v>9</v>
      </c>
      <c r="AK17" s="37">
        <v>2.5</v>
      </c>
      <c r="AM17" s="37">
        <v>0.11</v>
      </c>
      <c r="AN17" s="37">
        <v>4</v>
      </c>
      <c r="AO17" s="37">
        <v>3</v>
      </c>
      <c r="AP17" s="37">
        <v>0.33</v>
      </c>
      <c r="AQ17" s="37">
        <v>0.28000000000000003</v>
      </c>
      <c r="AR17" s="37">
        <v>135</v>
      </c>
      <c r="AS17" s="37">
        <v>65</v>
      </c>
      <c r="AT17" s="37">
        <v>50</v>
      </c>
      <c r="AU17" s="37">
        <v>100</v>
      </c>
      <c r="AV17" s="37">
        <v>45</v>
      </c>
      <c r="AW17" s="37">
        <v>20</v>
      </c>
      <c r="AX17" s="37">
        <v>150</v>
      </c>
      <c r="AY17" s="37">
        <v>1.8</v>
      </c>
    </row>
    <row r="18" spans="1:51" s="36" customFormat="1" x14ac:dyDescent="0.45">
      <c r="A18" s="36" t="s">
        <v>1174</v>
      </c>
      <c r="C18" s="38" t="e">
        <f>$B$5*C17*$B$4</f>
        <v>#VALUE!</v>
      </c>
      <c r="D18" s="38" t="e">
        <f>C18*0.004184</f>
        <v>#VALUE!</v>
      </c>
      <c r="E18" s="38">
        <f t="shared" ref="E18:AY18" si="1">$B$5*E17</f>
        <v>38.850504862357575</v>
      </c>
      <c r="F18" s="38">
        <f t="shared" si="1"/>
        <v>29.611665291431081</v>
      </c>
      <c r="G18" s="38" t="e">
        <f>$B$5*G17*$B$4</f>
        <v>#VALUE!</v>
      </c>
      <c r="H18" s="38">
        <f t="shared" si="1"/>
        <v>0</v>
      </c>
      <c r="I18" s="38">
        <f t="shared" si="1"/>
        <v>5.9223330582862159</v>
      </c>
      <c r="J18" s="38">
        <f t="shared" si="1"/>
        <v>0</v>
      </c>
      <c r="K18" s="38">
        <f t="shared" si="1"/>
        <v>0</v>
      </c>
      <c r="L18" s="38"/>
      <c r="M18" s="38">
        <f t="shared" si="1"/>
        <v>1539.8065951544161</v>
      </c>
      <c r="N18" s="38">
        <f t="shared" si="1"/>
        <v>1184.4666116572432</v>
      </c>
      <c r="O18" s="38">
        <f t="shared" si="1"/>
        <v>142.13599339886918</v>
      </c>
      <c r="P18" s="38">
        <f t="shared" si="1"/>
        <v>307.9613190308832</v>
      </c>
      <c r="Q18" s="38">
        <f t="shared" si="1"/>
        <v>2072.8165704001754</v>
      </c>
      <c r="R18" s="38">
        <f t="shared" si="1"/>
        <v>473.78664466289729</v>
      </c>
      <c r="S18" s="38">
        <f t="shared" si="1"/>
        <v>59.223330582862161</v>
      </c>
      <c r="T18" s="38">
        <f t="shared" si="1"/>
        <v>29.611665291431081</v>
      </c>
      <c r="U18" s="38">
        <f t="shared" si="1"/>
        <v>103.04859521418015</v>
      </c>
      <c r="V18" s="38">
        <f t="shared" si="1"/>
        <v>3.5533998349717293</v>
      </c>
      <c r="W18" s="38">
        <f t="shared" si="1"/>
        <v>2.7242732068116595</v>
      </c>
      <c r="X18" s="38">
        <f t="shared" si="1"/>
        <v>521.16530912918699</v>
      </c>
      <c r="Y18" s="38">
        <f t="shared" si="1"/>
        <v>0</v>
      </c>
      <c r="Z18" s="38">
        <f t="shared" si="1"/>
        <v>236.89332233144864</v>
      </c>
      <c r="AA18" s="38">
        <f t="shared" si="1"/>
        <v>14.213599339886917</v>
      </c>
      <c r="AB18" s="38">
        <f t="shared" si="1"/>
        <v>1776.6999174858647</v>
      </c>
      <c r="AC18" s="38">
        <f t="shared" si="1"/>
        <v>0.82912662816007032</v>
      </c>
      <c r="AD18" s="38">
        <f t="shared" si="1"/>
        <v>1.8951465786515891</v>
      </c>
      <c r="AE18" s="38">
        <f t="shared" si="1"/>
        <v>5.3300997524575946</v>
      </c>
      <c r="AF18" s="38">
        <f t="shared" si="1"/>
        <v>0.53300997524575944</v>
      </c>
      <c r="AG18" s="38">
        <f t="shared" si="1"/>
        <v>13.029132728229676</v>
      </c>
      <c r="AH18" s="38">
        <f t="shared" si="1"/>
        <v>0</v>
      </c>
      <c r="AI18" s="38">
        <f t="shared" si="1"/>
        <v>0</v>
      </c>
      <c r="AJ18" s="38">
        <f t="shared" si="1"/>
        <v>106.60199504915188</v>
      </c>
      <c r="AK18" s="38">
        <f t="shared" si="1"/>
        <v>29.611665291431081</v>
      </c>
      <c r="AL18" s="38">
        <f t="shared" si="1"/>
        <v>0</v>
      </c>
      <c r="AM18" s="38">
        <f t="shared" si="1"/>
        <v>1.3029132728229675</v>
      </c>
      <c r="AN18" s="38">
        <f t="shared" si="1"/>
        <v>47.378664466289727</v>
      </c>
      <c r="AO18" s="38">
        <f t="shared" si="1"/>
        <v>35.533998349717294</v>
      </c>
      <c r="AP18" s="38">
        <f t="shared" si="1"/>
        <v>3.9087398184689026</v>
      </c>
      <c r="AQ18" s="38">
        <f t="shared" si="1"/>
        <v>3.3165065126402813</v>
      </c>
      <c r="AR18" s="38">
        <f t="shared" si="1"/>
        <v>1599.0299257372783</v>
      </c>
      <c r="AS18" s="38">
        <f t="shared" si="1"/>
        <v>769.90329757720804</v>
      </c>
      <c r="AT18" s="38">
        <f t="shared" si="1"/>
        <v>592.23330582862161</v>
      </c>
      <c r="AU18" s="38">
        <f t="shared" si="1"/>
        <v>1184.4666116572432</v>
      </c>
      <c r="AV18" s="38">
        <f t="shared" si="1"/>
        <v>533.00997524575939</v>
      </c>
      <c r="AW18" s="38">
        <f t="shared" si="1"/>
        <v>236.89332233144864</v>
      </c>
      <c r="AX18" s="38">
        <f t="shared" si="1"/>
        <v>1776.6999174858647</v>
      </c>
      <c r="AY18" s="38">
        <f t="shared" si="1"/>
        <v>21.320399009830378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CF31-5092-4599-B50F-6323719E1A71}">
  <dimension ref="A1:G50"/>
  <sheetViews>
    <sheetView workbookViewId="0">
      <selection activeCell="I40" sqref="I40"/>
    </sheetView>
  </sheetViews>
  <sheetFormatPr baseColWidth="10" defaultColWidth="11.796875" defaultRowHeight="14.25" x14ac:dyDescent="0.45"/>
  <cols>
    <col min="1" max="1" width="18.33203125" bestFit="1" customWidth="1"/>
    <col min="2" max="2" width="11.73046875" bestFit="1" customWidth="1"/>
    <col min="3" max="3" width="7.06640625" bestFit="1" customWidth="1"/>
    <col min="4" max="5" width="11.73046875" bestFit="1" customWidth="1"/>
    <col min="6" max="6" width="13.86328125" style="40" bestFit="1" customWidth="1"/>
    <col min="7" max="7" width="13.73046875" bestFit="1" customWidth="1"/>
  </cols>
  <sheetData>
    <row r="1" spans="1:7" s="7" customFormat="1" x14ac:dyDescent="0.45">
      <c r="A1" s="7" t="s">
        <v>1251</v>
      </c>
      <c r="B1" s="7" t="s">
        <v>1252</v>
      </c>
      <c r="C1" s="7" t="s">
        <v>1253</v>
      </c>
      <c r="D1" s="7" t="s">
        <v>1248</v>
      </c>
      <c r="E1" s="7" t="s">
        <v>1254</v>
      </c>
      <c r="F1" s="39" t="s">
        <v>1255</v>
      </c>
      <c r="G1" s="7" t="s">
        <v>1256</v>
      </c>
    </row>
    <row r="2" spans="1:7" x14ac:dyDescent="0.45">
      <c r="A2" t="str" cm="1">
        <f t="array" ref="A2:A50">TRANSPOSE(Dashboard!D40:AZ40)</f>
        <v>Energie [kcal]</v>
      </c>
      <c r="B2" cm="1">
        <f t="array" ref="B2:B50">TRANSPOSE(Dashboard!D39:AZ39)</f>
        <v>764.18999999999994</v>
      </c>
      <c r="C2" cm="1">
        <f t="array" ref="C2:C50">TRANSPOSE(Dashboard!D37:AZ37)</f>
        <v>0</v>
      </c>
      <c r="D2" cm="1">
        <f t="array" ref="D2:D50">TRANSPOSE(Dashboard!D38:AZ38)</f>
        <v>1188.9675847815406</v>
      </c>
      <c r="E2" cm="1">
        <f t="array" ref="E2:E50">TRANSPOSE(Dashboard!D36:AZ36)</f>
        <v>0</v>
      </c>
      <c r="F2" s="40">
        <f>IFERROR(B2/D2, 0)</f>
        <v>0.64273409114043356</v>
      </c>
      <c r="G2" t="str">
        <f>IF(B2&lt;C2, "🔴 Zu niedrig", IF(AND(B2&gt;=C2, B2&lt;(D2*0.85)), "🟡 Unter Ideal", IF(B2&lt;=(D2*1.15), "🟢 Ideal", IF(OR(E2=0, B2&lt;=E2), "🟠 Über Ideal", "🔴 Zu hoch"))))</f>
        <v>🟡 Unter Ideal</v>
      </c>
    </row>
    <row r="3" spans="1:7" x14ac:dyDescent="0.45">
      <c r="A3" t="str">
        <v>Energie [MJ]</v>
      </c>
      <c r="B3">
        <v>3.19744769874477</v>
      </c>
      <c r="C3">
        <v>0</v>
      </c>
      <c r="D3">
        <v>4.9747597689604213</v>
      </c>
      <c r="E3">
        <v>0</v>
      </c>
      <c r="F3" s="40">
        <f t="shared" ref="F3:F50" si="0">IFERROR(B3/D3, 0)</f>
        <v>0.64273409114043367</v>
      </c>
      <c r="G3" t="str">
        <f t="shared" ref="G3:G50" si="1">IF(B3&lt;C3, "🔴 Zu niedrig", IF(AND(B3&gt;=C3, B3&lt;(D3*0.85)), "🟡 Unter Ideal", IF(B3&lt;=(D3*1.15), "🟢 Ideal", IF(OR(E3=0, B3&lt;=E3), "🟠 Über Ideal", "🔴 Zu hoch"))))</f>
        <v>🟡 Unter Ideal</v>
      </c>
    </row>
    <row r="4" spans="1:7" x14ac:dyDescent="0.45">
      <c r="A4" t="str">
        <v>Rohprotein [g]</v>
      </c>
      <c r="B4">
        <v>86.866400000000013</v>
      </c>
      <c r="C4">
        <v>33</v>
      </c>
      <c r="D4">
        <v>66</v>
      </c>
      <c r="E4">
        <v>0</v>
      </c>
      <c r="F4" s="40">
        <f t="shared" si="0"/>
        <v>1.3161575757575759</v>
      </c>
      <c r="G4" t="str">
        <f t="shared" si="1"/>
        <v>🟠 Über Ideal</v>
      </c>
    </row>
    <row r="5" spans="1:7" x14ac:dyDescent="0.45">
      <c r="A5" t="str">
        <v>vRP</v>
      </c>
      <c r="B5">
        <v>73.836439999999996</v>
      </c>
      <c r="C5">
        <v>29.700000000000003</v>
      </c>
      <c r="D5">
        <v>59.400000000000006</v>
      </c>
      <c r="E5">
        <v>0</v>
      </c>
      <c r="F5" s="40">
        <f t="shared" si="0"/>
        <v>1.2430377104377102</v>
      </c>
      <c r="G5" t="str">
        <f t="shared" si="1"/>
        <v>🟠 Über Ideal</v>
      </c>
    </row>
    <row r="6" spans="1:7" x14ac:dyDescent="0.45">
      <c r="A6" t="str">
        <v>Rohfett [g]</v>
      </c>
      <c r="B6">
        <v>28.271599999999999</v>
      </c>
      <c r="C6">
        <v>27</v>
      </c>
      <c r="D6">
        <v>0</v>
      </c>
      <c r="E6">
        <v>0</v>
      </c>
      <c r="F6" s="40">
        <f t="shared" si="0"/>
        <v>0</v>
      </c>
      <c r="G6" t="str">
        <f t="shared" si="1"/>
        <v>🟠 Über Ideal</v>
      </c>
    </row>
    <row r="7" spans="1:7" x14ac:dyDescent="0.45">
      <c r="A7" t="str">
        <v>NfE  [g]</v>
      </c>
      <c r="B7">
        <v>54.942399999999992</v>
      </c>
      <c r="C7">
        <v>0</v>
      </c>
      <c r="D7">
        <v>0</v>
      </c>
      <c r="E7">
        <v>0</v>
      </c>
      <c r="F7" s="40">
        <f t="shared" si="0"/>
        <v>0</v>
      </c>
      <c r="G7" t="str">
        <f t="shared" si="1"/>
        <v>🟠 Über Ideal</v>
      </c>
    </row>
    <row r="8" spans="1:7" x14ac:dyDescent="0.45">
      <c r="A8" t="str">
        <v>Rohfaser [g]</v>
      </c>
      <c r="B8">
        <v>7.0000000000000007E-2</v>
      </c>
      <c r="C8">
        <v>0</v>
      </c>
      <c r="D8">
        <v>0</v>
      </c>
      <c r="E8">
        <v>0</v>
      </c>
      <c r="F8" s="40">
        <f t="shared" si="0"/>
        <v>0</v>
      </c>
      <c r="G8" t="str">
        <f t="shared" si="1"/>
        <v>🟠 Über Ideal</v>
      </c>
    </row>
    <row r="9" spans="1:7" x14ac:dyDescent="0.45">
      <c r="A9" t="str">
        <v>Rohasche [g]</v>
      </c>
      <c r="B9">
        <v>5.0739999999999998</v>
      </c>
      <c r="C9">
        <v>0</v>
      </c>
      <c r="D9">
        <v>0</v>
      </c>
      <c r="E9">
        <v>0</v>
      </c>
      <c r="F9" s="40">
        <f t="shared" si="0"/>
        <v>0</v>
      </c>
      <c r="G9" t="str">
        <f t="shared" si="1"/>
        <v>🟠 Über Ideal</v>
      </c>
    </row>
    <row r="10" spans="1:7" x14ac:dyDescent="0.45">
      <c r="A10" t="str">
        <v>Wasser [g]</v>
      </c>
      <c r="B10">
        <v>440.77560000000005</v>
      </c>
      <c r="C10">
        <v>0</v>
      </c>
      <c r="D10">
        <v>0</v>
      </c>
      <c r="E10">
        <v>0</v>
      </c>
      <c r="F10" s="40">
        <f t="shared" si="0"/>
        <v>0</v>
      </c>
      <c r="G10" t="str">
        <f t="shared" si="1"/>
        <v>🟠 Über Ideal</v>
      </c>
    </row>
    <row r="11" spans="1:7" x14ac:dyDescent="0.45">
      <c r="A11" t="str">
        <v>TS [g]</v>
      </c>
      <c r="B11">
        <v>175.2244</v>
      </c>
      <c r="C11">
        <v>0</v>
      </c>
      <c r="D11">
        <v>0</v>
      </c>
      <c r="E11">
        <v>0</v>
      </c>
      <c r="F11" s="40">
        <f t="shared" si="0"/>
        <v>0</v>
      </c>
      <c r="G11" t="str">
        <f t="shared" si="1"/>
        <v>🟠 Über Ideal</v>
      </c>
    </row>
    <row r="12" spans="1:7" x14ac:dyDescent="0.45">
      <c r="A12" t="str">
        <v>Calcium [mg]</v>
      </c>
      <c r="B12">
        <v>1893.19750206</v>
      </c>
      <c r="C12">
        <v>1674</v>
      </c>
      <c r="D12">
        <v>2160</v>
      </c>
      <c r="E12">
        <v>0</v>
      </c>
      <c r="F12" s="40">
        <f t="shared" si="0"/>
        <v>0.87648032502777784</v>
      </c>
      <c r="G12" t="str">
        <f t="shared" si="1"/>
        <v>🟢 Ideal</v>
      </c>
    </row>
    <row r="13" spans="1:7" x14ac:dyDescent="0.45">
      <c r="A13" t="str">
        <v>Phosphor [mg]</v>
      </c>
      <c r="B13">
        <v>1260.7501200000002</v>
      </c>
      <c r="C13">
        <v>1242</v>
      </c>
      <c r="D13">
        <v>1620</v>
      </c>
      <c r="E13">
        <v>0</v>
      </c>
      <c r="F13" s="40">
        <f t="shared" si="0"/>
        <v>0.77824081481481489</v>
      </c>
      <c r="G13" t="str">
        <f t="shared" si="1"/>
        <v>🟡 Unter Ideal</v>
      </c>
    </row>
    <row r="14" spans="1:7" x14ac:dyDescent="0.45">
      <c r="A14" t="str">
        <v>Magnesium [mg]</v>
      </c>
      <c r="B14">
        <v>257.13872825999999</v>
      </c>
      <c r="C14">
        <v>270</v>
      </c>
      <c r="D14">
        <v>324</v>
      </c>
      <c r="E14">
        <v>0</v>
      </c>
      <c r="F14" s="40">
        <f t="shared" si="0"/>
        <v>0.79363805018518518</v>
      </c>
      <c r="G14" t="str">
        <f t="shared" si="1"/>
        <v>🔴 Zu niedrig</v>
      </c>
    </row>
    <row r="15" spans="1:7" x14ac:dyDescent="0.45">
      <c r="A15" t="str">
        <v>Natrium [mg]</v>
      </c>
      <c r="B15">
        <v>300.65800000000002</v>
      </c>
      <c r="C15">
        <v>540</v>
      </c>
      <c r="D15">
        <v>1350</v>
      </c>
      <c r="E15">
        <v>0</v>
      </c>
      <c r="F15" s="40">
        <f t="shared" si="0"/>
        <v>0.22270962962962965</v>
      </c>
      <c r="G15" t="str">
        <f t="shared" si="1"/>
        <v>🔴 Zu niedrig</v>
      </c>
    </row>
    <row r="16" spans="1:7" x14ac:dyDescent="0.45">
      <c r="A16" t="str">
        <v>Kalium [mg]</v>
      </c>
      <c r="B16">
        <v>2023.9006809</v>
      </c>
      <c r="C16">
        <v>0</v>
      </c>
      <c r="D16">
        <v>1485</v>
      </c>
      <c r="E16">
        <v>54000</v>
      </c>
      <c r="F16" s="40">
        <f t="shared" si="0"/>
        <v>1.3628960814141413</v>
      </c>
      <c r="G16" t="str">
        <f t="shared" si="1"/>
        <v>🟠 Über Ideal</v>
      </c>
    </row>
    <row r="17" spans="1:7" x14ac:dyDescent="0.45">
      <c r="A17" t="str">
        <v>Chlorid [mg]</v>
      </c>
      <c r="B17">
        <v>0</v>
      </c>
      <c r="C17">
        <v>0</v>
      </c>
      <c r="D17">
        <v>2025</v>
      </c>
      <c r="E17">
        <v>0</v>
      </c>
      <c r="F17" s="40">
        <f t="shared" si="0"/>
        <v>0</v>
      </c>
      <c r="G17" t="str">
        <f t="shared" si="1"/>
        <v>🟡 Unter Ideal</v>
      </c>
    </row>
    <row r="18" spans="1:7" x14ac:dyDescent="0.45">
      <c r="A18" t="str">
        <v>Eisen [mg]</v>
      </c>
      <c r="B18">
        <v>28.271630320000003</v>
      </c>
      <c r="C18">
        <v>13.5</v>
      </c>
      <c r="D18">
        <v>37.799999999999997</v>
      </c>
      <c r="E18">
        <v>0</v>
      </c>
      <c r="F18" s="40">
        <f t="shared" si="0"/>
        <v>0.74792672804232818</v>
      </c>
      <c r="G18" t="str">
        <f t="shared" si="1"/>
        <v>🟡 Unter Ideal</v>
      </c>
    </row>
    <row r="19" spans="1:7" x14ac:dyDescent="0.45">
      <c r="A19" t="str">
        <v>Zink [mg]</v>
      </c>
      <c r="B19">
        <v>44.079650588</v>
      </c>
      <c r="C19">
        <v>0</v>
      </c>
      <c r="D19">
        <v>24.3</v>
      </c>
      <c r="E19">
        <v>0</v>
      </c>
      <c r="F19" s="40">
        <f t="shared" si="0"/>
        <v>1.8139773904526748</v>
      </c>
      <c r="G19" t="str">
        <f t="shared" si="1"/>
        <v>🟠 Über Ideal</v>
      </c>
    </row>
    <row r="20" spans="1:7" x14ac:dyDescent="0.45">
      <c r="A20" t="str">
        <v>Selen [µg]</v>
      </c>
      <c r="B20">
        <v>0</v>
      </c>
      <c r="C20">
        <v>0</v>
      </c>
      <c r="D20">
        <v>67.5</v>
      </c>
      <c r="E20">
        <v>135</v>
      </c>
      <c r="F20" s="40">
        <f t="shared" si="0"/>
        <v>0</v>
      </c>
      <c r="G20" t="str">
        <f t="shared" si="1"/>
        <v>🟡 Unter Ideal</v>
      </c>
    </row>
    <row r="21" spans="1:7" x14ac:dyDescent="0.45">
      <c r="A21" t="str">
        <v>Kupfer [mg]</v>
      </c>
      <c r="B21">
        <v>3.5416719400000001</v>
      </c>
      <c r="C21">
        <v>0</v>
      </c>
      <c r="D21">
        <v>2.7</v>
      </c>
      <c r="E21">
        <v>0</v>
      </c>
      <c r="F21" s="40">
        <f t="shared" si="0"/>
        <v>1.3117303481481482</v>
      </c>
      <c r="G21" t="str">
        <f t="shared" si="1"/>
        <v>🟠 Über Ideal</v>
      </c>
    </row>
    <row r="22" spans="1:7" x14ac:dyDescent="0.45">
      <c r="A22" t="str">
        <v>Mangan [mg]</v>
      </c>
      <c r="B22">
        <v>1.9278738400000002</v>
      </c>
      <c r="C22">
        <v>0.27</v>
      </c>
      <c r="D22">
        <v>1.8900000000000001</v>
      </c>
      <c r="E22">
        <v>3.5100000000000002</v>
      </c>
      <c r="F22" s="40">
        <f t="shared" si="0"/>
        <v>1.0200390687830687</v>
      </c>
      <c r="G22" t="str">
        <f t="shared" si="1"/>
        <v>🟢 Ideal</v>
      </c>
    </row>
    <row r="23" spans="1:7" x14ac:dyDescent="0.45">
      <c r="A23" t="str">
        <v>Jod [µg]</v>
      </c>
      <c r="B23">
        <v>509.46860000000004</v>
      </c>
      <c r="C23">
        <v>351</v>
      </c>
      <c r="D23">
        <v>405</v>
      </c>
      <c r="E23">
        <v>0</v>
      </c>
      <c r="F23" s="40">
        <f t="shared" si="0"/>
        <v>1.2579471604938273</v>
      </c>
      <c r="G23" t="str">
        <f t="shared" si="1"/>
        <v>🟠 Über Ideal</v>
      </c>
    </row>
    <row r="24" spans="1:7" x14ac:dyDescent="0.45">
      <c r="A24" t="str">
        <v>Schwefel [mg]</v>
      </c>
      <c r="B24">
        <v>0</v>
      </c>
      <c r="C24">
        <v>0</v>
      </c>
      <c r="D24">
        <v>0</v>
      </c>
      <c r="E24">
        <v>0</v>
      </c>
      <c r="F24" s="40">
        <f t="shared" si="0"/>
        <v>0</v>
      </c>
      <c r="G24" t="str">
        <f t="shared" si="1"/>
        <v>🟢 Ideal</v>
      </c>
    </row>
    <row r="25" spans="1:7" x14ac:dyDescent="0.45">
      <c r="A25" t="str">
        <v>Vitamin D3 [µg]</v>
      </c>
      <c r="B25">
        <v>7.85</v>
      </c>
      <c r="C25">
        <v>0</v>
      </c>
      <c r="D25">
        <v>6.75</v>
      </c>
      <c r="E25">
        <v>33.75</v>
      </c>
      <c r="F25" s="40">
        <f t="shared" si="0"/>
        <v>1.162962962962963</v>
      </c>
      <c r="G25" t="str">
        <f t="shared" si="1"/>
        <v>🟠 Über Ideal</v>
      </c>
    </row>
    <row r="26" spans="1:7" x14ac:dyDescent="0.45">
      <c r="A26" t="str">
        <v>Vitamin E [mg]</v>
      </c>
      <c r="B26">
        <v>60.5045</v>
      </c>
      <c r="C26">
        <v>0</v>
      </c>
      <c r="D26">
        <v>13.5</v>
      </c>
      <c r="E26">
        <v>297</v>
      </c>
      <c r="F26" s="40">
        <f t="shared" si="0"/>
        <v>4.4818148148148147</v>
      </c>
      <c r="G26" t="str">
        <f t="shared" si="1"/>
        <v>🟠 Über Ideal</v>
      </c>
    </row>
    <row r="27" spans="1:7" x14ac:dyDescent="0.45">
      <c r="A27" t="str">
        <v>Vitamin A [µg]</v>
      </c>
      <c r="B27">
        <v>965.44839999999999</v>
      </c>
      <c r="C27">
        <v>0</v>
      </c>
      <c r="D27">
        <v>607.5</v>
      </c>
      <c r="E27">
        <v>121500</v>
      </c>
      <c r="F27" s="40">
        <f t="shared" si="0"/>
        <v>1.5892154732510289</v>
      </c>
      <c r="G27" t="str">
        <f t="shared" si="1"/>
        <v>🟠 Über Ideal</v>
      </c>
    </row>
    <row r="28" spans="1:7" x14ac:dyDescent="0.45">
      <c r="A28" t="str">
        <v>Vitamin B1 [µg]</v>
      </c>
      <c r="B28">
        <v>1799.9</v>
      </c>
      <c r="C28">
        <v>0</v>
      </c>
      <c r="D28">
        <v>540</v>
      </c>
      <c r="E28">
        <v>0</v>
      </c>
      <c r="F28" s="40">
        <f t="shared" si="0"/>
        <v>3.3331481481481484</v>
      </c>
      <c r="G28" t="str">
        <f t="shared" si="1"/>
        <v>🟠 Über Ideal</v>
      </c>
    </row>
    <row r="29" spans="1:7" x14ac:dyDescent="0.45">
      <c r="A29" t="str">
        <v>Vitamin B2 [µg]</v>
      </c>
      <c r="B29">
        <v>3238.9</v>
      </c>
      <c r="C29">
        <v>0</v>
      </c>
      <c r="D29">
        <v>1350</v>
      </c>
      <c r="E29">
        <v>0</v>
      </c>
      <c r="F29" s="40">
        <f t="shared" si="0"/>
        <v>2.3991851851851851</v>
      </c>
      <c r="G29" t="str">
        <f t="shared" si="1"/>
        <v>🟠 Über Ideal</v>
      </c>
    </row>
    <row r="30" spans="1:7" x14ac:dyDescent="0.45">
      <c r="A30" t="str">
        <v>Vit. B3/Niacin [µg]</v>
      </c>
      <c r="B30">
        <v>24573.1</v>
      </c>
      <c r="C30">
        <v>0</v>
      </c>
      <c r="D30">
        <v>5400</v>
      </c>
      <c r="E30">
        <v>0</v>
      </c>
      <c r="F30" s="40">
        <f t="shared" si="0"/>
        <v>4.5505740740740741</v>
      </c>
      <c r="G30" t="str">
        <f t="shared" si="1"/>
        <v>🟠 Über Ideal</v>
      </c>
    </row>
    <row r="31" spans="1:7" x14ac:dyDescent="0.45">
      <c r="A31" t="str">
        <v>Vitamin B6 [µg]</v>
      </c>
      <c r="B31">
        <v>2685.2809999999999</v>
      </c>
      <c r="C31">
        <v>0</v>
      </c>
      <c r="D31">
        <v>540</v>
      </c>
      <c r="E31">
        <v>0</v>
      </c>
      <c r="F31" s="40">
        <f t="shared" si="0"/>
        <v>4.9727425925925921</v>
      </c>
      <c r="G31" t="str">
        <f t="shared" si="1"/>
        <v>🟠 Über Ideal</v>
      </c>
    </row>
    <row r="32" spans="1:7" x14ac:dyDescent="0.45">
      <c r="A32" t="str">
        <v>Vitamin B12 [µg]</v>
      </c>
      <c r="B32">
        <v>31</v>
      </c>
      <c r="C32">
        <v>0</v>
      </c>
      <c r="D32">
        <v>13.5</v>
      </c>
      <c r="E32">
        <v>0</v>
      </c>
      <c r="F32" s="40">
        <f t="shared" si="0"/>
        <v>2.2962962962962963</v>
      </c>
      <c r="G32" t="str">
        <f t="shared" si="1"/>
        <v>🟠 Über Ideal</v>
      </c>
    </row>
    <row r="33" spans="1:7" x14ac:dyDescent="0.45">
      <c r="A33" t="str">
        <v>Vitamin C [mg]</v>
      </c>
      <c r="B33">
        <v>12.124500000000001</v>
      </c>
      <c r="C33">
        <v>0</v>
      </c>
      <c r="D33">
        <v>0</v>
      </c>
      <c r="E33">
        <v>0</v>
      </c>
      <c r="F33" s="40">
        <f t="shared" si="0"/>
        <v>0</v>
      </c>
      <c r="G33" t="str">
        <f t="shared" si="1"/>
        <v>🟠 Über Ideal</v>
      </c>
    </row>
    <row r="34" spans="1:7" x14ac:dyDescent="0.45">
      <c r="A34" t="str">
        <v>Vitamin K [µg]</v>
      </c>
      <c r="B34">
        <v>35.700000000000003</v>
      </c>
      <c r="C34">
        <v>0</v>
      </c>
      <c r="D34">
        <v>0</v>
      </c>
      <c r="E34">
        <v>0</v>
      </c>
      <c r="F34" s="40">
        <f t="shared" si="0"/>
        <v>0</v>
      </c>
      <c r="G34" t="str">
        <f t="shared" si="1"/>
        <v>🟠 Über Ideal</v>
      </c>
    </row>
    <row r="35" spans="1:7" x14ac:dyDescent="0.45">
      <c r="A35" t="str">
        <v>Folsäure [µg]</v>
      </c>
      <c r="B35">
        <v>122.91999999999999</v>
      </c>
      <c r="C35">
        <v>0</v>
      </c>
      <c r="D35">
        <v>108</v>
      </c>
      <c r="E35">
        <v>0</v>
      </c>
      <c r="F35" s="40">
        <f t="shared" si="0"/>
        <v>1.1381481481481481</v>
      </c>
      <c r="G35" t="str">
        <f t="shared" si="1"/>
        <v>🟢 Ideal</v>
      </c>
    </row>
    <row r="36" spans="1:7" x14ac:dyDescent="0.45">
      <c r="A36" t="str">
        <v>Biotin [µg]</v>
      </c>
      <c r="B36">
        <v>19.579999999999998</v>
      </c>
      <c r="C36">
        <v>0</v>
      </c>
      <c r="D36">
        <v>54</v>
      </c>
      <c r="E36">
        <v>0</v>
      </c>
      <c r="F36" s="40">
        <f t="shared" si="0"/>
        <v>0.36259259259259258</v>
      </c>
      <c r="G36" t="str">
        <f t="shared" si="1"/>
        <v>🟡 Unter Ideal</v>
      </c>
    </row>
    <row r="37" spans="1:7" x14ac:dyDescent="0.45">
      <c r="A37" t="str">
        <v>Lactose [g]</v>
      </c>
      <c r="B37">
        <v>0</v>
      </c>
      <c r="C37">
        <v>0</v>
      </c>
      <c r="D37">
        <v>0</v>
      </c>
      <c r="E37">
        <v>0</v>
      </c>
      <c r="F37" s="40">
        <f t="shared" si="0"/>
        <v>0</v>
      </c>
      <c r="G37" t="str">
        <f t="shared" si="1"/>
        <v>🟢 Ideal</v>
      </c>
    </row>
    <row r="38" spans="1:7" x14ac:dyDescent="0.45">
      <c r="A38" t="str">
        <v>Omega-3, gesamt [mg]</v>
      </c>
      <c r="B38">
        <v>2253.7919999999999</v>
      </c>
      <c r="C38">
        <v>0</v>
      </c>
      <c r="D38">
        <v>0</v>
      </c>
      <c r="E38">
        <v>0</v>
      </c>
      <c r="F38" s="40">
        <f t="shared" si="0"/>
        <v>0</v>
      </c>
      <c r="G38" t="str">
        <f t="shared" si="1"/>
        <v>🟠 Über Ideal</v>
      </c>
    </row>
    <row r="39" spans="1:7" x14ac:dyDescent="0.45">
      <c r="A39" t="str">
        <v>EPA [mg]</v>
      </c>
      <c r="B39">
        <v>1110</v>
      </c>
      <c r="C39">
        <v>486</v>
      </c>
      <c r="D39">
        <v>1215</v>
      </c>
      <c r="E39">
        <v>2430</v>
      </c>
      <c r="F39" s="40">
        <f t="shared" si="0"/>
        <v>0.9135802469135802</v>
      </c>
      <c r="G39" t="str">
        <f t="shared" si="1"/>
        <v>🟢 Ideal</v>
      </c>
    </row>
    <row r="40" spans="1:7" x14ac:dyDescent="0.45">
      <c r="A40" t="str">
        <v>DHA [mg]</v>
      </c>
      <c r="B40">
        <v>828.00000000000011</v>
      </c>
      <c r="C40">
        <v>324</v>
      </c>
      <c r="D40">
        <v>810</v>
      </c>
      <c r="E40">
        <v>1620</v>
      </c>
      <c r="F40" s="40">
        <f t="shared" si="0"/>
        <v>1.0222222222222224</v>
      </c>
      <c r="G40" t="str">
        <f t="shared" si="1"/>
        <v>🟢 Ideal</v>
      </c>
    </row>
    <row r="41" spans="1:7" x14ac:dyDescent="0.45">
      <c r="A41" t="str">
        <v>Omega-6, gesamt [mg]</v>
      </c>
      <c r="B41">
        <v>4530.2699999999995</v>
      </c>
      <c r="C41">
        <v>0</v>
      </c>
      <c r="D41">
        <v>0</v>
      </c>
      <c r="E41">
        <v>0</v>
      </c>
      <c r="F41" s="40">
        <f t="shared" si="0"/>
        <v>0</v>
      </c>
      <c r="G41" t="str">
        <f t="shared" si="1"/>
        <v>🟠 Über Ideal</v>
      </c>
    </row>
    <row r="42" spans="1:7" x14ac:dyDescent="0.45">
      <c r="A42" t="str">
        <v>Linolsäure [mg]</v>
      </c>
      <c r="B42">
        <v>4149.5880000000006</v>
      </c>
      <c r="C42">
        <v>1350</v>
      </c>
      <c r="D42">
        <v>4050</v>
      </c>
      <c r="E42">
        <v>0</v>
      </c>
      <c r="F42" s="40">
        <f t="shared" si="0"/>
        <v>1.0245896296296297</v>
      </c>
      <c r="G42" t="str">
        <f t="shared" si="1"/>
        <v>🟢 Ideal</v>
      </c>
    </row>
    <row r="43" spans="1:7" x14ac:dyDescent="0.45">
      <c r="A43" t="str">
        <v>Arginin [mg]</v>
      </c>
      <c r="B43">
        <v>7439.2999999999993</v>
      </c>
      <c r="C43">
        <v>1512</v>
      </c>
      <c r="D43">
        <v>1512</v>
      </c>
      <c r="E43">
        <v>0</v>
      </c>
      <c r="F43" s="40">
        <f t="shared" si="0"/>
        <v>4.9201719576719576</v>
      </c>
      <c r="G43" t="str">
        <f t="shared" si="1"/>
        <v>🟠 Über Ideal</v>
      </c>
    </row>
    <row r="44" spans="1:7" x14ac:dyDescent="0.45">
      <c r="A44" t="str">
        <v>Cystein [mg]</v>
      </c>
      <c r="B44">
        <v>56.6</v>
      </c>
      <c r="C44">
        <v>837</v>
      </c>
      <c r="D44">
        <v>1377</v>
      </c>
      <c r="E44">
        <v>0</v>
      </c>
      <c r="F44" s="40">
        <f t="shared" si="0"/>
        <v>4.1103848946986203E-2</v>
      </c>
      <c r="G44" t="str">
        <f t="shared" si="1"/>
        <v>🔴 Zu niedrig</v>
      </c>
    </row>
    <row r="45" spans="1:7" x14ac:dyDescent="0.45">
      <c r="A45" t="str">
        <v>Histidin [mg]</v>
      </c>
      <c r="B45">
        <v>3569</v>
      </c>
      <c r="C45">
        <v>864</v>
      </c>
      <c r="D45">
        <v>864</v>
      </c>
      <c r="E45">
        <v>0</v>
      </c>
      <c r="F45" s="40">
        <f t="shared" si="0"/>
        <v>4.1307870370370372</v>
      </c>
      <c r="G45" t="str">
        <f t="shared" si="1"/>
        <v>🟠 Über Ideal</v>
      </c>
    </row>
    <row r="46" spans="1:7" x14ac:dyDescent="0.45">
      <c r="A46" t="str">
        <v>Lysin [mg]</v>
      </c>
      <c r="B46">
        <v>6453.3</v>
      </c>
      <c r="C46">
        <v>1512</v>
      </c>
      <c r="D46">
        <v>1836</v>
      </c>
      <c r="E46">
        <v>0</v>
      </c>
      <c r="F46" s="40">
        <f t="shared" si="0"/>
        <v>3.5148692810457516</v>
      </c>
      <c r="G46" t="str">
        <f t="shared" si="1"/>
        <v>🟠 Über Ideal</v>
      </c>
    </row>
    <row r="47" spans="1:7" x14ac:dyDescent="0.45">
      <c r="A47" t="str">
        <v>Methionin [mg]</v>
      </c>
      <c r="B47">
        <v>5201.2</v>
      </c>
      <c r="C47">
        <v>1512</v>
      </c>
      <c r="D47">
        <v>2052</v>
      </c>
      <c r="E47">
        <v>0</v>
      </c>
      <c r="F47" s="40">
        <f t="shared" si="0"/>
        <v>2.5346978557504873</v>
      </c>
      <c r="G47" t="str">
        <f t="shared" si="1"/>
        <v>🟠 Über Ideal</v>
      </c>
    </row>
    <row r="48" spans="1:7" x14ac:dyDescent="0.45">
      <c r="A48" t="str">
        <v>Vitamin D I.E.</v>
      </c>
      <c r="B48">
        <v>314</v>
      </c>
      <c r="C48">
        <v>0</v>
      </c>
      <c r="D48">
        <v>270</v>
      </c>
      <c r="E48">
        <v>1350</v>
      </c>
      <c r="F48" s="40">
        <f t="shared" si="0"/>
        <v>1.162962962962963</v>
      </c>
      <c r="G48" t="str">
        <f t="shared" si="1"/>
        <v>🟠 Über Ideal</v>
      </c>
    </row>
    <row r="49" spans="1:7" x14ac:dyDescent="0.45">
      <c r="A49" t="str">
        <v>Vitamin A IE</v>
      </c>
      <c r="B49">
        <v>3214.9431720000002</v>
      </c>
      <c r="C49">
        <v>0</v>
      </c>
      <c r="D49">
        <v>2025</v>
      </c>
      <c r="E49">
        <v>405000</v>
      </c>
      <c r="F49" s="40">
        <f t="shared" si="0"/>
        <v>1.587626257777778</v>
      </c>
      <c r="G49" t="str">
        <f t="shared" si="1"/>
        <v>🟠 Über Ideal</v>
      </c>
    </row>
    <row r="50" spans="1:7" x14ac:dyDescent="0.45">
      <c r="A50" t="str">
        <v>Vitamin E IE</v>
      </c>
      <c r="B50">
        <v>90.151705000000007</v>
      </c>
      <c r="C50">
        <v>0</v>
      </c>
      <c r="D50">
        <v>20.149253731343283</v>
      </c>
      <c r="E50">
        <v>443.28358208955223</v>
      </c>
      <c r="F50" s="40">
        <f t="shared" si="0"/>
        <v>4.4741957296296304</v>
      </c>
      <c r="G50" t="str">
        <f t="shared" si="1"/>
        <v>🟠 Über Ideal</v>
      </c>
    </row>
  </sheetData>
  <conditionalFormatting sqref="F1:F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{E686B025-41FE-4E2B-8166-B456B9F3D743}</x14:id>
        </ext>
      </extLst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86B025-41FE-4E2B-8166-B456B9F3D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A7F0-25F3-4935-AC4A-BFE4C1D52644}">
  <dimension ref="A1:AZ580"/>
  <sheetViews>
    <sheetView tabSelected="1" zoomScale="128" zoomScaleNormal="115" workbookViewId="0">
      <pane xSplit="3" ySplit="1" topLeftCell="P2" activePane="bottomRight" state="frozen"/>
      <selection pane="topRight" activeCell="D1" sqref="D1"/>
      <selection pane="bottomLeft" activeCell="A2" sqref="A2"/>
      <selection pane="bottomRight" activeCell="R582" sqref="R582"/>
    </sheetView>
  </sheetViews>
  <sheetFormatPr baseColWidth="10" defaultRowHeight="14.25" x14ac:dyDescent="0.45"/>
  <cols>
    <col min="1" max="1" width="12.06640625" bestFit="1" customWidth="1"/>
    <col min="2" max="2" width="10.46484375" bestFit="1" customWidth="1"/>
    <col min="3" max="3" width="57" customWidth="1"/>
    <col min="4" max="4" width="18.3984375" style="9" bestFit="1" customWidth="1"/>
    <col min="5" max="5" width="17.06640625" style="9" bestFit="1" customWidth="1"/>
    <col min="6" max="6" width="18.796875" style="9" bestFit="1" customWidth="1"/>
    <col min="7" max="7" width="6" style="9" bestFit="1" customWidth="1"/>
    <col min="8" max="8" width="15.796875" style="9" bestFit="1" customWidth="1"/>
    <col min="9" max="9" width="13.06640625" style="9" bestFit="1" customWidth="1"/>
    <col min="10" max="10" width="17.06640625" style="9" bestFit="1" customWidth="1"/>
    <col min="11" max="11" width="17.73046875" style="9" bestFit="1" customWidth="1"/>
    <col min="12" max="12" width="15.796875" style="9" bestFit="1" customWidth="1"/>
    <col min="13" max="13" width="6.265625" style="9" bestFit="1" customWidth="1"/>
    <col min="14" max="14" width="18.1328125" style="9" bestFit="1" customWidth="1"/>
    <col min="15" max="15" width="19.06640625" style="9" bestFit="1" customWidth="1"/>
    <col min="16" max="16" width="20.6640625" style="9" bestFit="1" customWidth="1"/>
    <col min="17" max="17" width="18" style="9" bestFit="1" customWidth="1"/>
    <col min="18" max="18" width="16.9296875" style="9" bestFit="1" customWidth="1"/>
    <col min="19" max="19" width="12.73046875" style="9" bestFit="1" customWidth="1"/>
    <col min="20" max="20" width="15.73046875" style="9" bestFit="1" customWidth="1"/>
    <col min="21" max="21" width="14.73046875" style="9" bestFit="1" customWidth="1"/>
    <col min="22" max="22" width="15.46484375" style="9" bestFit="1" customWidth="1"/>
    <col min="23" max="23" width="16.19921875" style="9" bestFit="1" customWidth="1"/>
    <col min="24" max="24" width="17.06640625" style="9" bestFit="1" customWidth="1"/>
    <col min="25" max="25" width="13.53125" style="9" bestFit="1" customWidth="1"/>
    <col min="26" max="26" width="18.9296875" style="9" bestFit="1" customWidth="1"/>
    <col min="27" max="27" width="19.6640625" style="9" bestFit="1" customWidth="1"/>
    <col min="28" max="28" width="19" style="9" bestFit="1" customWidth="1"/>
    <col min="29" max="29" width="18.53125" style="9" bestFit="1" customWidth="1"/>
    <col min="30" max="31" width="20.06640625" style="9" bestFit="1" customWidth="1"/>
    <col min="32" max="32" width="22.53125" style="9" bestFit="1" customWidth="1"/>
    <col min="33" max="33" width="19.46484375" style="9" bestFit="1" customWidth="1"/>
    <col min="34" max="34" width="20.46484375" style="9" bestFit="1" customWidth="1"/>
    <col min="35" max="35" width="19.265625" style="9" bestFit="1" customWidth="1"/>
    <col min="36" max="36" width="18.53125" style="9" bestFit="1" customWidth="1"/>
    <col min="37" max="37" width="17.796875" style="9" bestFit="1" customWidth="1"/>
    <col min="38" max="38" width="15.46484375" style="9" bestFit="1" customWidth="1"/>
    <col min="39" max="39" width="16.06640625" style="9" bestFit="1" customWidth="1"/>
    <col min="40" max="40" width="24" style="9" bestFit="1" customWidth="1"/>
    <col min="41" max="41" width="13" style="9" bestFit="1" customWidth="1"/>
    <col min="42" max="42" width="13.3984375" style="9" bestFit="1" customWidth="1"/>
    <col min="43" max="43" width="24" style="9" bestFit="1" customWidth="1"/>
    <col min="44" max="44" width="18.265625" style="9" bestFit="1" customWidth="1"/>
    <col min="45" max="45" width="15.3984375" style="9" bestFit="1" customWidth="1"/>
    <col min="46" max="46" width="15.86328125" style="9" bestFit="1" customWidth="1"/>
    <col min="47" max="47" width="16" style="9" bestFit="1" customWidth="1"/>
    <col min="48" max="48" width="13.9296875" style="9" bestFit="1" customWidth="1"/>
    <col min="49" max="49" width="17.86328125" style="9" bestFit="1" customWidth="1"/>
    <col min="50" max="50" width="13.46484375" style="9" bestFit="1" customWidth="1"/>
    <col min="51" max="51" width="12.265625" bestFit="1" customWidth="1"/>
    <col min="52" max="52" width="12.19921875" bestFit="1" customWidth="1"/>
  </cols>
  <sheetData>
    <row r="1" spans="1:52" x14ac:dyDescent="0.45">
      <c r="A1">
        <v>1</v>
      </c>
      <c r="B1">
        <f>A1+1</f>
        <v>2</v>
      </c>
      <c r="C1">
        <f t="shared" ref="C1:L1" si="0">B1+1</f>
        <v>3</v>
      </c>
      <c r="D1" s="9">
        <f t="shared" si="0"/>
        <v>4</v>
      </c>
      <c r="E1" s="9">
        <f t="shared" si="0"/>
        <v>5</v>
      </c>
      <c r="F1" s="9">
        <f t="shared" si="0"/>
        <v>6</v>
      </c>
      <c r="G1" s="9">
        <f t="shared" si="0"/>
        <v>7</v>
      </c>
      <c r="H1" s="9">
        <f t="shared" si="0"/>
        <v>8</v>
      </c>
      <c r="I1" s="9">
        <f t="shared" si="0"/>
        <v>9</v>
      </c>
      <c r="J1" s="9">
        <f t="shared" si="0"/>
        <v>10</v>
      </c>
      <c r="K1" s="9">
        <f t="shared" si="0"/>
        <v>11</v>
      </c>
      <c r="L1" s="9">
        <f t="shared" si="0"/>
        <v>12</v>
      </c>
      <c r="M1" s="9">
        <f t="shared" ref="M1" si="1">L1+1</f>
        <v>13</v>
      </c>
      <c r="N1" s="9">
        <f t="shared" ref="N1" si="2">M1+1</f>
        <v>14</v>
      </c>
      <c r="O1" s="9">
        <f t="shared" ref="O1" si="3">N1+1</f>
        <v>15</v>
      </c>
      <c r="P1" s="9">
        <f t="shared" ref="P1" si="4">O1+1</f>
        <v>16</v>
      </c>
      <c r="Q1" s="9">
        <f t="shared" ref="Q1" si="5">P1+1</f>
        <v>17</v>
      </c>
      <c r="R1" s="9">
        <f t="shared" ref="R1" si="6">Q1+1</f>
        <v>18</v>
      </c>
      <c r="S1" s="9">
        <f t="shared" ref="S1" si="7">R1+1</f>
        <v>19</v>
      </c>
      <c r="T1" s="9">
        <f t="shared" ref="T1" si="8">S1+1</f>
        <v>20</v>
      </c>
      <c r="U1" s="9">
        <f t="shared" ref="U1" si="9">T1+1</f>
        <v>21</v>
      </c>
      <c r="V1" s="9">
        <f t="shared" ref="V1" si="10">U1+1</f>
        <v>22</v>
      </c>
      <c r="W1" s="9">
        <f t="shared" ref="W1" si="11">V1+1</f>
        <v>23</v>
      </c>
      <c r="X1" s="9">
        <f t="shared" ref="X1" si="12">W1+1</f>
        <v>24</v>
      </c>
      <c r="Y1" s="9">
        <f t="shared" ref="Y1" si="13">X1+1</f>
        <v>25</v>
      </c>
      <c r="Z1" s="9">
        <f t="shared" ref="Z1" si="14">Y1+1</f>
        <v>26</v>
      </c>
      <c r="AA1" s="9">
        <f t="shared" ref="AA1" si="15">Z1+1</f>
        <v>27</v>
      </c>
      <c r="AB1" s="9">
        <f t="shared" ref="AB1" si="16">AA1+1</f>
        <v>28</v>
      </c>
      <c r="AC1" s="9">
        <f t="shared" ref="AC1" si="17">AB1+1</f>
        <v>29</v>
      </c>
      <c r="AD1" s="9">
        <f t="shared" ref="AD1" si="18">AC1+1</f>
        <v>30</v>
      </c>
      <c r="AE1" s="9">
        <f t="shared" ref="AE1" si="19">AD1+1</f>
        <v>31</v>
      </c>
      <c r="AF1" s="9">
        <f t="shared" ref="AF1" si="20">AE1+1</f>
        <v>32</v>
      </c>
      <c r="AG1" s="9">
        <f t="shared" ref="AG1" si="21">AF1+1</f>
        <v>33</v>
      </c>
      <c r="AH1" s="9">
        <f t="shared" ref="AH1" si="22">AG1+1</f>
        <v>34</v>
      </c>
      <c r="AI1" s="9">
        <f t="shared" ref="AI1" si="23">AH1+1</f>
        <v>35</v>
      </c>
      <c r="AJ1" s="9">
        <f t="shared" ref="AJ1" si="24">AI1+1</f>
        <v>36</v>
      </c>
      <c r="AK1" s="9">
        <f t="shared" ref="AK1" si="25">AJ1+1</f>
        <v>37</v>
      </c>
      <c r="AL1" s="9">
        <f t="shared" ref="AL1" si="26">AK1+1</f>
        <v>38</v>
      </c>
      <c r="AM1" s="9">
        <f t="shared" ref="AM1" si="27">AL1+1</f>
        <v>39</v>
      </c>
      <c r="AN1" s="9">
        <f t="shared" ref="AN1" si="28">AM1+1</f>
        <v>40</v>
      </c>
      <c r="AO1" s="9">
        <f t="shared" ref="AO1" si="29">AN1+1</f>
        <v>41</v>
      </c>
      <c r="AP1" s="9">
        <f t="shared" ref="AP1" si="30">AO1+1</f>
        <v>42</v>
      </c>
      <c r="AQ1" s="9">
        <f t="shared" ref="AQ1" si="31">AP1+1</f>
        <v>43</v>
      </c>
      <c r="AR1" s="9">
        <f t="shared" ref="AR1" si="32">AQ1+1</f>
        <v>44</v>
      </c>
      <c r="AS1" s="9">
        <f t="shared" ref="AS1" si="33">AR1+1</f>
        <v>45</v>
      </c>
      <c r="AT1" s="9">
        <f t="shared" ref="AT1" si="34">AS1+1</f>
        <v>46</v>
      </c>
      <c r="AU1" s="9">
        <f t="shared" ref="AU1" si="35">AT1+1</f>
        <v>47</v>
      </c>
      <c r="AV1" s="9">
        <f>AU1+1</f>
        <v>48</v>
      </c>
      <c r="AW1" s="9">
        <f>AV1+1</f>
        <v>49</v>
      </c>
      <c r="AX1" s="9">
        <f t="shared" ref="AX1" si="36">AW1+1</f>
        <v>50</v>
      </c>
      <c r="AY1">
        <v>51</v>
      </c>
      <c r="AZ1">
        <v>52</v>
      </c>
    </row>
    <row r="2" spans="1:52" x14ac:dyDescent="0.45">
      <c r="A2" t="s">
        <v>0</v>
      </c>
      <c r="B2" s="1" t="s">
        <v>23</v>
      </c>
      <c r="C2" s="2" t="s">
        <v>43</v>
      </c>
      <c r="D2" s="12" t="s">
        <v>25</v>
      </c>
      <c r="E2" s="12" t="s">
        <v>42</v>
      </c>
      <c r="F2" s="12" t="s">
        <v>24</v>
      </c>
      <c r="G2" s="12" t="s">
        <v>26</v>
      </c>
      <c r="H2" s="12" t="s">
        <v>27</v>
      </c>
      <c r="I2" s="10" t="s">
        <v>44</v>
      </c>
      <c r="J2" s="12" t="s">
        <v>60</v>
      </c>
      <c r="K2" s="12" t="s">
        <v>2</v>
      </c>
      <c r="L2" s="12" t="s">
        <v>1</v>
      </c>
      <c r="M2" s="12" t="s">
        <v>1160</v>
      </c>
      <c r="N2" s="12" t="s">
        <v>7</v>
      </c>
      <c r="O2" s="12" t="s">
        <v>9</v>
      </c>
      <c r="P2" s="12" t="s">
        <v>8</v>
      </c>
      <c r="Q2" s="12" t="s">
        <v>4</v>
      </c>
      <c r="R2" s="12" t="s">
        <v>6</v>
      </c>
      <c r="S2" s="12" t="s">
        <v>1216</v>
      </c>
      <c r="T2" s="12" t="s">
        <v>11</v>
      </c>
      <c r="U2" s="12" t="s">
        <v>12</v>
      </c>
      <c r="V2" s="12" t="s">
        <v>61</v>
      </c>
      <c r="W2" s="12" t="s">
        <v>13</v>
      </c>
      <c r="X2" s="12" t="s">
        <v>14</v>
      </c>
      <c r="Y2" s="12" t="s">
        <v>28</v>
      </c>
      <c r="Z2" s="12" t="s">
        <v>10</v>
      </c>
      <c r="AA2" s="12" t="s">
        <v>29</v>
      </c>
      <c r="AB2" s="12" t="s">
        <v>30</v>
      </c>
      <c r="AC2" s="12" t="s">
        <v>62</v>
      </c>
      <c r="AD2" s="12" t="s">
        <v>31</v>
      </c>
      <c r="AE2" s="12" t="s">
        <v>32</v>
      </c>
      <c r="AF2" s="12" t="s">
        <v>33</v>
      </c>
      <c r="AG2" s="12" t="s">
        <v>34</v>
      </c>
      <c r="AH2" s="12" t="s">
        <v>35</v>
      </c>
      <c r="AI2" s="12" t="s">
        <v>36</v>
      </c>
      <c r="AJ2" s="12" t="s">
        <v>37</v>
      </c>
      <c r="AK2" s="12" t="s">
        <v>38</v>
      </c>
      <c r="AL2" s="12" t="s">
        <v>3</v>
      </c>
      <c r="AM2" s="12" t="s">
        <v>15</v>
      </c>
      <c r="AN2" s="12" t="s">
        <v>39</v>
      </c>
      <c r="AO2" s="12" t="s">
        <v>40</v>
      </c>
      <c r="AP2" s="12" t="s">
        <v>41</v>
      </c>
      <c r="AQ2" s="12" t="s">
        <v>16</v>
      </c>
      <c r="AR2" s="12" t="s">
        <v>17</v>
      </c>
      <c r="AS2" s="12" t="s">
        <v>18</v>
      </c>
      <c r="AT2" s="12" t="s">
        <v>19</v>
      </c>
      <c r="AU2" s="12" t="s">
        <v>20</v>
      </c>
      <c r="AV2" s="12" t="s">
        <v>21</v>
      </c>
      <c r="AW2" s="12" t="s">
        <v>22</v>
      </c>
      <c r="AX2" s="10" t="s">
        <v>59</v>
      </c>
      <c r="AY2" s="10" t="s">
        <v>63</v>
      </c>
      <c r="AZ2" s="10" t="s">
        <v>64</v>
      </c>
    </row>
    <row r="3" spans="1:52" hidden="1" x14ac:dyDescent="0.45">
      <c r="A3" t="s">
        <v>534</v>
      </c>
      <c r="B3" s="3" t="s">
        <v>367</v>
      </c>
      <c r="C3" s="4" t="s">
        <v>368</v>
      </c>
      <c r="D3" s="11">
        <v>119</v>
      </c>
      <c r="E3" s="13">
        <f>Tabelle1[[#This Row],[Energie '[kcal/100g']]]/239</f>
        <v>0.497907949790795</v>
      </c>
      <c r="F3" s="11">
        <v>4.4800000000000004</v>
      </c>
      <c r="G3" s="13">
        <f>Tabelle1[[#This Row],[Rohprotein '[g/100g']]]*0.85</f>
        <v>3.8080000000000003</v>
      </c>
      <c r="H3" s="11">
        <v>1.79</v>
      </c>
      <c r="I3" s="11">
        <f>Tabelle1[[#This Row],[TS]]-Tabelle1[[#This Row],[Rohprotein '[g/100g']]]-Tabelle1[[#This Row],[Rohfett '[g/100g']]]-Tabelle1[[#This Row],[Rohasche '[g/100g']]]-Tabelle1[[#This Row],[Rohfaser '[g/100g']]]</f>
        <v>19.650000000000006</v>
      </c>
      <c r="J3" s="11">
        <v>0</v>
      </c>
      <c r="K3" s="11">
        <v>0.48</v>
      </c>
      <c r="L3" s="11">
        <v>73.599999999999994</v>
      </c>
      <c r="M3" s="11">
        <f>100-Tabelle1[[#This Row],[Wasser '[g/100g']]]</f>
        <v>26.400000000000006</v>
      </c>
      <c r="N3" s="11">
        <v>54.6</v>
      </c>
      <c r="O3" s="11">
        <v>172.9</v>
      </c>
      <c r="P3" s="11">
        <v>81</v>
      </c>
      <c r="Q3" s="11">
        <v>0</v>
      </c>
      <c r="R3" s="11">
        <v>142</v>
      </c>
      <c r="S3" s="11"/>
      <c r="T3" s="11">
        <v>1.96</v>
      </c>
      <c r="U3" s="11">
        <v>1.24</v>
      </c>
      <c r="V3" s="9">
        <v>0</v>
      </c>
      <c r="W3" s="11">
        <v>172</v>
      </c>
      <c r="X3" s="11">
        <v>1200</v>
      </c>
      <c r="Y3" s="11">
        <v>0.8</v>
      </c>
      <c r="Z3" s="11"/>
      <c r="AA3" s="11">
        <v>0</v>
      </c>
      <c r="AB3" s="11">
        <v>0.312</v>
      </c>
      <c r="AC3" s="11">
        <v>0</v>
      </c>
      <c r="AD3" s="11">
        <v>2.3148999999999999E-2</v>
      </c>
      <c r="AE3" s="11">
        <v>2.392E-2</v>
      </c>
      <c r="AF3" s="11">
        <v>0.13</v>
      </c>
      <c r="AG3" s="11">
        <v>33</v>
      </c>
      <c r="AH3" s="11">
        <v>0</v>
      </c>
      <c r="AI3" s="11">
        <v>0</v>
      </c>
      <c r="AJ3" s="11">
        <v>0</v>
      </c>
      <c r="AK3" s="11">
        <v>21.3</v>
      </c>
      <c r="AL3" s="11">
        <v>0.56999999999999995</v>
      </c>
      <c r="AM3" s="11">
        <v>0</v>
      </c>
      <c r="AN3" s="11">
        <v>1.4999999999999999E-2</v>
      </c>
      <c r="AO3" s="11">
        <v>0</v>
      </c>
      <c r="AP3" s="11">
        <v>0</v>
      </c>
      <c r="AQ3" s="11">
        <v>0.78</v>
      </c>
      <c r="AR3" s="11">
        <v>0.78</v>
      </c>
      <c r="AS3" s="11">
        <v>0.4</v>
      </c>
      <c r="AT3" s="11">
        <v>0.11</v>
      </c>
      <c r="AU3" s="11">
        <v>0.12</v>
      </c>
      <c r="AV3" s="11">
        <v>0.27</v>
      </c>
      <c r="AW3" s="11">
        <v>0.11</v>
      </c>
      <c r="AX3" s="9">
        <f>Tabelle1[[#This Row],[Vitamin D3 '[µg/100g']]]*40</f>
        <v>0</v>
      </c>
      <c r="AY3" s="9">
        <f>Tabelle1[[#This Row],[Vitamin A '[µg/100g']]]*3.33</f>
        <v>0</v>
      </c>
      <c r="AZ3" s="9">
        <f>Tabelle1[[#This Row],[Vitamin E '[mg/100g']]]*1.49</f>
        <v>0.46488000000000002</v>
      </c>
    </row>
    <row r="4" spans="1:52" hidden="1" x14ac:dyDescent="0.45">
      <c r="A4" t="s">
        <v>534</v>
      </c>
      <c r="B4" s="3" t="s">
        <v>369</v>
      </c>
      <c r="C4" s="4" t="s">
        <v>370</v>
      </c>
      <c r="D4" s="11">
        <v>393</v>
      </c>
      <c r="E4" s="13">
        <f>Tabelle1[[#This Row],[Energie '[kcal/100g']]]/239</f>
        <v>1.6443514644351465</v>
      </c>
      <c r="F4" s="11">
        <v>13.24</v>
      </c>
      <c r="G4" s="13">
        <f>Tabelle1[[#This Row],[Rohprotein '[g/100g']]]*0.85</f>
        <v>11.254</v>
      </c>
      <c r="H4" s="11">
        <v>5.9</v>
      </c>
      <c r="I4" s="11">
        <f>Tabelle1[[#This Row],[TS]]-Tabelle1[[#This Row],[Rohprotein '[g/100g']]]-Tabelle1[[#This Row],[Rohfett '[g/100g']]]-Tabelle1[[#This Row],[Rohasche '[g/100g']]]-Tabelle1[[#This Row],[Rohfaser '[g/100g']]]</f>
        <v>71.419999999999987</v>
      </c>
      <c r="J4" s="11">
        <v>0</v>
      </c>
      <c r="K4" s="11">
        <v>2.04</v>
      </c>
      <c r="L4" s="11">
        <v>7.4</v>
      </c>
      <c r="M4" s="11">
        <f>100-Tabelle1[[#This Row],[Wasser '[g/100g']]]</f>
        <v>92.6</v>
      </c>
      <c r="N4" s="11">
        <v>162</v>
      </c>
      <c r="O4" s="11">
        <v>390.5</v>
      </c>
      <c r="P4" s="11">
        <v>208.2</v>
      </c>
      <c r="Q4" s="11">
        <v>1.1000000000000001</v>
      </c>
      <c r="R4" s="11">
        <v>399.5</v>
      </c>
      <c r="S4" s="11"/>
      <c r="T4" s="11">
        <v>6.0921000000000003</v>
      </c>
      <c r="U4" s="11">
        <v>3.0518999999999998</v>
      </c>
      <c r="V4" s="11">
        <v>0</v>
      </c>
      <c r="W4" s="11">
        <v>464.3</v>
      </c>
      <c r="X4" s="11">
        <v>2312</v>
      </c>
      <c r="Y4" s="11">
        <v>1.6</v>
      </c>
      <c r="Z4" s="11"/>
      <c r="AA4" s="11">
        <v>0</v>
      </c>
      <c r="AB4" s="11">
        <v>0.75</v>
      </c>
      <c r="AC4" s="11">
        <v>0</v>
      </c>
      <c r="AD4" s="11">
        <v>0</v>
      </c>
      <c r="AE4" s="11">
        <v>9.3759999999999996E-2</v>
      </c>
      <c r="AF4" s="11">
        <v>0.55000000000000004</v>
      </c>
      <c r="AG4" s="11">
        <v>139</v>
      </c>
      <c r="AH4" s="11">
        <v>0</v>
      </c>
      <c r="AI4" s="11">
        <v>0</v>
      </c>
      <c r="AJ4" s="11">
        <v>0.17399999999999999</v>
      </c>
      <c r="AK4" s="11">
        <v>51.2</v>
      </c>
      <c r="AL4" s="11">
        <v>2.95</v>
      </c>
      <c r="AM4" s="11">
        <v>0</v>
      </c>
      <c r="AN4" s="11">
        <v>5.1999999999999998E-2</v>
      </c>
      <c r="AO4" s="11">
        <v>0</v>
      </c>
      <c r="AP4" s="11">
        <v>0</v>
      </c>
      <c r="AQ4" s="11">
        <v>2.56</v>
      </c>
      <c r="AR4" s="11">
        <v>2.56</v>
      </c>
      <c r="AS4" s="11">
        <v>1.05</v>
      </c>
      <c r="AT4" s="11">
        <v>0.25</v>
      </c>
      <c r="AU4" s="11">
        <v>0.34</v>
      </c>
      <c r="AV4" s="11">
        <v>0.72</v>
      </c>
      <c r="AW4" s="11">
        <v>0.28999999999999998</v>
      </c>
      <c r="AX4" s="9">
        <f>Tabelle1[[#This Row],[Vitamin D3 '[µg/100g']]]*40</f>
        <v>0</v>
      </c>
      <c r="AY4" s="9">
        <f>Tabelle1[[#This Row],[Vitamin A '[µg/100g']]]*3.33</f>
        <v>0</v>
      </c>
      <c r="AZ4" s="9">
        <f>Tabelle1[[#This Row],[Vitamin E '[mg/100g']]]*1.49</f>
        <v>1.1174999999999999</v>
      </c>
    </row>
    <row r="5" spans="1:52" hidden="1" x14ac:dyDescent="0.45">
      <c r="A5" t="s">
        <v>534</v>
      </c>
      <c r="B5" s="3" t="s">
        <v>371</v>
      </c>
      <c r="C5" s="4" t="s">
        <v>372</v>
      </c>
      <c r="D5" s="11">
        <v>377</v>
      </c>
      <c r="E5" s="13">
        <f>Tabelle1[[#This Row],[Energie '[kcal/100g']]]/239</f>
        <v>1.5774058577405858</v>
      </c>
      <c r="F5" s="11">
        <v>14.04</v>
      </c>
      <c r="G5" s="13">
        <f>Tabelle1[[#This Row],[Rohprotein '[g/100g']]]*0.85</f>
        <v>11.933999999999999</v>
      </c>
      <c r="H5" s="11">
        <v>5.93</v>
      </c>
      <c r="I5" s="11">
        <f>Tabelle1[[#This Row],[TS]]-Tabelle1[[#This Row],[Rohprotein '[g/100g']]]-Tabelle1[[#This Row],[Rohfett '[g/100g']]]-Tabelle1[[#This Row],[Rohasche '[g/100g']]]-Tabelle1[[#This Row],[Rohfaser '[g/100g']]]</f>
        <v>67.769999999999982</v>
      </c>
      <c r="J5" s="11">
        <v>0</v>
      </c>
      <c r="K5" s="11">
        <v>2.06</v>
      </c>
      <c r="L5" s="11">
        <v>10.199999999999999</v>
      </c>
      <c r="M5" s="11">
        <f>100-Tabelle1[[#This Row],[Wasser '[g/100g']]]</f>
        <v>89.8</v>
      </c>
      <c r="N5" s="11">
        <v>170.9</v>
      </c>
      <c r="O5" s="11">
        <v>433.2</v>
      </c>
      <c r="P5" s="11">
        <v>234.9</v>
      </c>
      <c r="Q5" s="11">
        <v>0.7</v>
      </c>
      <c r="R5" s="11">
        <v>413.6</v>
      </c>
      <c r="S5" s="11"/>
      <c r="T5" s="11">
        <v>7.0808</v>
      </c>
      <c r="U5" s="11">
        <v>2.7458</v>
      </c>
      <c r="V5" s="11">
        <v>0</v>
      </c>
      <c r="W5" s="11">
        <v>508.8</v>
      </c>
      <c r="X5" s="11">
        <v>2598.8000000000002</v>
      </c>
      <c r="Y5" s="11">
        <v>2.5</v>
      </c>
      <c r="Z5" s="11"/>
      <c r="AA5" s="11">
        <v>0</v>
      </c>
      <c r="AB5" s="11">
        <v>0.93</v>
      </c>
      <c r="AC5" s="11">
        <v>0</v>
      </c>
      <c r="AD5" s="11">
        <v>0.106128</v>
      </c>
      <c r="AE5" s="11">
        <v>0.10183</v>
      </c>
      <c r="AF5" s="11">
        <v>0.48</v>
      </c>
      <c r="AG5" s="11">
        <v>139</v>
      </c>
      <c r="AH5" s="11">
        <v>0</v>
      </c>
      <c r="AI5" s="11">
        <v>0</v>
      </c>
      <c r="AJ5" s="11">
        <v>0</v>
      </c>
      <c r="AK5" s="11">
        <v>90.6</v>
      </c>
      <c r="AL5" s="11">
        <v>2.25</v>
      </c>
      <c r="AM5" s="11">
        <v>0</v>
      </c>
      <c r="AN5" s="11">
        <v>5.0999999999999997E-2</v>
      </c>
      <c r="AO5" s="11">
        <v>0</v>
      </c>
      <c r="AP5" s="11">
        <v>0</v>
      </c>
      <c r="AQ5" s="11">
        <v>2.58</v>
      </c>
      <c r="AR5" s="11">
        <v>2.58</v>
      </c>
      <c r="AS5" s="11">
        <v>1.26</v>
      </c>
      <c r="AT5" s="11">
        <v>0.36</v>
      </c>
      <c r="AU5" s="11">
        <v>0.38</v>
      </c>
      <c r="AV5" s="11">
        <v>0.86</v>
      </c>
      <c r="AW5" s="11">
        <v>0.34</v>
      </c>
      <c r="AX5" s="9">
        <f>Tabelle1[[#This Row],[Vitamin D3 '[µg/100g']]]*40</f>
        <v>0</v>
      </c>
      <c r="AY5" s="9">
        <f>Tabelle1[[#This Row],[Vitamin A '[µg/100g']]]*3.33</f>
        <v>0</v>
      </c>
      <c r="AZ5" s="9">
        <f>Tabelle1[[#This Row],[Vitamin E '[mg/100g']]]*1.49</f>
        <v>1.3857000000000002</v>
      </c>
    </row>
    <row r="6" spans="1:52" hidden="1" x14ac:dyDescent="0.45">
      <c r="A6" t="s">
        <v>972</v>
      </c>
      <c r="B6" s="3"/>
      <c r="C6" s="4" t="s">
        <v>1168</v>
      </c>
      <c r="D6" s="11">
        <v>841.5</v>
      </c>
      <c r="E6" s="11">
        <f>Tabelle1[[#This Row],[Energie '[kcal/100g']]]/239</f>
        <v>3.5209205020920504</v>
      </c>
      <c r="F6" s="11">
        <v>0</v>
      </c>
      <c r="G6" s="11">
        <f>Tabelle1[[#This Row],[Rohprotein '[g/100g']]]*0.85</f>
        <v>0</v>
      </c>
      <c r="H6" s="11">
        <v>99</v>
      </c>
      <c r="I6" s="11">
        <f>Tabelle1[[#This Row],[TS]]-Tabelle1[[#This Row],[Rohprotein '[g/100g']]]-Tabelle1[[#This Row],[Rohfett '[g/100g']]]-Tabelle1[[#This Row],[Rohasche '[g/100g']]]-Tabelle1[[#This Row],[Rohfaser '[g/100g']]]</f>
        <v>1</v>
      </c>
      <c r="J6" s="11">
        <v>0</v>
      </c>
      <c r="K6" s="11">
        <v>0</v>
      </c>
      <c r="L6" s="11">
        <v>0</v>
      </c>
      <c r="M6" s="11">
        <f>100-Tabelle1[[#This Row],[Wasser '[g/100g']]]</f>
        <v>100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/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/>
      <c r="AA6" s="11">
        <v>0</v>
      </c>
      <c r="AB6" s="11">
        <v>725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18.5</v>
      </c>
      <c r="AP6" s="11">
        <v>13.8</v>
      </c>
      <c r="AQ6" s="11">
        <v>0</v>
      </c>
      <c r="AR6" s="11">
        <v>1.7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9">
        <f>Tabelle1[[#This Row],[Vitamin D3 '[µg/100g']]]*40</f>
        <v>0</v>
      </c>
      <c r="AY6" s="9">
        <f>Tabelle1[[#This Row],[Vitamin A '[µg/100g']]]*3.33</f>
        <v>0</v>
      </c>
      <c r="AZ6" s="9">
        <f>Tabelle1[[#This Row],[Vitamin E '[mg/100g']]]*1.49</f>
        <v>1080.25</v>
      </c>
    </row>
    <row r="7" spans="1:52" hidden="1" x14ac:dyDescent="0.45">
      <c r="A7" t="s">
        <v>916</v>
      </c>
      <c r="B7" s="5" t="s">
        <v>878</v>
      </c>
      <c r="C7" s="6" t="s">
        <v>879</v>
      </c>
      <c r="D7" s="13">
        <v>60</v>
      </c>
      <c r="E7" s="11">
        <f>Tabelle1[[#This Row],[Energie '[kcal/100g']]]/239</f>
        <v>0.2510460251046025</v>
      </c>
      <c r="F7" s="13">
        <v>0.437</v>
      </c>
      <c r="G7" s="11">
        <f>Tabelle1[[#This Row],[Rohprotein '[g/100g']]]*0.85</f>
        <v>0.37145</v>
      </c>
      <c r="H7" s="13">
        <v>0.51500000000000001</v>
      </c>
      <c r="I7" s="11">
        <f>Tabelle1[[#This Row],[TS]]-Tabelle1[[#This Row],[Rohprotein '[g/100g']]]-Tabelle1[[#This Row],[Rohfett '[g/100g']]]-Tabelle1[[#This Row],[Rohasche '[g/100g']]]-Tabelle1[[#This Row],[Rohfaser '[g/100g']]]</f>
        <v>15.699000000000003</v>
      </c>
      <c r="J7" s="11">
        <v>0</v>
      </c>
      <c r="K7" s="13">
        <v>0.249</v>
      </c>
      <c r="L7" s="13">
        <v>83.1</v>
      </c>
      <c r="M7" s="13">
        <f>100-Tabelle1[[#This Row],[Wasser '[g/100g']]]</f>
        <v>16.900000000000006</v>
      </c>
      <c r="N7" s="13">
        <v>5</v>
      </c>
      <c r="O7" s="13">
        <v>10.86</v>
      </c>
      <c r="P7" s="13">
        <v>5</v>
      </c>
      <c r="Q7" s="13">
        <v>1</v>
      </c>
      <c r="R7" s="13">
        <v>109</v>
      </c>
      <c r="S7" s="13"/>
      <c r="T7" s="13">
        <v>0.1</v>
      </c>
      <c r="U7" s="13">
        <v>0.03</v>
      </c>
      <c r="V7" s="11">
        <v>0</v>
      </c>
      <c r="W7" s="13">
        <v>34</v>
      </c>
      <c r="X7" s="13">
        <v>50</v>
      </c>
      <c r="Y7" s="13">
        <v>2</v>
      </c>
      <c r="Z7" s="13"/>
      <c r="AA7" s="13">
        <v>0</v>
      </c>
      <c r="AB7" s="13">
        <v>0.17699999999999999</v>
      </c>
      <c r="AC7" s="13">
        <v>4</v>
      </c>
      <c r="AD7" s="13">
        <v>8.9999999999999993E-3</v>
      </c>
      <c r="AE7" s="13">
        <v>3.5999999999999997E-2</v>
      </c>
      <c r="AF7" s="13">
        <v>8.7999999999999995E-2</v>
      </c>
      <c r="AG7" s="13">
        <v>51.67</v>
      </c>
      <c r="AH7" s="13">
        <v>0</v>
      </c>
      <c r="AI7" s="13">
        <v>7.5410000000000004</v>
      </c>
      <c r="AJ7" s="13">
        <v>5</v>
      </c>
      <c r="AK7" s="13">
        <v>2</v>
      </c>
      <c r="AL7" s="13">
        <v>1</v>
      </c>
      <c r="AM7" s="13">
        <v>0</v>
      </c>
      <c r="AN7" s="13">
        <v>4.4999999999999998E-2</v>
      </c>
      <c r="AO7" s="13">
        <v>0</v>
      </c>
      <c r="AP7" s="13">
        <v>0</v>
      </c>
      <c r="AQ7" s="13">
        <v>0.20669999999999999</v>
      </c>
      <c r="AR7" s="13">
        <v>0.20669999999999999</v>
      </c>
      <c r="AS7" s="13">
        <v>8.0000000000000002E-3</v>
      </c>
      <c r="AT7" s="13">
        <v>1E-3</v>
      </c>
      <c r="AU7" s="13">
        <v>6.0000000000000001E-3</v>
      </c>
      <c r="AV7" s="13">
        <v>1.4999999999999999E-2</v>
      </c>
      <c r="AW7" s="13">
        <v>3.0000000000000001E-3</v>
      </c>
      <c r="AX7" s="9">
        <f>Tabelle1[[#This Row],[Vitamin D3 '[µg/100g']]]*40</f>
        <v>0</v>
      </c>
      <c r="AY7" s="9">
        <f>Tabelle1[[#This Row],[Vitamin A '[µg/100g']]]*3.33</f>
        <v>13.32</v>
      </c>
      <c r="AZ7" s="9">
        <f>Tabelle1[[#This Row],[Vitamin E '[mg/100g']]]*1.49</f>
        <v>0.26372999999999996</v>
      </c>
    </row>
    <row r="8" spans="1:52" hidden="1" x14ac:dyDescent="0.45">
      <c r="A8" t="s">
        <v>916</v>
      </c>
      <c r="B8" s="3" t="s">
        <v>880</v>
      </c>
      <c r="C8" s="4" t="s">
        <v>881</v>
      </c>
      <c r="D8" s="11">
        <v>242</v>
      </c>
      <c r="E8" s="11">
        <f>Tabelle1[[#This Row],[Energie '[kcal/100g']]]/239</f>
        <v>1.0125523012552302</v>
      </c>
      <c r="F8" s="11">
        <v>1.29</v>
      </c>
      <c r="G8" s="11">
        <f>Tabelle1[[#This Row],[Rohprotein '[g/100g']]]*0.85</f>
        <v>1.0965</v>
      </c>
      <c r="H8" s="11">
        <v>0</v>
      </c>
      <c r="I8" s="11">
        <f>Tabelle1[[#This Row],[TS]]-Tabelle1[[#This Row],[Rohprotein '[g/100g']]]-Tabelle1[[#This Row],[Rohfett '[g/100g']]]-Tabelle1[[#This Row],[Rohasche '[g/100g']]]-Tabelle1[[#This Row],[Rohfaser '[g/100g']]]</f>
        <v>65.16</v>
      </c>
      <c r="J8" s="11">
        <v>0</v>
      </c>
      <c r="K8" s="11">
        <v>1.35</v>
      </c>
      <c r="L8" s="11">
        <v>32.200000000000003</v>
      </c>
      <c r="M8" s="11">
        <f>100-Tabelle1[[#This Row],[Wasser '[g/100g']]]</f>
        <v>67.8</v>
      </c>
      <c r="N8" s="11">
        <v>18</v>
      </c>
      <c r="O8" s="11">
        <v>40.200000000000003</v>
      </c>
      <c r="P8" s="11">
        <v>17.7</v>
      </c>
      <c r="Q8" s="11">
        <v>80.8</v>
      </c>
      <c r="R8" s="11">
        <v>554.5</v>
      </c>
      <c r="S8" s="11"/>
      <c r="T8" s="11">
        <v>0.505</v>
      </c>
      <c r="U8" s="11">
        <v>0.09</v>
      </c>
      <c r="V8" s="11">
        <v>0</v>
      </c>
      <c r="W8" s="11">
        <v>225</v>
      </c>
      <c r="X8" s="11">
        <v>120</v>
      </c>
      <c r="Y8" s="11">
        <v>8</v>
      </c>
      <c r="Z8" s="11"/>
      <c r="AA8" s="11">
        <v>0</v>
      </c>
      <c r="AB8" s="11">
        <v>0.71</v>
      </c>
      <c r="AC8" s="11">
        <v>7</v>
      </c>
      <c r="AD8" s="11">
        <v>0.03</v>
      </c>
      <c r="AE8" s="11">
        <v>0.08</v>
      </c>
      <c r="AF8" s="11">
        <v>0.26</v>
      </c>
      <c r="AG8" s="11">
        <v>105</v>
      </c>
      <c r="AH8" s="11">
        <v>0</v>
      </c>
      <c r="AI8" s="11">
        <v>8</v>
      </c>
      <c r="AJ8" s="11">
        <v>3</v>
      </c>
      <c r="AK8" s="11">
        <v>4.4000000000000004</v>
      </c>
      <c r="AL8" s="11">
        <v>1.45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0.03</v>
      </c>
      <c r="AT8" s="11">
        <v>0</v>
      </c>
      <c r="AU8" s="11">
        <v>0.02</v>
      </c>
      <c r="AV8" s="11">
        <v>0.06</v>
      </c>
      <c r="AW8" s="11">
        <v>0</v>
      </c>
      <c r="AX8" s="9">
        <f>Tabelle1[[#This Row],[Vitamin D3 '[µg/100g']]]*40</f>
        <v>0</v>
      </c>
      <c r="AY8" s="9">
        <f>Tabelle1[[#This Row],[Vitamin A '[µg/100g']]]*3.33</f>
        <v>23.310000000000002</v>
      </c>
      <c r="AZ8" s="9">
        <f>Tabelle1[[#This Row],[Vitamin E '[mg/100g']]]*1.49</f>
        <v>1.0578999999999998</v>
      </c>
    </row>
    <row r="9" spans="1:52" hidden="1" x14ac:dyDescent="0.45">
      <c r="A9" t="s">
        <v>916</v>
      </c>
      <c r="B9" s="3" t="s">
        <v>882</v>
      </c>
      <c r="C9" s="4" t="s">
        <v>883</v>
      </c>
      <c r="D9" s="11">
        <v>43</v>
      </c>
      <c r="E9" s="11">
        <f>Tabelle1[[#This Row],[Energie '[kcal/100g']]]/239</f>
        <v>0.1799163179916318</v>
      </c>
      <c r="F9" s="11">
        <v>0.3</v>
      </c>
      <c r="G9" s="11">
        <f>Tabelle1[[#This Row],[Rohprotein '[g/100g']]]*0.85</f>
        <v>0.255</v>
      </c>
      <c r="H9" s="11">
        <v>0.13</v>
      </c>
      <c r="I9" s="11">
        <f>Tabelle1[[#This Row],[TS]]-Tabelle1[[#This Row],[Rohprotein '[g/100g']]]-Tabelle1[[#This Row],[Rohfett '[g/100g']]]-Tabelle1[[#This Row],[Rohasche '[g/100g']]]-Tabelle1[[#This Row],[Rohfaser '[g/100g']]]</f>
        <v>16.93</v>
      </c>
      <c r="J9" s="11">
        <v>0</v>
      </c>
      <c r="K9" s="11">
        <v>0.17</v>
      </c>
      <c r="L9" s="11">
        <v>82.47</v>
      </c>
      <c r="M9" s="11">
        <f>100-Tabelle1[[#This Row],[Wasser '[g/100g']]]</f>
        <v>17.53</v>
      </c>
      <c r="N9" s="11">
        <v>5</v>
      </c>
      <c r="O9" s="11">
        <v>9</v>
      </c>
      <c r="P9" s="11">
        <v>6</v>
      </c>
      <c r="Q9" s="11">
        <v>1</v>
      </c>
      <c r="R9" s="11">
        <v>110</v>
      </c>
      <c r="S9" s="11"/>
      <c r="T9" s="11">
        <v>0.12</v>
      </c>
      <c r="U9" s="11">
        <v>0.01</v>
      </c>
      <c r="V9" s="11">
        <v>0</v>
      </c>
      <c r="W9" s="11">
        <v>30</v>
      </c>
      <c r="X9" s="11">
        <v>20</v>
      </c>
      <c r="Y9" s="11">
        <v>4</v>
      </c>
      <c r="Z9" s="11"/>
      <c r="AA9" s="11">
        <v>0</v>
      </c>
      <c r="AB9" s="11">
        <v>0.115</v>
      </c>
      <c r="AC9" s="11">
        <v>5</v>
      </c>
      <c r="AD9" s="11">
        <v>1.0999999999999999E-2</v>
      </c>
      <c r="AE9" s="11">
        <v>8.9999999999999993E-3</v>
      </c>
      <c r="AF9" s="11">
        <v>0.1</v>
      </c>
      <c r="AG9" s="11">
        <v>43</v>
      </c>
      <c r="AH9" s="11">
        <v>0</v>
      </c>
      <c r="AI9" s="11">
        <v>9</v>
      </c>
      <c r="AJ9" s="11">
        <v>0.6</v>
      </c>
      <c r="AK9" s="11">
        <v>2</v>
      </c>
      <c r="AL9" s="11">
        <v>1.2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6.0000000000000001E-3</v>
      </c>
      <c r="AT9" s="11">
        <v>1E-3</v>
      </c>
      <c r="AU9" s="11">
        <v>5.0000000000000001E-3</v>
      </c>
      <c r="AV9" s="11">
        <v>1.2999999999999999E-2</v>
      </c>
      <c r="AW9" s="11">
        <v>1E-3</v>
      </c>
      <c r="AX9" s="9">
        <f>Tabelle1[[#This Row],[Vitamin D3 '[µg/100g']]]*40</f>
        <v>0</v>
      </c>
      <c r="AY9" s="9">
        <f>Tabelle1[[#This Row],[Vitamin A '[µg/100g']]]*3.33</f>
        <v>16.649999999999999</v>
      </c>
      <c r="AZ9" s="9">
        <f>Tabelle1[[#This Row],[Vitamin E '[mg/100g']]]*1.49</f>
        <v>0.17135</v>
      </c>
    </row>
    <row r="10" spans="1:52" hidden="1" x14ac:dyDescent="0.45">
      <c r="A10" t="s">
        <v>916</v>
      </c>
      <c r="B10" s="3" t="s">
        <v>884</v>
      </c>
      <c r="C10" s="4" t="s">
        <v>885</v>
      </c>
      <c r="D10" s="11">
        <v>242</v>
      </c>
      <c r="E10" s="11">
        <f>Tabelle1[[#This Row],[Energie '[kcal/100g']]]/239</f>
        <v>1.0125523012552302</v>
      </c>
      <c r="F10" s="11">
        <v>1.29</v>
      </c>
      <c r="G10" s="11">
        <f>Tabelle1[[#This Row],[Rohprotein '[g/100g']]]*0.85</f>
        <v>1.0965</v>
      </c>
      <c r="H10" s="11">
        <v>0</v>
      </c>
      <c r="I10" s="11">
        <f>Tabelle1[[#This Row],[TS]]-Tabelle1[[#This Row],[Rohprotein '[g/100g']]]-Tabelle1[[#This Row],[Rohfett '[g/100g']]]-Tabelle1[[#This Row],[Rohasche '[g/100g']]]-Tabelle1[[#This Row],[Rohfaser '[g/100g']]]</f>
        <v>65.16</v>
      </c>
      <c r="J10" s="11">
        <v>0</v>
      </c>
      <c r="K10" s="11">
        <v>1.35</v>
      </c>
      <c r="L10" s="11">
        <v>32.200000000000003</v>
      </c>
      <c r="M10" s="11">
        <f>100-Tabelle1[[#This Row],[Wasser '[g/100g']]]</f>
        <v>67.8</v>
      </c>
      <c r="N10" s="11">
        <v>18</v>
      </c>
      <c r="O10" s="11">
        <v>40.200000000000003</v>
      </c>
      <c r="P10" s="11">
        <v>17.7</v>
      </c>
      <c r="Q10" s="11">
        <v>80.8</v>
      </c>
      <c r="R10" s="11">
        <v>554.5</v>
      </c>
      <c r="S10" s="11"/>
      <c r="T10" s="11">
        <v>0.505</v>
      </c>
      <c r="U10" s="11">
        <v>0.09</v>
      </c>
      <c r="V10" s="11">
        <v>0</v>
      </c>
      <c r="W10" s="11">
        <v>225</v>
      </c>
      <c r="X10" s="11">
        <v>120</v>
      </c>
      <c r="Y10" s="11">
        <v>0</v>
      </c>
      <c r="Z10" s="11"/>
      <c r="AA10" s="11">
        <v>0</v>
      </c>
      <c r="AB10" s="11">
        <v>0.71</v>
      </c>
      <c r="AC10" s="11">
        <v>7</v>
      </c>
      <c r="AD10" s="11">
        <v>0.03</v>
      </c>
      <c r="AE10" s="11">
        <v>0.08</v>
      </c>
      <c r="AF10" s="11">
        <v>0.26</v>
      </c>
      <c r="AG10" s="11">
        <v>105</v>
      </c>
      <c r="AH10" s="11">
        <v>0</v>
      </c>
      <c r="AI10" s="11">
        <v>8</v>
      </c>
      <c r="AJ10" s="11">
        <v>3</v>
      </c>
      <c r="AK10" s="11">
        <v>4.4000000000000004</v>
      </c>
      <c r="AL10" s="11">
        <v>1.45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3.7999999999999999E-2</v>
      </c>
      <c r="AT10" s="11">
        <v>2.5000000000000001E-2</v>
      </c>
      <c r="AU10" s="11">
        <v>1.6E-2</v>
      </c>
      <c r="AV10" s="11">
        <v>4.3999999999999997E-2</v>
      </c>
      <c r="AW10" s="11">
        <v>1.4E-2</v>
      </c>
      <c r="AX10" s="9">
        <f>Tabelle1[[#This Row],[Vitamin D3 '[µg/100g']]]*40</f>
        <v>0</v>
      </c>
      <c r="AY10" s="9">
        <f>Tabelle1[[#This Row],[Vitamin A '[µg/100g']]]*3.33</f>
        <v>23.310000000000002</v>
      </c>
      <c r="AZ10" s="9">
        <f>Tabelle1[[#This Row],[Vitamin E '[mg/100g']]]*1.49</f>
        <v>1.0578999999999998</v>
      </c>
    </row>
    <row r="11" spans="1:52" hidden="1" x14ac:dyDescent="0.45">
      <c r="A11" t="s">
        <v>916</v>
      </c>
      <c r="B11" s="5" t="s">
        <v>886</v>
      </c>
      <c r="C11" s="6" t="s">
        <v>887</v>
      </c>
      <c r="D11" s="13">
        <v>58</v>
      </c>
      <c r="E11" s="11">
        <f>Tabelle1[[#This Row],[Energie '[kcal/100g']]]/239</f>
        <v>0.24267782426778242</v>
      </c>
      <c r="F11" s="13">
        <v>0.42399999999999999</v>
      </c>
      <c r="G11" s="11">
        <f>Tabelle1[[#This Row],[Rohprotein '[g/100g']]]*0.85</f>
        <v>0.3604</v>
      </c>
      <c r="H11" s="13">
        <v>0.5</v>
      </c>
      <c r="I11" s="11">
        <f>Tabelle1[[#This Row],[TS]]-Tabelle1[[#This Row],[Rohprotein '[g/100g']]]-Tabelle1[[#This Row],[Rohfett '[g/100g']]]-Tabelle1[[#This Row],[Rohasche '[g/100g']]]-Tabelle1[[#This Row],[Rohfaser '[g/100g']]]</f>
        <v>15.279999999999998</v>
      </c>
      <c r="J11" s="11">
        <v>0</v>
      </c>
      <c r="K11" s="13">
        <v>0.24199999999999999</v>
      </c>
      <c r="L11" s="13">
        <v>83.554000000000002</v>
      </c>
      <c r="M11" s="13">
        <f>100-Tabelle1[[#This Row],[Wasser '[g/100g']]]</f>
        <v>16.445999999999998</v>
      </c>
      <c r="N11" s="13">
        <v>5</v>
      </c>
      <c r="O11" s="13">
        <v>10.53</v>
      </c>
      <c r="P11" s="13">
        <v>5</v>
      </c>
      <c r="Q11" s="13">
        <v>1</v>
      </c>
      <c r="R11" s="13">
        <v>111</v>
      </c>
      <c r="S11" s="13"/>
      <c r="T11" s="13">
        <v>0.1</v>
      </c>
      <c r="U11" s="13">
        <v>0.03</v>
      </c>
      <c r="V11" s="11">
        <v>0</v>
      </c>
      <c r="W11" s="13">
        <v>35</v>
      </c>
      <c r="X11" s="13">
        <v>50</v>
      </c>
      <c r="Y11" s="13">
        <v>2</v>
      </c>
      <c r="Z11" s="13"/>
      <c r="AA11" s="13">
        <v>0</v>
      </c>
      <c r="AB11" s="13">
        <v>0.17199999999999999</v>
      </c>
      <c r="AC11" s="13">
        <v>4</v>
      </c>
      <c r="AD11" s="13">
        <v>1.0999999999999999E-2</v>
      </c>
      <c r="AE11" s="13">
        <v>0.04</v>
      </c>
      <c r="AF11" s="13">
        <v>0.1</v>
      </c>
      <c r="AG11" s="13">
        <v>57.61</v>
      </c>
      <c r="AH11" s="13">
        <v>0</v>
      </c>
      <c r="AI11" s="13">
        <v>10.16</v>
      </c>
      <c r="AJ11" s="13">
        <v>5</v>
      </c>
      <c r="AK11" s="13">
        <v>5</v>
      </c>
      <c r="AL11" s="13">
        <v>1.1000000000000001</v>
      </c>
      <c r="AM11" s="13">
        <v>0</v>
      </c>
      <c r="AN11" s="13">
        <v>4.3999999999999997E-2</v>
      </c>
      <c r="AO11" s="13">
        <v>0</v>
      </c>
      <c r="AP11" s="13">
        <v>0</v>
      </c>
      <c r="AQ11" s="13">
        <v>0.20050000000000001</v>
      </c>
      <c r="AR11" s="13">
        <v>0.20050000000000001</v>
      </c>
      <c r="AS11" s="13">
        <v>8.0000000000000002E-3</v>
      </c>
      <c r="AT11" s="13">
        <v>1E-3</v>
      </c>
      <c r="AU11" s="13">
        <v>6.0000000000000001E-3</v>
      </c>
      <c r="AV11" s="13">
        <v>1.4999999999999999E-2</v>
      </c>
      <c r="AW11" s="13">
        <v>3.0000000000000001E-3</v>
      </c>
      <c r="AX11" s="9">
        <f>Tabelle1[[#This Row],[Vitamin D3 '[µg/100g']]]*40</f>
        <v>0</v>
      </c>
      <c r="AY11" s="9">
        <f>Tabelle1[[#This Row],[Vitamin A '[µg/100g']]]*3.33</f>
        <v>13.32</v>
      </c>
      <c r="AZ11" s="9">
        <f>Tabelle1[[#This Row],[Vitamin E '[mg/100g']]]*1.49</f>
        <v>0.25627999999999995</v>
      </c>
    </row>
    <row r="12" spans="1:52" hidden="1" x14ac:dyDescent="0.45">
      <c r="A12" t="s">
        <v>916</v>
      </c>
      <c r="B12" s="5" t="s">
        <v>888</v>
      </c>
      <c r="C12" s="6" t="s">
        <v>889</v>
      </c>
      <c r="D12" s="13">
        <v>63</v>
      </c>
      <c r="E12" s="11">
        <f>Tabelle1[[#This Row],[Energie '[kcal/100g']]]/239</f>
        <v>0.26359832635983266</v>
      </c>
      <c r="F12" s="13">
        <v>0.4</v>
      </c>
      <c r="G12" s="11">
        <f>Tabelle1[[#This Row],[Rohprotein '[g/100g']]]*0.85</f>
        <v>0.34</v>
      </c>
      <c r="H12" s="13">
        <v>0.27</v>
      </c>
      <c r="I12" s="11">
        <f>Tabelle1[[#This Row],[TS]]-Tabelle1[[#This Row],[Rohprotein '[g/100g']]]-Tabelle1[[#This Row],[Rohfett '[g/100g']]]-Tabelle1[[#This Row],[Rohasche '[g/100g']]]-Tabelle1[[#This Row],[Rohfaser '[g/100g']]]</f>
        <v>11.800000000000002</v>
      </c>
      <c r="J12" s="11">
        <v>0</v>
      </c>
      <c r="K12" s="13">
        <v>0.23</v>
      </c>
      <c r="L12" s="13">
        <v>87.3</v>
      </c>
      <c r="M12" s="13">
        <f>100-Tabelle1[[#This Row],[Wasser '[g/100g']]]</f>
        <v>12.700000000000003</v>
      </c>
      <c r="N12" s="13">
        <v>4</v>
      </c>
      <c r="O12" s="13">
        <v>8.6</v>
      </c>
      <c r="P12" s="13">
        <v>3.7</v>
      </c>
      <c r="Q12" s="13">
        <v>0.4</v>
      </c>
      <c r="R12" s="13">
        <v>105.5</v>
      </c>
      <c r="S12" s="13"/>
      <c r="T12" s="13">
        <v>0.1</v>
      </c>
      <c r="U12" s="13">
        <v>0.02</v>
      </c>
      <c r="V12" s="11">
        <v>0</v>
      </c>
      <c r="W12" s="13">
        <v>38</v>
      </c>
      <c r="X12" s="13">
        <v>35.5</v>
      </c>
      <c r="Y12" s="13">
        <v>1.7</v>
      </c>
      <c r="Z12" s="13"/>
      <c r="AA12" s="13">
        <v>0</v>
      </c>
      <c r="AB12" s="13">
        <v>0.37</v>
      </c>
      <c r="AC12" s="13">
        <v>6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2.4</v>
      </c>
      <c r="AJ12" s="13">
        <v>0.6</v>
      </c>
      <c r="AK12" s="13">
        <v>1.7</v>
      </c>
      <c r="AL12" s="13">
        <v>0.76</v>
      </c>
      <c r="AM12" s="13">
        <v>0</v>
      </c>
      <c r="AN12" s="13">
        <v>1.5E-3</v>
      </c>
      <c r="AO12" s="13">
        <v>0</v>
      </c>
      <c r="AP12" s="13">
        <v>0</v>
      </c>
      <c r="AQ12" s="13">
        <v>2.1999999999999999E-2</v>
      </c>
      <c r="AR12" s="13">
        <v>2.1999999999999999E-2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9">
        <f>Tabelle1[[#This Row],[Vitamin D3 '[µg/100g']]]*40</f>
        <v>0</v>
      </c>
      <c r="AY12" s="9">
        <f>Tabelle1[[#This Row],[Vitamin A '[µg/100g']]]*3.33</f>
        <v>19.98</v>
      </c>
      <c r="AZ12" s="9">
        <f>Tabelle1[[#This Row],[Vitamin E '[mg/100g']]]*1.49</f>
        <v>0.55130000000000001</v>
      </c>
    </row>
    <row r="13" spans="1:52" hidden="1" x14ac:dyDescent="0.45">
      <c r="A13" t="s">
        <v>916</v>
      </c>
      <c r="B13" s="3" t="s">
        <v>890</v>
      </c>
      <c r="C13" s="4" t="s">
        <v>891</v>
      </c>
      <c r="D13" s="11">
        <v>290</v>
      </c>
      <c r="E13" s="11">
        <f>Tabelle1[[#This Row],[Energie '[kcal/100g']]]/239</f>
        <v>1.2133891213389121</v>
      </c>
      <c r="F13" s="11">
        <v>4.8899999999999997</v>
      </c>
      <c r="G13" s="11">
        <f>Tabelle1[[#This Row],[Rohprotein '[g/100g']]]*0.85</f>
        <v>4.1564999999999994</v>
      </c>
      <c r="H13" s="11">
        <v>1.5</v>
      </c>
      <c r="I13" s="11">
        <f>Tabelle1[[#This Row],[TS]]-Tabelle1[[#This Row],[Rohprotein '[g/100g']]]-Tabelle1[[#This Row],[Rohfett '[g/100g']]]-Tabelle1[[#This Row],[Rohasche '[g/100g']]]-Tabelle1[[#This Row],[Rohfaser '[g/100g']]]</f>
        <v>72.544000000000011</v>
      </c>
      <c r="J13" s="11">
        <v>0</v>
      </c>
      <c r="K13" s="11">
        <v>3.4660000000000002</v>
      </c>
      <c r="L13" s="11">
        <v>17.600000000000001</v>
      </c>
      <c r="M13" s="11">
        <f>100-Tabelle1[[#This Row],[Wasser '[g/100g']]]</f>
        <v>82.4</v>
      </c>
      <c r="N13" s="11">
        <v>22</v>
      </c>
      <c r="O13" s="11">
        <v>82</v>
      </c>
      <c r="P13" s="11">
        <v>104</v>
      </c>
      <c r="Q13" s="11">
        <v>1.93</v>
      </c>
      <c r="R13" s="11">
        <v>1238</v>
      </c>
      <c r="S13" s="11"/>
      <c r="T13" s="11">
        <v>1.5</v>
      </c>
      <c r="U13" s="11">
        <v>0.67</v>
      </c>
      <c r="V13" s="11">
        <v>0</v>
      </c>
      <c r="W13" s="11">
        <v>386</v>
      </c>
      <c r="X13" s="11">
        <v>1710</v>
      </c>
      <c r="Y13" s="11">
        <v>11</v>
      </c>
      <c r="Z13" s="11"/>
      <c r="AA13" s="11">
        <v>0</v>
      </c>
      <c r="AB13" s="11">
        <v>2.4649999999999999</v>
      </c>
      <c r="AC13" s="11">
        <v>19</v>
      </c>
      <c r="AD13" s="11">
        <v>0.34799999999999998</v>
      </c>
      <c r="AE13" s="11">
        <v>0.13300000000000001</v>
      </c>
      <c r="AF13" s="11">
        <v>2.3359999999999999</v>
      </c>
      <c r="AG13" s="11">
        <v>851.24</v>
      </c>
      <c r="AH13" s="11">
        <v>0</v>
      </c>
      <c r="AI13" s="11">
        <v>8.1560000000000006</v>
      </c>
      <c r="AJ13" s="11">
        <v>1.1000000000000001</v>
      </c>
      <c r="AK13" s="11">
        <v>26</v>
      </c>
      <c r="AL13" s="11">
        <v>8.3000000000000007</v>
      </c>
      <c r="AM13" s="11">
        <v>0</v>
      </c>
      <c r="AN13" s="11">
        <v>0.19114</v>
      </c>
      <c r="AO13" s="11">
        <v>0</v>
      </c>
      <c r="AP13" s="11">
        <v>8.7100000000000007E-3</v>
      </c>
      <c r="AQ13" s="11">
        <v>0.14473</v>
      </c>
      <c r="AR13" s="11">
        <v>0.1421</v>
      </c>
      <c r="AS13" s="11">
        <v>0.17399999999999999</v>
      </c>
      <c r="AT13" s="11">
        <v>6.0000000000000001E-3</v>
      </c>
      <c r="AU13" s="11">
        <v>0.248</v>
      </c>
      <c r="AV13" s="11">
        <v>0.183</v>
      </c>
      <c r="AW13" s="11">
        <v>2.9000000000000001E-2</v>
      </c>
      <c r="AX13" s="9">
        <f>Tabelle1[[#This Row],[Vitamin D3 '[µg/100g']]]*40</f>
        <v>0</v>
      </c>
      <c r="AY13" s="9">
        <f>Tabelle1[[#This Row],[Vitamin A '[µg/100g']]]*3.33</f>
        <v>63.27</v>
      </c>
      <c r="AZ13" s="9">
        <f>Tabelle1[[#This Row],[Vitamin E '[mg/100g']]]*1.49</f>
        <v>3.6728499999999999</v>
      </c>
    </row>
    <row r="14" spans="1:52" hidden="1" x14ac:dyDescent="0.45">
      <c r="A14" t="s">
        <v>916</v>
      </c>
      <c r="B14" s="5" t="s">
        <v>892</v>
      </c>
      <c r="C14" s="6" t="s">
        <v>893</v>
      </c>
      <c r="D14" s="13">
        <v>79</v>
      </c>
      <c r="E14" s="11">
        <f>Tabelle1[[#This Row],[Energie '[kcal/100g']]]/239</f>
        <v>0.33054393305439328</v>
      </c>
      <c r="F14" s="13">
        <v>1.319</v>
      </c>
      <c r="G14" s="11">
        <f>Tabelle1[[#This Row],[Rohprotein '[g/100g']]]*0.85</f>
        <v>1.1211499999999999</v>
      </c>
      <c r="H14" s="13">
        <v>0.4</v>
      </c>
      <c r="I14" s="11">
        <f>Tabelle1[[#This Row],[TS]]-Tabelle1[[#This Row],[Rohprotein '[g/100g']]]-Tabelle1[[#This Row],[Rohfett '[g/100g']]]-Tabelle1[[#This Row],[Rohasche '[g/100g']]]-Tabelle1[[#This Row],[Rohfaser '[g/100g']]]</f>
        <v>22.945999999999998</v>
      </c>
      <c r="J14" s="11">
        <v>0</v>
      </c>
      <c r="K14" s="13">
        <v>0.93500000000000005</v>
      </c>
      <c r="L14" s="13">
        <v>74.400000000000006</v>
      </c>
      <c r="M14" s="13">
        <f>100-Tabelle1[[#This Row],[Wasser '[g/100g']]]</f>
        <v>25.599999999999994</v>
      </c>
      <c r="N14" s="13">
        <v>6</v>
      </c>
      <c r="O14" s="13">
        <v>22</v>
      </c>
      <c r="P14" s="13">
        <v>28</v>
      </c>
      <c r="Q14" s="13">
        <v>0.52</v>
      </c>
      <c r="R14" s="13">
        <v>334</v>
      </c>
      <c r="S14" s="13"/>
      <c r="T14" s="13">
        <v>0.4</v>
      </c>
      <c r="U14" s="13">
        <v>0.18</v>
      </c>
      <c r="V14" s="11">
        <v>0</v>
      </c>
      <c r="W14" s="13">
        <v>104</v>
      </c>
      <c r="X14" s="13">
        <v>460</v>
      </c>
      <c r="Y14" s="13">
        <v>3</v>
      </c>
      <c r="Z14" s="13"/>
      <c r="AA14" s="13">
        <v>0</v>
      </c>
      <c r="AB14" s="13">
        <v>0.66500000000000004</v>
      </c>
      <c r="AC14" s="13">
        <v>8</v>
      </c>
      <c r="AD14" s="13">
        <v>0.13400000000000001</v>
      </c>
      <c r="AE14" s="13">
        <v>0.04</v>
      </c>
      <c r="AF14" s="13">
        <v>0.7</v>
      </c>
      <c r="AG14" s="13">
        <v>255.13</v>
      </c>
      <c r="AH14" s="13">
        <v>0</v>
      </c>
      <c r="AI14" s="13">
        <v>11</v>
      </c>
      <c r="AJ14" s="13">
        <v>0.3</v>
      </c>
      <c r="AK14" s="13">
        <v>14</v>
      </c>
      <c r="AL14" s="13">
        <v>2.5</v>
      </c>
      <c r="AM14" s="13">
        <v>0</v>
      </c>
      <c r="AN14" s="13">
        <v>5.1560000000000002E-2</v>
      </c>
      <c r="AO14" s="13">
        <v>0</v>
      </c>
      <c r="AP14" s="13">
        <v>2.3500000000000001E-3</v>
      </c>
      <c r="AQ14" s="13">
        <v>3.9039999999999998E-2</v>
      </c>
      <c r="AR14" s="13">
        <v>3.8330000000000003E-2</v>
      </c>
      <c r="AS14" s="13">
        <v>5.3999999999999999E-2</v>
      </c>
      <c r="AT14" s="13">
        <v>2E-3</v>
      </c>
      <c r="AU14" s="13">
        <v>7.6999999999999999E-2</v>
      </c>
      <c r="AV14" s="13">
        <v>5.7000000000000002E-2</v>
      </c>
      <c r="AW14" s="13">
        <v>8.9999999999999993E-3</v>
      </c>
      <c r="AX14" s="9">
        <f>Tabelle1[[#This Row],[Vitamin D3 '[µg/100g']]]*40</f>
        <v>0</v>
      </c>
      <c r="AY14" s="9">
        <f>Tabelle1[[#This Row],[Vitamin A '[µg/100g']]]*3.33</f>
        <v>26.64</v>
      </c>
      <c r="AZ14" s="9">
        <f>Tabelle1[[#This Row],[Vitamin E '[mg/100g']]]*1.49</f>
        <v>0.99085000000000001</v>
      </c>
    </row>
    <row r="15" spans="1:52" hidden="1" x14ac:dyDescent="0.45">
      <c r="A15" t="s">
        <v>972</v>
      </c>
      <c r="B15" s="3"/>
      <c r="C15" s="4" t="s">
        <v>1261</v>
      </c>
      <c r="D15" s="11">
        <v>900</v>
      </c>
      <c r="E15" s="11">
        <v>3.77</v>
      </c>
      <c r="F15" s="11">
        <v>0</v>
      </c>
      <c r="G15" s="11">
        <v>0</v>
      </c>
      <c r="H15" s="11">
        <v>100</v>
      </c>
      <c r="I15" s="11">
        <v>0</v>
      </c>
      <c r="J15" s="11">
        <v>0</v>
      </c>
      <c r="K15" s="11">
        <v>0</v>
      </c>
      <c r="L15" s="11">
        <v>0</v>
      </c>
      <c r="M15" s="11">
        <v>100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3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3">
        <v>0</v>
      </c>
      <c r="AA15" s="11">
        <v>0</v>
      </c>
      <c r="AB15" s="11">
        <v>500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61.7</v>
      </c>
      <c r="AO15" s="11">
        <v>19.899999999999999</v>
      </c>
      <c r="AP15" s="11">
        <v>41.8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9">
        <v>0</v>
      </c>
      <c r="AY15" s="9">
        <v>0</v>
      </c>
      <c r="AZ15" s="9">
        <v>0</v>
      </c>
    </row>
    <row r="16" spans="1:52" hidden="1" x14ac:dyDescent="0.45">
      <c r="A16" t="s">
        <v>534</v>
      </c>
      <c r="B16" s="3" t="s">
        <v>390</v>
      </c>
      <c r="C16" s="4" t="s">
        <v>391</v>
      </c>
      <c r="D16" s="11">
        <v>152</v>
      </c>
      <c r="E16" s="13">
        <f>Tabelle1[[#This Row],[Energie '[kcal/100g']]]/239</f>
        <v>0.63598326359832635</v>
      </c>
      <c r="F16" s="11">
        <v>2.09</v>
      </c>
      <c r="G16" s="13">
        <f>Tabelle1[[#This Row],[Rohprotein '[g/100g']]]*0.85</f>
        <v>1.7764999999999997</v>
      </c>
      <c r="H16" s="11">
        <v>0.76900000000000002</v>
      </c>
      <c r="I16" s="11">
        <f>Tabelle1[[#This Row],[TS]]-Tabelle1[[#This Row],[Rohprotein '[g/100g']]]-Tabelle1[[#This Row],[Rohfett '[g/100g']]]-Tabelle1[[#This Row],[Rohasche '[g/100g']]]-Tabelle1[[#This Row],[Rohfaser '[g/100g']]]</f>
        <v>35.504999999999995</v>
      </c>
      <c r="J16" s="11">
        <v>0</v>
      </c>
      <c r="K16" s="11">
        <v>1.4359999999999999</v>
      </c>
      <c r="L16" s="11">
        <v>60.2</v>
      </c>
      <c r="M16" s="11">
        <f>100-Tabelle1[[#This Row],[Wasser '[g/100g']]]</f>
        <v>39.799999999999997</v>
      </c>
      <c r="N16" s="11">
        <v>28.754999999999999</v>
      </c>
      <c r="O16" s="11">
        <v>50.3</v>
      </c>
      <c r="P16" s="11">
        <v>23.5</v>
      </c>
      <c r="Q16" s="11">
        <v>5</v>
      </c>
      <c r="R16" s="11">
        <v>462</v>
      </c>
      <c r="S16" s="11"/>
      <c r="T16" s="11">
        <v>0.85099999999999998</v>
      </c>
      <c r="U16" s="11">
        <v>0.29499999999999998</v>
      </c>
      <c r="V16" s="11">
        <v>0</v>
      </c>
      <c r="W16" s="11">
        <v>167</v>
      </c>
      <c r="X16" s="11">
        <v>308</v>
      </c>
      <c r="Y16" s="11">
        <v>2.9</v>
      </c>
      <c r="Z16" s="11"/>
      <c r="AA16" s="11">
        <v>0</v>
      </c>
      <c r="AB16" s="11">
        <v>0.33</v>
      </c>
      <c r="AC16" s="11">
        <v>1517</v>
      </c>
      <c r="AD16" s="11">
        <v>6.6000000000000003E-2</v>
      </c>
      <c r="AE16" s="11">
        <v>6.0999999999999999E-2</v>
      </c>
      <c r="AF16" s="11">
        <v>0.73099999999999998</v>
      </c>
      <c r="AG16" s="11">
        <v>329</v>
      </c>
      <c r="AH16" s="11">
        <v>0</v>
      </c>
      <c r="AI16" s="11">
        <v>30.768999999999998</v>
      </c>
      <c r="AJ16" s="11">
        <v>2.2999999999999998</v>
      </c>
      <c r="AK16" s="11">
        <v>48</v>
      </c>
      <c r="AL16" s="11">
        <v>5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8.3000000000000004E-2</v>
      </c>
      <c r="AT16" s="11">
        <v>3.2000000000000001E-2</v>
      </c>
      <c r="AU16" s="11">
        <v>3.6999999999999998E-2</v>
      </c>
      <c r="AV16" s="11">
        <v>8.5000000000000006E-2</v>
      </c>
      <c r="AW16" s="11">
        <v>3.5999999999999997E-2</v>
      </c>
      <c r="AX16" s="9">
        <f>Tabelle1[[#This Row],[Vitamin D3 '[µg/100g']]]*40</f>
        <v>0</v>
      </c>
      <c r="AY16" s="9">
        <f>Tabelle1[[#This Row],[Vitamin A '[µg/100g']]]*3.33</f>
        <v>5051.6099999999997</v>
      </c>
      <c r="AZ16" s="9">
        <f>Tabelle1[[#This Row],[Vitamin E '[mg/100g']]]*1.49</f>
        <v>0.49170000000000003</v>
      </c>
    </row>
    <row r="17" spans="1:52" hidden="1" x14ac:dyDescent="0.45">
      <c r="A17" t="s">
        <v>534</v>
      </c>
      <c r="B17" s="3" t="s">
        <v>392</v>
      </c>
      <c r="C17" s="4" t="s">
        <v>393</v>
      </c>
      <c r="D17" s="11">
        <v>135</v>
      </c>
      <c r="E17" s="13">
        <f>Tabelle1[[#This Row],[Energie '[kcal/100g']]]/239</f>
        <v>0.56485355648535562</v>
      </c>
      <c r="F17" s="11">
        <v>1.8520000000000001</v>
      </c>
      <c r="G17" s="13">
        <f>Tabelle1[[#This Row],[Rohprotein '[g/100g']]]*0.85</f>
        <v>1.5742</v>
      </c>
      <c r="H17" s="11">
        <v>0.68200000000000005</v>
      </c>
      <c r="I17" s="11">
        <f>Tabelle1[[#This Row],[TS]]-Tabelle1[[#This Row],[Rohprotein '[g/100g']]]-Tabelle1[[#This Row],[Rohfett '[g/100g']]]-Tabelle1[[#This Row],[Rohasche '[g/100g']]]-Tabelle1[[#This Row],[Rohfaser '[g/100g']]]</f>
        <v>31.292999999999996</v>
      </c>
      <c r="J17" s="11">
        <v>0</v>
      </c>
      <c r="K17" s="11">
        <v>1.2729999999999999</v>
      </c>
      <c r="L17" s="11">
        <v>64.900000000000006</v>
      </c>
      <c r="M17" s="11">
        <f>100-Tabelle1[[#This Row],[Wasser '[g/100g']]]</f>
        <v>35.099999999999994</v>
      </c>
      <c r="N17" s="11">
        <v>25.488</v>
      </c>
      <c r="O17" s="11">
        <v>44.5</v>
      </c>
      <c r="P17" s="11">
        <v>20.8</v>
      </c>
      <c r="Q17" s="11">
        <v>5</v>
      </c>
      <c r="R17" s="11">
        <v>409</v>
      </c>
      <c r="S17" s="11"/>
      <c r="T17" s="11">
        <v>0.755</v>
      </c>
      <c r="U17" s="11">
        <v>0.26100000000000001</v>
      </c>
      <c r="V17" s="11">
        <v>0</v>
      </c>
      <c r="W17" s="11">
        <v>148</v>
      </c>
      <c r="X17" s="11">
        <v>273</v>
      </c>
      <c r="Y17" s="11">
        <v>2.6</v>
      </c>
      <c r="Z17" s="11"/>
      <c r="AA17" s="11">
        <v>0</v>
      </c>
      <c r="AB17" s="11">
        <v>0.3</v>
      </c>
      <c r="AC17" s="11">
        <v>1195</v>
      </c>
      <c r="AD17" s="11">
        <v>5.8000000000000003E-2</v>
      </c>
      <c r="AE17" s="11">
        <v>5.3999999999999999E-2</v>
      </c>
      <c r="AF17" s="11">
        <v>0.64800000000000002</v>
      </c>
      <c r="AG17" s="11">
        <v>291</v>
      </c>
      <c r="AH17" s="11">
        <v>0</v>
      </c>
      <c r="AI17" s="11">
        <v>27.273</v>
      </c>
      <c r="AJ17" s="11">
        <v>2</v>
      </c>
      <c r="AK17" s="11">
        <v>43</v>
      </c>
      <c r="AL17" s="11">
        <v>4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7.3999999999999996E-2</v>
      </c>
      <c r="AT17" s="11">
        <v>2.8000000000000001E-2</v>
      </c>
      <c r="AU17" s="11">
        <v>3.3000000000000002E-2</v>
      </c>
      <c r="AV17" s="11">
        <v>7.4999999999999997E-2</v>
      </c>
      <c r="AW17" s="11">
        <v>3.2000000000000001E-2</v>
      </c>
      <c r="AX17" s="9">
        <f>Tabelle1[[#This Row],[Vitamin D3 '[µg/100g']]]*40</f>
        <v>0</v>
      </c>
      <c r="AY17" s="9">
        <f>Tabelle1[[#This Row],[Vitamin A '[µg/100g']]]*3.33</f>
        <v>3979.35</v>
      </c>
      <c r="AZ17" s="9">
        <f>Tabelle1[[#This Row],[Vitamin E '[mg/100g']]]*1.49</f>
        <v>0.44700000000000001</v>
      </c>
    </row>
    <row r="18" spans="1:52" hidden="1" x14ac:dyDescent="0.45">
      <c r="A18" t="s">
        <v>534</v>
      </c>
      <c r="B18" s="3" t="s">
        <v>394</v>
      </c>
      <c r="C18" s="4" t="s">
        <v>395</v>
      </c>
      <c r="D18" s="11">
        <v>65</v>
      </c>
      <c r="E18" s="13">
        <f>Tabelle1[[#This Row],[Energie '[kcal/100g']]]/239</f>
        <v>0.27196652719665271</v>
      </c>
      <c r="F18" s="11">
        <v>1.7</v>
      </c>
      <c r="G18" s="13">
        <f>Tabelle1[[#This Row],[Rohprotein '[g/100g']]]*0.85</f>
        <v>1.4449999999999998</v>
      </c>
      <c r="H18" s="11">
        <v>0.2</v>
      </c>
      <c r="I18" s="11">
        <f>Tabelle1[[#This Row],[TS]]-Tabelle1[[#This Row],[Rohprotein '[g/100g']]]-Tabelle1[[#This Row],[Rohfett '[g/100g']]]-Tabelle1[[#This Row],[Rohasche '[g/100g']]]-Tabelle1[[#This Row],[Rohfaser '[g/100g']]]</f>
        <v>16.299999999999997</v>
      </c>
      <c r="J18" s="11">
        <v>0</v>
      </c>
      <c r="K18" s="11">
        <v>0.6</v>
      </c>
      <c r="L18" s="11">
        <v>81.2</v>
      </c>
      <c r="M18" s="11">
        <f>100-Tabelle1[[#This Row],[Wasser '[g/100g']]]</f>
        <v>18.799999999999997</v>
      </c>
      <c r="N18" s="11">
        <v>21.097000000000001</v>
      </c>
      <c r="O18" s="11">
        <v>36.9</v>
      </c>
      <c r="P18" s="11">
        <v>17.2</v>
      </c>
      <c r="Q18" s="11">
        <v>4</v>
      </c>
      <c r="R18" s="11">
        <v>321</v>
      </c>
      <c r="S18" s="11"/>
      <c r="T18" s="11">
        <v>0.625</v>
      </c>
      <c r="U18" s="11">
        <v>0.216</v>
      </c>
      <c r="V18" s="11">
        <v>0</v>
      </c>
      <c r="W18" s="11">
        <v>122</v>
      </c>
      <c r="X18" s="11">
        <v>219</v>
      </c>
      <c r="Y18" s="11">
        <v>2</v>
      </c>
      <c r="Z18" s="11"/>
      <c r="AA18" s="11">
        <v>0</v>
      </c>
      <c r="AB18" s="11">
        <v>0.26</v>
      </c>
      <c r="AC18" s="11">
        <v>0</v>
      </c>
      <c r="AD18" s="11">
        <v>5.0999999999999997E-2</v>
      </c>
      <c r="AE18" s="11">
        <v>4.7E-2</v>
      </c>
      <c r="AF18" s="11">
        <v>0.56399999999999995</v>
      </c>
      <c r="AG18" s="11">
        <v>254</v>
      </c>
      <c r="AH18" s="11">
        <v>0</v>
      </c>
      <c r="AI18" s="11">
        <v>22.277000000000001</v>
      </c>
      <c r="AJ18" s="11">
        <v>1.8</v>
      </c>
      <c r="AK18" s="11">
        <v>92.8</v>
      </c>
      <c r="AL18" s="11">
        <v>3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6.3E-2</v>
      </c>
      <c r="AT18" s="11">
        <v>2.4E-2</v>
      </c>
      <c r="AU18" s="11">
        <v>2.8000000000000001E-2</v>
      </c>
      <c r="AV18" s="11">
        <v>6.4000000000000001E-2</v>
      </c>
      <c r="AW18" s="11">
        <v>2.7E-2</v>
      </c>
      <c r="AX18" s="9">
        <f>Tabelle1[[#This Row],[Vitamin D3 '[µg/100g']]]*40</f>
        <v>0</v>
      </c>
      <c r="AY18" s="9">
        <f>Tabelle1[[#This Row],[Vitamin A '[µg/100g']]]*3.33</f>
        <v>0</v>
      </c>
      <c r="AZ18" s="9">
        <f>Tabelle1[[#This Row],[Vitamin E '[mg/100g']]]*1.49</f>
        <v>0.38740000000000002</v>
      </c>
    </row>
    <row r="19" spans="1:52" hidden="1" x14ac:dyDescent="0.45">
      <c r="A19" t="s">
        <v>534</v>
      </c>
      <c r="B19" s="3" t="s">
        <v>412</v>
      </c>
      <c r="C19" s="4" t="s">
        <v>413</v>
      </c>
      <c r="D19" s="11">
        <v>119</v>
      </c>
      <c r="E19" s="13">
        <f>Tabelle1[[#This Row],[Energie '[kcal/100g']]]/239</f>
        <v>0.497907949790795</v>
      </c>
      <c r="F19" s="11">
        <v>1.63</v>
      </c>
      <c r="G19" s="13">
        <f>Tabelle1[[#This Row],[Rohprotein '[g/100g']]]*0.85</f>
        <v>1.3855</v>
      </c>
      <c r="H19" s="11">
        <v>0.6</v>
      </c>
      <c r="I19" s="11">
        <f>Tabelle1[[#This Row],[TS]]-Tabelle1[[#This Row],[Rohprotein '[g/100g']]]-Tabelle1[[#This Row],[Rohfett '[g/100g']]]-Tabelle1[[#This Row],[Rohasche '[g/100g']]]-Tabelle1[[#This Row],[Rohfaser '[g/100g']]]</f>
        <v>27.449999999999996</v>
      </c>
      <c r="J19" s="11">
        <v>0</v>
      </c>
      <c r="K19" s="11">
        <v>1.1200000000000001</v>
      </c>
      <c r="L19" s="11">
        <v>69.2</v>
      </c>
      <c r="M19" s="11">
        <f>100-Tabelle1[[#This Row],[Wasser '[g/100g']]]</f>
        <v>30.799999999999997</v>
      </c>
      <c r="N19" s="11">
        <v>22.428999999999998</v>
      </c>
      <c r="O19" s="11">
        <v>39.200000000000003</v>
      </c>
      <c r="P19" s="11">
        <v>18.3</v>
      </c>
      <c r="Q19" s="11">
        <v>4</v>
      </c>
      <c r="R19" s="11">
        <v>360</v>
      </c>
      <c r="S19" s="11"/>
      <c r="T19" s="11">
        <v>0.66400000000000003</v>
      </c>
      <c r="U19" s="11">
        <v>0.23</v>
      </c>
      <c r="V19" s="11">
        <v>0</v>
      </c>
      <c r="W19" s="11">
        <v>130</v>
      </c>
      <c r="X19" s="11">
        <v>240</v>
      </c>
      <c r="Y19" s="11">
        <v>2.4</v>
      </c>
      <c r="Z19" s="11"/>
      <c r="AA19" s="11">
        <v>0</v>
      </c>
      <c r="AB19" s="11">
        <v>0.26</v>
      </c>
      <c r="AC19" s="11">
        <v>1315</v>
      </c>
      <c r="AD19" s="11">
        <v>6.4000000000000001E-2</v>
      </c>
      <c r="AE19" s="11">
        <v>0.05</v>
      </c>
      <c r="AF19" s="11">
        <v>0.6</v>
      </c>
      <c r="AG19" s="11">
        <v>270</v>
      </c>
      <c r="AH19" s="11">
        <v>0</v>
      </c>
      <c r="AI19" s="11">
        <v>30</v>
      </c>
      <c r="AJ19" s="11">
        <v>1.8</v>
      </c>
      <c r="AK19" s="11">
        <v>50</v>
      </c>
      <c r="AL19" s="11">
        <v>4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6.5000000000000002E-2</v>
      </c>
      <c r="AT19" s="11">
        <v>2.5000000000000001E-2</v>
      </c>
      <c r="AU19" s="11">
        <v>2.9000000000000001E-2</v>
      </c>
      <c r="AV19" s="11">
        <v>6.6000000000000003E-2</v>
      </c>
      <c r="AW19" s="11">
        <v>2.8000000000000001E-2</v>
      </c>
      <c r="AX19" s="9">
        <f>Tabelle1[[#This Row],[Vitamin D3 '[µg/100g']]]*40</f>
        <v>0</v>
      </c>
      <c r="AY19" s="9">
        <f>Tabelle1[[#This Row],[Vitamin A '[µg/100g']]]*3.33</f>
        <v>4378.95</v>
      </c>
      <c r="AZ19" s="9">
        <f>Tabelle1[[#This Row],[Vitamin E '[mg/100g']]]*1.49</f>
        <v>0.38740000000000002</v>
      </c>
    </row>
    <row r="20" spans="1:52" hidden="1" x14ac:dyDescent="0.45">
      <c r="A20" t="s">
        <v>641</v>
      </c>
      <c r="B20" s="3" t="s">
        <v>537</v>
      </c>
      <c r="C20" s="4" t="s">
        <v>538</v>
      </c>
      <c r="D20" s="11">
        <v>395</v>
      </c>
      <c r="E20" s="11">
        <f>Tabelle1[[#This Row],[Energie '[kcal/100g']]]/239</f>
        <v>1.6527196652719665</v>
      </c>
      <c r="F20" s="11">
        <v>28.9</v>
      </c>
      <c r="G20" s="11">
        <f>Tabelle1[[#This Row],[Rohprotein '[g/100g']]]*0.85</f>
        <v>24.564999999999998</v>
      </c>
      <c r="H20" s="11">
        <v>30.805</v>
      </c>
      <c r="I20" s="11">
        <f>Tabelle1[[#This Row],[TS]]-Tabelle1[[#This Row],[Rohprotein '[g/100g']]]-Tabelle1[[#This Row],[Rohfett '[g/100g']]]-Tabelle1[[#This Row],[Rohasche '[g/100g']]]-Tabelle1[[#This Row],[Rohfaser '[g/100g']]]</f>
        <v>-1.1449999999999982</v>
      </c>
      <c r="J20" s="11">
        <v>0</v>
      </c>
      <c r="K20" s="11">
        <v>3.44</v>
      </c>
      <c r="L20" s="11">
        <v>38</v>
      </c>
      <c r="M20" s="11">
        <f>100-Tabelle1[[#This Row],[Wasser '[g/100g']]]</f>
        <v>62</v>
      </c>
      <c r="N20" s="11">
        <v>1100</v>
      </c>
      <c r="O20" s="11">
        <v>700</v>
      </c>
      <c r="P20" s="11">
        <v>43</v>
      </c>
      <c r="Q20" s="11">
        <v>300</v>
      </c>
      <c r="R20" s="11">
        <v>100</v>
      </c>
      <c r="S20" s="11"/>
      <c r="T20" s="11">
        <v>0.3</v>
      </c>
      <c r="U20" s="11">
        <v>5.0999999999999996</v>
      </c>
      <c r="V20" s="11">
        <v>0</v>
      </c>
      <c r="W20" s="11">
        <v>400</v>
      </c>
      <c r="X20" s="11">
        <v>40</v>
      </c>
      <c r="Y20" s="11">
        <v>25</v>
      </c>
      <c r="Z20" s="11"/>
      <c r="AA20" s="11">
        <v>0.6</v>
      </c>
      <c r="AB20" s="11">
        <v>0.67</v>
      </c>
      <c r="AC20" s="11">
        <v>360</v>
      </c>
      <c r="AD20" s="11">
        <v>0.04</v>
      </c>
      <c r="AE20" s="11">
        <v>0.32</v>
      </c>
      <c r="AF20" s="11">
        <v>0.1</v>
      </c>
      <c r="AG20" s="11">
        <v>110</v>
      </c>
      <c r="AH20" s="11">
        <v>2.7</v>
      </c>
      <c r="AI20" s="11">
        <v>0.875</v>
      </c>
      <c r="AJ20" s="11">
        <v>20</v>
      </c>
      <c r="AK20" s="11">
        <v>20</v>
      </c>
      <c r="AL20" s="11">
        <v>3</v>
      </c>
      <c r="AM20" s="11">
        <v>0</v>
      </c>
      <c r="AN20" s="11">
        <v>0.23699999999999999</v>
      </c>
      <c r="AO20" s="11">
        <v>0</v>
      </c>
      <c r="AP20" s="11">
        <v>0</v>
      </c>
      <c r="AQ20" s="11">
        <v>0.51070000000000004</v>
      </c>
      <c r="AR20" s="11">
        <v>0.51070000000000004</v>
      </c>
      <c r="AS20" s="11">
        <v>1.1679999999999999</v>
      </c>
      <c r="AT20" s="11">
        <v>0.11799999999999999</v>
      </c>
      <c r="AU20" s="11">
        <v>0.997</v>
      </c>
      <c r="AV20" s="11">
        <v>2.5920000000000001</v>
      </c>
      <c r="AW20" s="11">
        <v>0.89900000000000002</v>
      </c>
      <c r="AX20" s="9">
        <f>Tabelle1[[#This Row],[Vitamin D3 '[µg/100g']]]*40</f>
        <v>24</v>
      </c>
      <c r="AY20" s="9">
        <f>Tabelle1[[#This Row],[Vitamin A '[µg/100g']]]*3.33</f>
        <v>1198.8</v>
      </c>
      <c r="AZ20" s="9">
        <f>Tabelle1[[#This Row],[Vitamin E '[mg/100g']]]*1.49</f>
        <v>0.99830000000000008</v>
      </c>
    </row>
    <row r="21" spans="1:52" hidden="1" x14ac:dyDescent="0.45">
      <c r="A21" t="s">
        <v>641</v>
      </c>
      <c r="B21" s="5" t="s">
        <v>539</v>
      </c>
      <c r="C21" s="6" t="s">
        <v>540</v>
      </c>
      <c r="D21" s="13">
        <v>423</v>
      </c>
      <c r="E21" s="11">
        <f>Tabelle1[[#This Row],[Energie '[kcal/100g']]]/239</f>
        <v>1.7698744769874477</v>
      </c>
      <c r="F21" s="13">
        <v>26.9</v>
      </c>
      <c r="G21" s="11">
        <f>Tabelle1[[#This Row],[Rohprotein '[g/100g']]]*0.85</f>
        <v>22.864999999999998</v>
      </c>
      <c r="H21" s="13">
        <v>34.799999999999997</v>
      </c>
      <c r="I21" s="11">
        <f>Tabelle1[[#This Row],[TS]]-Tabelle1[[#This Row],[Rohprotein '[g/100g']]]-Tabelle1[[#This Row],[Rohfett '[g/100g']]]-Tabelle1[[#This Row],[Rohasche '[g/100g']]]-Tabelle1[[#This Row],[Rohfaser '[g/100g']]]</f>
        <v>-1.7999999999999958</v>
      </c>
      <c r="J21" s="11">
        <v>0</v>
      </c>
      <c r="K21" s="13">
        <v>3.1</v>
      </c>
      <c r="L21" s="13">
        <v>37</v>
      </c>
      <c r="M21" s="13">
        <f>100-Tabelle1[[#This Row],[Wasser '[g/100g']]]</f>
        <v>63</v>
      </c>
      <c r="N21" s="13">
        <v>996</v>
      </c>
      <c r="O21" s="13">
        <v>666</v>
      </c>
      <c r="P21" s="13">
        <v>42</v>
      </c>
      <c r="Q21" s="13">
        <v>395</v>
      </c>
      <c r="R21" s="13">
        <v>103</v>
      </c>
      <c r="S21" s="13"/>
      <c r="T21" s="13">
        <v>0.4</v>
      </c>
      <c r="U21" s="13">
        <v>4.32</v>
      </c>
      <c r="V21" s="11">
        <v>0</v>
      </c>
      <c r="W21" s="13">
        <v>400</v>
      </c>
      <c r="X21" s="13">
        <v>40</v>
      </c>
      <c r="Y21" s="13">
        <v>32</v>
      </c>
      <c r="Z21" s="13"/>
      <c r="AA21" s="13">
        <v>0.7</v>
      </c>
      <c r="AB21" s="13">
        <v>0.9</v>
      </c>
      <c r="AC21" s="13">
        <v>357</v>
      </c>
      <c r="AD21" s="13">
        <v>0.04</v>
      </c>
      <c r="AE21" s="13">
        <v>0.34</v>
      </c>
      <c r="AF21" s="13">
        <v>0.1</v>
      </c>
      <c r="AG21" s="13">
        <v>110</v>
      </c>
      <c r="AH21" s="13">
        <v>2.6</v>
      </c>
      <c r="AI21" s="13">
        <v>0.875</v>
      </c>
      <c r="AJ21" s="13">
        <v>20</v>
      </c>
      <c r="AK21" s="13">
        <v>12</v>
      </c>
      <c r="AL21" s="13">
        <v>3</v>
      </c>
      <c r="AM21" s="13">
        <v>0</v>
      </c>
      <c r="AN21" s="13">
        <v>0.12</v>
      </c>
      <c r="AO21" s="11">
        <v>0</v>
      </c>
      <c r="AP21" s="11">
        <v>0</v>
      </c>
      <c r="AQ21" s="13">
        <v>1.3</v>
      </c>
      <c r="AR21" s="13">
        <v>1.3</v>
      </c>
      <c r="AS21" s="13">
        <v>1.1000000000000001</v>
      </c>
      <c r="AT21" s="13">
        <v>0.1</v>
      </c>
      <c r="AU21" s="13">
        <v>0.9</v>
      </c>
      <c r="AV21" s="13">
        <v>2.2999999999999998</v>
      </c>
      <c r="AW21" s="13">
        <v>0.8</v>
      </c>
      <c r="AX21" s="9">
        <f>Tabelle1[[#This Row],[Vitamin D3 '[µg/100g']]]*40</f>
        <v>28</v>
      </c>
      <c r="AY21" s="9">
        <f>Tabelle1[[#This Row],[Vitamin A '[µg/100g']]]*3.33</f>
        <v>1188.81</v>
      </c>
      <c r="AZ21" s="9">
        <f>Tabelle1[[#This Row],[Vitamin E '[mg/100g']]]*1.49</f>
        <v>1.341</v>
      </c>
    </row>
    <row r="22" spans="1:52" hidden="1" x14ac:dyDescent="0.45">
      <c r="A22" t="s">
        <v>916</v>
      </c>
      <c r="B22" s="5" t="s">
        <v>894</v>
      </c>
      <c r="C22" s="6" t="s">
        <v>895</v>
      </c>
      <c r="D22" s="13">
        <v>60</v>
      </c>
      <c r="E22" s="11">
        <f>Tabelle1[[#This Row],[Energie '[kcal/100g']]]/239</f>
        <v>0.2510460251046025</v>
      </c>
      <c r="F22" s="13">
        <v>0.309</v>
      </c>
      <c r="G22" s="11">
        <f>Tabelle1[[#This Row],[Rohprotein '[g/100g']]]*0.85</f>
        <v>0.26264999999999999</v>
      </c>
      <c r="H22" s="13">
        <v>0.29899999999999999</v>
      </c>
      <c r="I22" s="11">
        <f>Tabelle1[[#This Row],[TS]]-Tabelle1[[#This Row],[Rohprotein '[g/100g']]]-Tabelle1[[#This Row],[Rohfett '[g/100g']]]-Tabelle1[[#This Row],[Rohasche '[g/100g']]]-Tabelle1[[#This Row],[Rohfaser '[g/100g']]]</f>
        <v>15.988000000000005</v>
      </c>
      <c r="J22" s="11">
        <v>0</v>
      </c>
      <c r="K22" s="13">
        <v>0.30399999999999999</v>
      </c>
      <c r="L22" s="13">
        <v>83.1</v>
      </c>
      <c r="M22" s="13">
        <f>100-Tabelle1[[#This Row],[Wasser '[g/100g']]]</f>
        <v>16.900000000000006</v>
      </c>
      <c r="N22" s="13">
        <v>8</v>
      </c>
      <c r="O22" s="13">
        <v>11</v>
      </c>
      <c r="P22" s="13">
        <v>6</v>
      </c>
      <c r="Q22" s="13">
        <v>0.80200000000000005</v>
      </c>
      <c r="R22" s="13">
        <v>121</v>
      </c>
      <c r="S22" s="13"/>
      <c r="T22" s="13">
        <v>0.1</v>
      </c>
      <c r="U22" s="13">
        <v>0.11</v>
      </c>
      <c r="V22" s="11">
        <v>0</v>
      </c>
      <c r="W22" s="13">
        <v>77</v>
      </c>
      <c r="X22" s="13">
        <v>50</v>
      </c>
      <c r="Y22" s="13">
        <v>1</v>
      </c>
      <c r="Z22" s="13"/>
      <c r="AA22" s="13">
        <v>0</v>
      </c>
      <c r="AB22" s="13">
        <v>0.216</v>
      </c>
      <c r="AC22" s="13">
        <v>2</v>
      </c>
      <c r="AD22" s="13">
        <v>1.9E-2</v>
      </c>
      <c r="AE22" s="13">
        <v>3.5999999999999997E-2</v>
      </c>
      <c r="AF22" s="13">
        <v>0.17499999999999999</v>
      </c>
      <c r="AG22" s="13">
        <v>29.53</v>
      </c>
      <c r="AH22" s="13">
        <v>0</v>
      </c>
      <c r="AI22" s="13">
        <v>3.4140000000000001</v>
      </c>
      <c r="AJ22" s="13">
        <v>4.665</v>
      </c>
      <c r="AK22" s="13">
        <v>2</v>
      </c>
      <c r="AL22" s="13">
        <v>0.3</v>
      </c>
      <c r="AM22" s="13">
        <v>0</v>
      </c>
      <c r="AN22" s="13">
        <v>1.9199999999999998E-2</v>
      </c>
      <c r="AO22" s="13">
        <v>0</v>
      </c>
      <c r="AP22" s="13">
        <v>0</v>
      </c>
      <c r="AQ22" s="13">
        <v>0.111</v>
      </c>
      <c r="AR22" s="13">
        <v>0.111</v>
      </c>
      <c r="AS22" s="13">
        <v>7.0000000000000001E-3</v>
      </c>
      <c r="AT22" s="13">
        <v>1E-3</v>
      </c>
      <c r="AU22" s="13">
        <v>6.0000000000000001E-3</v>
      </c>
      <c r="AV22" s="13">
        <v>1.4E-2</v>
      </c>
      <c r="AW22" s="13">
        <v>1E-3</v>
      </c>
      <c r="AX22" s="9">
        <f>Tabelle1[[#This Row],[Vitamin D3 '[µg/100g']]]*40</f>
        <v>0</v>
      </c>
      <c r="AY22" s="9">
        <f>Tabelle1[[#This Row],[Vitamin A '[µg/100g']]]*3.33</f>
        <v>6.66</v>
      </c>
      <c r="AZ22" s="9">
        <f>Tabelle1[[#This Row],[Vitamin E '[mg/100g']]]*1.49</f>
        <v>0.32184000000000001</v>
      </c>
    </row>
    <row r="23" spans="1:52" hidden="1" x14ac:dyDescent="0.45">
      <c r="A23" t="s">
        <v>916</v>
      </c>
      <c r="B23" s="3" t="s">
        <v>896</v>
      </c>
      <c r="C23" s="4" t="s">
        <v>897</v>
      </c>
      <c r="D23" s="11">
        <v>58</v>
      </c>
      <c r="E23" s="11">
        <f>Tabelle1[[#This Row],[Energie '[kcal/100g']]]/239</f>
        <v>0.24267782426778242</v>
      </c>
      <c r="F23" s="11">
        <v>0.3</v>
      </c>
      <c r="G23" s="11">
        <f>Tabelle1[[#This Row],[Rohprotein '[g/100g']]]*0.85</f>
        <v>0.255</v>
      </c>
      <c r="H23" s="11">
        <v>0.28999999999999998</v>
      </c>
      <c r="I23" s="11">
        <f>Tabelle1[[#This Row],[TS]]-Tabelle1[[#This Row],[Rohprotein '[g/100g']]]-Tabelle1[[#This Row],[Rohfett '[g/100g']]]-Tabelle1[[#This Row],[Rohasche '[g/100g']]]-Tabelle1[[#This Row],[Rohfaser '[g/100g']]]</f>
        <v>15.506999999999996</v>
      </c>
      <c r="J23" s="11">
        <v>0</v>
      </c>
      <c r="K23" s="11">
        <v>0.29499999999999998</v>
      </c>
      <c r="L23" s="11">
        <v>83.608000000000004</v>
      </c>
      <c r="M23" s="11">
        <f>100-Tabelle1[[#This Row],[Wasser '[g/100g']]]</f>
        <v>16.391999999999996</v>
      </c>
      <c r="N23" s="11">
        <v>8</v>
      </c>
      <c r="O23" s="11">
        <v>11</v>
      </c>
      <c r="P23" s="11">
        <v>6</v>
      </c>
      <c r="Q23" s="11">
        <v>0.77800000000000002</v>
      </c>
      <c r="R23" s="11">
        <v>124</v>
      </c>
      <c r="S23" s="11"/>
      <c r="T23" s="11">
        <v>0.1</v>
      </c>
      <c r="U23" s="11">
        <v>0.11</v>
      </c>
      <c r="V23" s="11">
        <v>0</v>
      </c>
      <c r="W23" s="11">
        <v>79</v>
      </c>
      <c r="X23" s="11">
        <v>50</v>
      </c>
      <c r="Y23" s="11">
        <v>1</v>
      </c>
      <c r="Z23" s="11"/>
      <c r="AA23" s="11">
        <v>0</v>
      </c>
      <c r="AB23" s="11">
        <v>0.21</v>
      </c>
      <c r="AC23" s="11">
        <v>2</v>
      </c>
      <c r="AD23" s="11">
        <v>2.4E-2</v>
      </c>
      <c r="AE23" s="11">
        <v>0.04</v>
      </c>
      <c r="AF23" s="11">
        <v>0.2</v>
      </c>
      <c r="AG23" s="11">
        <v>32.92</v>
      </c>
      <c r="AH23" s="11">
        <v>0</v>
      </c>
      <c r="AI23" s="11">
        <v>4.5999999999999996</v>
      </c>
      <c r="AJ23" s="11">
        <v>4.5250000000000004</v>
      </c>
      <c r="AK23" s="11">
        <v>4</v>
      </c>
      <c r="AL23" s="11">
        <v>0.3</v>
      </c>
      <c r="AM23" s="11">
        <v>0</v>
      </c>
      <c r="AN23" s="11">
        <v>1.8599999999999998E-2</v>
      </c>
      <c r="AO23" s="11">
        <v>0</v>
      </c>
      <c r="AP23" s="11">
        <v>0</v>
      </c>
      <c r="AQ23" s="11">
        <v>0.108</v>
      </c>
      <c r="AR23" s="11">
        <v>0.108</v>
      </c>
      <c r="AS23" s="11">
        <v>7.0000000000000001E-3</v>
      </c>
      <c r="AT23" s="11">
        <v>1E-3</v>
      </c>
      <c r="AU23" s="11">
        <v>6.0000000000000001E-3</v>
      </c>
      <c r="AV23" s="11">
        <v>1.4E-2</v>
      </c>
      <c r="AW23" s="11">
        <v>1E-3</v>
      </c>
      <c r="AX23" s="9">
        <f>Tabelle1[[#This Row],[Vitamin D3 '[µg/100g']]]*40</f>
        <v>0</v>
      </c>
      <c r="AY23" s="9">
        <f>Tabelle1[[#This Row],[Vitamin A '[µg/100g']]]*3.33</f>
        <v>6.66</v>
      </c>
      <c r="AZ23" s="9">
        <f>Tabelle1[[#This Row],[Vitamin E '[mg/100g']]]*1.49</f>
        <v>0.31290000000000001</v>
      </c>
    </row>
    <row r="24" spans="1:52" hidden="1" x14ac:dyDescent="0.45">
      <c r="A24" t="s">
        <v>916</v>
      </c>
      <c r="B24" s="5" t="s">
        <v>898</v>
      </c>
      <c r="C24" s="6" t="s">
        <v>899</v>
      </c>
      <c r="D24" s="13">
        <v>35</v>
      </c>
      <c r="E24" s="11">
        <f>Tabelle1[[#This Row],[Energie '[kcal/100g']]]/239</f>
        <v>0.14644351464435146</v>
      </c>
      <c r="F24" s="13">
        <v>0.30099999999999999</v>
      </c>
      <c r="G24" s="11">
        <f>Tabelle1[[#This Row],[Rohprotein '[g/100g']]]*0.85</f>
        <v>0.25584999999999997</v>
      </c>
      <c r="H24" s="13">
        <v>0.30299999999999999</v>
      </c>
      <c r="I24" s="11">
        <f>Tabelle1[[#This Row],[TS]]-Tabelle1[[#This Row],[Rohprotein '[g/100g']]]-Tabelle1[[#This Row],[Rohfett '[g/100g']]]-Tabelle1[[#This Row],[Rohasche '[g/100g']]]-Tabelle1[[#This Row],[Rohfaser '[g/100g']]]</f>
        <v>9.3429999999999929</v>
      </c>
      <c r="J24" s="11">
        <v>0</v>
      </c>
      <c r="K24" s="13">
        <v>0.153</v>
      </c>
      <c r="L24" s="13">
        <v>89.9</v>
      </c>
      <c r="M24" s="13">
        <f>100-Tabelle1[[#This Row],[Wasser '[g/100g']]]</f>
        <v>10.099999999999994</v>
      </c>
      <c r="N24" s="13">
        <v>13</v>
      </c>
      <c r="O24" s="13">
        <v>9</v>
      </c>
      <c r="P24" s="13">
        <v>5</v>
      </c>
      <c r="Q24" s="13">
        <v>1.9</v>
      </c>
      <c r="R24" s="13">
        <v>64</v>
      </c>
      <c r="S24" s="13"/>
      <c r="T24" s="13">
        <v>0</v>
      </c>
      <c r="U24" s="13">
        <v>0.11</v>
      </c>
      <c r="V24" s="11">
        <v>0</v>
      </c>
      <c r="W24" s="13">
        <v>87</v>
      </c>
      <c r="X24" s="13">
        <v>50</v>
      </c>
      <c r="Y24" s="13">
        <v>2</v>
      </c>
      <c r="Z24" s="13"/>
      <c r="AA24" s="13">
        <v>0</v>
      </c>
      <c r="AB24" s="13">
        <v>0.219</v>
      </c>
      <c r="AC24" s="13">
        <v>2</v>
      </c>
      <c r="AD24" s="13">
        <v>6.0000000000000001E-3</v>
      </c>
      <c r="AE24" s="13">
        <v>1.9E-2</v>
      </c>
      <c r="AF24" s="13">
        <v>8.2000000000000003E-2</v>
      </c>
      <c r="AG24" s="13">
        <v>10.24</v>
      </c>
      <c r="AH24" s="13">
        <v>0</v>
      </c>
      <c r="AI24" s="13">
        <v>0.52900000000000003</v>
      </c>
      <c r="AJ24" s="13">
        <v>4.9219999999999997</v>
      </c>
      <c r="AK24" s="13">
        <v>1</v>
      </c>
      <c r="AL24" s="13">
        <v>0.1</v>
      </c>
      <c r="AM24" s="13">
        <v>0</v>
      </c>
      <c r="AN24" s="13">
        <v>1.9400000000000001E-2</v>
      </c>
      <c r="AO24" s="13">
        <v>0</v>
      </c>
      <c r="AP24" s="13">
        <v>0</v>
      </c>
      <c r="AQ24" s="13">
        <v>0.113</v>
      </c>
      <c r="AR24" s="13">
        <v>0.113</v>
      </c>
      <c r="AS24" s="13">
        <v>7.0000000000000001E-3</v>
      </c>
      <c r="AT24" s="13">
        <v>0</v>
      </c>
      <c r="AU24" s="13">
        <v>5.0000000000000001E-3</v>
      </c>
      <c r="AV24" s="13">
        <v>1.4E-2</v>
      </c>
      <c r="AW24" s="13">
        <v>0</v>
      </c>
      <c r="AX24" s="9">
        <f>Tabelle1[[#This Row],[Vitamin D3 '[µg/100g']]]*40</f>
        <v>0</v>
      </c>
      <c r="AY24" s="9">
        <f>Tabelle1[[#This Row],[Vitamin A '[µg/100g']]]*3.33</f>
        <v>6.66</v>
      </c>
      <c r="AZ24" s="9">
        <f>Tabelle1[[#This Row],[Vitamin E '[mg/100g']]]*1.49</f>
        <v>0.32630999999999999</v>
      </c>
    </row>
    <row r="25" spans="1:52" hidden="1" x14ac:dyDescent="0.45">
      <c r="A25" t="s">
        <v>877</v>
      </c>
      <c r="B25" s="3" t="s">
        <v>695</v>
      </c>
      <c r="C25" s="4" t="s">
        <v>696</v>
      </c>
      <c r="D25" s="11">
        <v>50</v>
      </c>
      <c r="E25" s="11">
        <f>Tabelle1[[#This Row],[Energie '[kcal/100g']]]/239</f>
        <v>0.20920502092050208</v>
      </c>
      <c r="F25" s="11">
        <v>3.4140000000000001</v>
      </c>
      <c r="G25" s="11">
        <f>Tabelle1[[#This Row],[Rohprotein '[g/100g']]]*0.85</f>
        <v>2.9018999999999999</v>
      </c>
      <c r="H25" s="11">
        <v>0.39400000000000002</v>
      </c>
      <c r="I25" s="11">
        <f>Tabelle1[[#This Row],[TS]]-Tabelle1[[#This Row],[Rohprotein '[g/100g']]]-Tabelle1[[#This Row],[Rohfett '[g/100g']]]-Tabelle1[[#This Row],[Rohasche '[g/100g']]]-Tabelle1[[#This Row],[Rohfaser '[g/100g']]]</f>
        <v>8.2930000000000028</v>
      </c>
      <c r="J25" s="11">
        <v>0</v>
      </c>
      <c r="K25" s="11">
        <v>1.099</v>
      </c>
      <c r="L25" s="11">
        <v>86.8</v>
      </c>
      <c r="M25" s="11">
        <f>100-Tabelle1[[#This Row],[Wasser '[g/100g']]]</f>
        <v>13.200000000000003</v>
      </c>
      <c r="N25" s="11">
        <v>34</v>
      </c>
      <c r="O25" s="11">
        <v>69</v>
      </c>
      <c r="P25" s="11">
        <v>20</v>
      </c>
      <c r="Q25" s="11">
        <v>17</v>
      </c>
      <c r="R25" s="11">
        <v>394</v>
      </c>
      <c r="S25" s="11"/>
      <c r="T25" s="11">
        <v>0.57699999999999996</v>
      </c>
      <c r="U25" s="11">
        <v>0.44</v>
      </c>
      <c r="V25" s="11">
        <v>0</v>
      </c>
      <c r="W25" s="11">
        <v>49</v>
      </c>
      <c r="X25" s="11">
        <v>230</v>
      </c>
      <c r="Y25" s="11">
        <v>0.9</v>
      </c>
      <c r="Z25" s="11"/>
      <c r="AA25" s="11">
        <v>0</v>
      </c>
      <c r="AB25" s="11">
        <v>0.113</v>
      </c>
      <c r="AC25" s="11">
        <v>4</v>
      </c>
      <c r="AD25" s="11">
        <v>6.8000000000000005E-2</v>
      </c>
      <c r="AE25" s="11">
        <v>0.12</v>
      </c>
      <c r="AF25" s="11">
        <v>0.80300000000000005</v>
      </c>
      <c r="AG25" s="11">
        <v>120.21</v>
      </c>
      <c r="AH25" s="11">
        <v>0</v>
      </c>
      <c r="AI25" s="11">
        <v>72.113</v>
      </c>
      <c r="AJ25" s="11">
        <v>30</v>
      </c>
      <c r="AK25" s="11">
        <v>75</v>
      </c>
      <c r="AL25" s="11">
        <v>2.2000000000000002</v>
      </c>
      <c r="AM25" s="11">
        <v>0</v>
      </c>
      <c r="AN25" s="11">
        <v>0.154</v>
      </c>
      <c r="AO25" s="11">
        <v>0</v>
      </c>
      <c r="AP25" s="11">
        <v>0</v>
      </c>
      <c r="AQ25" s="11">
        <v>4.1000000000000002E-2</v>
      </c>
      <c r="AR25" s="11">
        <v>4.1000000000000002E-2</v>
      </c>
      <c r="AS25" s="11">
        <v>0.155</v>
      </c>
      <c r="AT25" s="11">
        <v>0</v>
      </c>
      <c r="AU25" s="11">
        <v>6.9000000000000006E-2</v>
      </c>
      <c r="AV25" s="11">
        <v>0.19700000000000001</v>
      </c>
      <c r="AW25" s="11">
        <v>6.8000000000000005E-2</v>
      </c>
      <c r="AX25" s="9">
        <f>Tabelle1[[#This Row],[Vitamin D3 '[µg/100g']]]*40</f>
        <v>0</v>
      </c>
      <c r="AY25" s="9">
        <f>Tabelle1[[#This Row],[Vitamin A '[µg/100g']]]*3.33</f>
        <v>13.32</v>
      </c>
      <c r="AZ25" s="9">
        <f>Tabelle1[[#This Row],[Vitamin E '[mg/100g']]]*1.49</f>
        <v>0.16836999999999999</v>
      </c>
    </row>
    <row r="26" spans="1:52" hidden="1" x14ac:dyDescent="0.45">
      <c r="A26" t="s">
        <v>877</v>
      </c>
      <c r="B26" s="3" t="s">
        <v>697</v>
      </c>
      <c r="C26" s="4" t="s">
        <v>698</v>
      </c>
      <c r="D26" s="11">
        <v>71</v>
      </c>
      <c r="E26" s="11">
        <f>Tabelle1[[#This Row],[Energie '[kcal/100g']]]/239</f>
        <v>0.29707112970711297</v>
      </c>
      <c r="F26" s="11">
        <v>4.8479999999999999</v>
      </c>
      <c r="G26" s="11">
        <f>Tabelle1[[#This Row],[Rohprotein '[g/100g']]]*0.85</f>
        <v>4.1208</v>
      </c>
      <c r="H26" s="11">
        <v>0.56000000000000005</v>
      </c>
      <c r="I26" s="11">
        <f>Tabelle1[[#This Row],[TS]]-Tabelle1[[#This Row],[Rohprotein '[g/100g']]]-Tabelle1[[#This Row],[Rohfett '[g/100g']]]-Tabelle1[[#This Row],[Rohasche '[g/100g']]]-Tabelle1[[#This Row],[Rohfaser '[g/100g']]]</f>
        <v>13.331999999999997</v>
      </c>
      <c r="J26" s="11">
        <v>0</v>
      </c>
      <c r="K26" s="11">
        <v>1.56</v>
      </c>
      <c r="L26" s="11">
        <v>79.7</v>
      </c>
      <c r="M26" s="11">
        <f>100-Tabelle1[[#This Row],[Wasser '[g/100g']]]</f>
        <v>20.299999999999997</v>
      </c>
      <c r="N26" s="11">
        <v>48</v>
      </c>
      <c r="O26" s="11">
        <v>98</v>
      </c>
      <c r="P26" s="11">
        <v>28</v>
      </c>
      <c r="Q26" s="11">
        <v>24</v>
      </c>
      <c r="R26" s="11">
        <v>560</v>
      </c>
      <c r="S26" s="11"/>
      <c r="T26" s="11">
        <v>0.82</v>
      </c>
      <c r="U26" s="11">
        <v>0.62</v>
      </c>
      <c r="V26" s="11">
        <v>0</v>
      </c>
      <c r="W26" s="11">
        <v>70</v>
      </c>
      <c r="X26" s="11">
        <v>320</v>
      </c>
      <c r="Y26" s="11">
        <v>1.3</v>
      </c>
      <c r="Z26" s="11"/>
      <c r="AA26" s="11">
        <v>0</v>
      </c>
      <c r="AB26" s="11">
        <v>0.16</v>
      </c>
      <c r="AC26" s="11">
        <v>5</v>
      </c>
      <c r="AD26" s="11">
        <v>9.7000000000000003E-2</v>
      </c>
      <c r="AE26" s="11">
        <v>0.17100000000000001</v>
      </c>
      <c r="AF26" s="11">
        <v>1.1399999999999999</v>
      </c>
      <c r="AG26" s="11">
        <v>170.69</v>
      </c>
      <c r="AH26" s="11">
        <v>0</v>
      </c>
      <c r="AI26" s="11">
        <v>102.4</v>
      </c>
      <c r="AJ26" s="11">
        <v>42</v>
      </c>
      <c r="AK26" s="11">
        <v>106</v>
      </c>
      <c r="AL26" s="11">
        <v>3.1</v>
      </c>
      <c r="AM26" s="11">
        <v>0</v>
      </c>
      <c r="AN26" s="11">
        <v>0.218</v>
      </c>
      <c r="AO26" s="11">
        <v>0</v>
      </c>
      <c r="AP26" s="11">
        <v>0</v>
      </c>
      <c r="AQ26" s="11">
        <v>5.8000000000000003E-2</v>
      </c>
      <c r="AR26" s="11">
        <v>5.8000000000000003E-2</v>
      </c>
      <c r="AS26" s="11">
        <v>0.22</v>
      </c>
      <c r="AT26" s="11">
        <v>0</v>
      </c>
      <c r="AU26" s="11">
        <v>9.8000000000000004E-2</v>
      </c>
      <c r="AV26" s="11">
        <v>0.28000000000000003</v>
      </c>
      <c r="AW26" s="11">
        <v>9.6000000000000002E-2</v>
      </c>
      <c r="AX26" s="9">
        <f>Tabelle1[[#This Row],[Vitamin D3 '[µg/100g']]]*40</f>
        <v>0</v>
      </c>
      <c r="AY26" s="9">
        <f>Tabelle1[[#This Row],[Vitamin A '[µg/100g']]]*3.33</f>
        <v>16.649999999999999</v>
      </c>
      <c r="AZ26" s="9">
        <f>Tabelle1[[#This Row],[Vitamin E '[mg/100g']]]*1.49</f>
        <v>0.2384</v>
      </c>
    </row>
    <row r="27" spans="1:52" hidden="1" x14ac:dyDescent="0.45">
      <c r="A27" t="s">
        <v>877</v>
      </c>
      <c r="B27" s="5" t="s">
        <v>699</v>
      </c>
      <c r="C27" s="6" t="s">
        <v>700</v>
      </c>
      <c r="D27" s="13">
        <v>35</v>
      </c>
      <c r="E27" s="11">
        <f>Tabelle1[[#This Row],[Energie '[kcal/100g']]]/239</f>
        <v>0.14644351464435146</v>
      </c>
      <c r="F27" s="13">
        <v>2.399</v>
      </c>
      <c r="G27" s="11">
        <f>Tabelle1[[#This Row],[Rohprotein '[g/100g']]]*0.85</f>
        <v>2.0391499999999998</v>
      </c>
      <c r="H27" s="13">
        <v>0.27700000000000002</v>
      </c>
      <c r="I27" s="11">
        <f>Tabelle1[[#This Row],[TS]]-Tabelle1[[#This Row],[Rohprotein '[g/100g']]]-Tabelle1[[#This Row],[Rohfett '[g/100g']]]-Tabelle1[[#This Row],[Rohasche '[g/100g']]]-Tabelle1[[#This Row],[Rohfaser '[g/100g']]]</f>
        <v>4.6929999999999943</v>
      </c>
      <c r="J27" s="11">
        <v>0</v>
      </c>
      <c r="K27" s="13">
        <v>0.73099999999999998</v>
      </c>
      <c r="L27" s="13">
        <v>91.9</v>
      </c>
      <c r="M27" s="13">
        <f>100-Tabelle1[[#This Row],[Wasser '[g/100g']]]</f>
        <v>8.0999999999999943</v>
      </c>
      <c r="N27" s="13">
        <v>24</v>
      </c>
      <c r="O27" s="13">
        <v>48</v>
      </c>
      <c r="P27" s="13">
        <v>13</v>
      </c>
      <c r="Q27" s="13">
        <v>11</v>
      </c>
      <c r="R27" s="13">
        <v>248</v>
      </c>
      <c r="S27" s="13"/>
      <c r="T27" s="13">
        <v>0.34200000000000003</v>
      </c>
      <c r="U27" s="13">
        <v>0.28999999999999998</v>
      </c>
      <c r="V27" s="11">
        <v>0</v>
      </c>
      <c r="W27" s="13">
        <v>36</v>
      </c>
      <c r="X27" s="13">
        <v>160</v>
      </c>
      <c r="Y27" s="13">
        <v>0.7</v>
      </c>
      <c r="Z27" s="13"/>
      <c r="AA27" s="13">
        <v>0</v>
      </c>
      <c r="AB27" s="13">
        <v>8.3000000000000004E-2</v>
      </c>
      <c r="AC27" s="13">
        <v>3</v>
      </c>
      <c r="AD27" s="13">
        <v>4.4999999999999998E-2</v>
      </c>
      <c r="AE27" s="13">
        <v>8.4000000000000005E-2</v>
      </c>
      <c r="AF27" s="13">
        <v>0.5</v>
      </c>
      <c r="AG27" s="13">
        <v>83.96</v>
      </c>
      <c r="AH27" s="13">
        <v>0</v>
      </c>
      <c r="AI27" s="13">
        <v>50</v>
      </c>
      <c r="AJ27" s="13">
        <v>20</v>
      </c>
      <c r="AK27" s="13">
        <v>48</v>
      </c>
      <c r="AL27" s="13">
        <v>1.5</v>
      </c>
      <c r="AM27" s="13">
        <v>0</v>
      </c>
      <c r="AN27" s="13">
        <v>0.108</v>
      </c>
      <c r="AO27" s="13">
        <v>0</v>
      </c>
      <c r="AP27" s="13">
        <v>0</v>
      </c>
      <c r="AQ27" s="13">
        <v>2.9000000000000001E-2</v>
      </c>
      <c r="AR27" s="13">
        <v>2.9000000000000001E-2</v>
      </c>
      <c r="AS27" s="13">
        <v>0.109</v>
      </c>
      <c r="AT27" s="11">
        <v>0</v>
      </c>
      <c r="AU27" s="13">
        <v>4.8000000000000001E-2</v>
      </c>
      <c r="AV27" s="13">
        <v>0.13900000000000001</v>
      </c>
      <c r="AW27" s="13">
        <v>4.8000000000000001E-2</v>
      </c>
      <c r="AX27" s="9">
        <f>Tabelle1[[#This Row],[Vitamin D3 '[µg/100g']]]*40</f>
        <v>0</v>
      </c>
      <c r="AY27" s="9">
        <f>Tabelle1[[#This Row],[Vitamin A '[µg/100g']]]*3.33</f>
        <v>9.99</v>
      </c>
      <c r="AZ27" s="9">
        <f>Tabelle1[[#This Row],[Vitamin E '[mg/100g']]]*1.49</f>
        <v>0.12367</v>
      </c>
    </row>
    <row r="28" spans="1:52" hidden="1" x14ac:dyDescent="0.45">
      <c r="A28" t="s">
        <v>877</v>
      </c>
      <c r="B28" s="5" t="s">
        <v>701</v>
      </c>
      <c r="C28" s="6" t="s">
        <v>702</v>
      </c>
      <c r="D28" s="13">
        <v>38</v>
      </c>
      <c r="E28" s="11">
        <f>Tabelle1[[#This Row],[Energie '[kcal/100g']]]/239</f>
        <v>0.15899581589958159</v>
      </c>
      <c r="F28" s="13">
        <v>2.5790000000000002</v>
      </c>
      <c r="G28" s="11">
        <f>Tabelle1[[#This Row],[Rohprotein '[g/100g']]]*0.85</f>
        <v>2.1921500000000003</v>
      </c>
      <c r="H28" s="13">
        <v>0.29799999999999999</v>
      </c>
      <c r="I28" s="11">
        <f>Tabelle1[[#This Row],[TS]]-Tabelle1[[#This Row],[Rohprotein '[g/100g']]]-Tabelle1[[#This Row],[Rohfett '[g/100g']]]-Tabelle1[[#This Row],[Rohasche '[g/100g']]]-Tabelle1[[#This Row],[Rohfaser '[g/100g']]]</f>
        <v>5.3929999999999936</v>
      </c>
      <c r="J28" s="11">
        <v>0</v>
      </c>
      <c r="K28" s="13">
        <v>0.83</v>
      </c>
      <c r="L28" s="13">
        <v>90.9</v>
      </c>
      <c r="M28" s="13">
        <f>100-Tabelle1[[#This Row],[Wasser '[g/100g']]]</f>
        <v>9.0999999999999943</v>
      </c>
      <c r="N28" s="13">
        <v>26</v>
      </c>
      <c r="O28" s="13">
        <v>52</v>
      </c>
      <c r="P28" s="13">
        <v>15</v>
      </c>
      <c r="Q28" s="13">
        <v>13</v>
      </c>
      <c r="R28" s="13">
        <v>298</v>
      </c>
      <c r="S28" s="13"/>
      <c r="T28" s="13">
        <v>0.436</v>
      </c>
      <c r="U28" s="13">
        <v>0.33</v>
      </c>
      <c r="V28" s="11">
        <v>0</v>
      </c>
      <c r="W28" s="13">
        <v>37</v>
      </c>
      <c r="X28" s="13">
        <v>170</v>
      </c>
      <c r="Y28" s="13">
        <v>0.7</v>
      </c>
      <c r="Z28" s="13"/>
      <c r="AA28" s="13">
        <v>0</v>
      </c>
      <c r="AB28" s="13">
        <v>8.5000000000000006E-2</v>
      </c>
      <c r="AC28" s="13">
        <v>3</v>
      </c>
      <c r="AD28" s="13">
        <v>5.1999999999999998E-2</v>
      </c>
      <c r="AE28" s="13">
        <v>9.0999999999999998E-2</v>
      </c>
      <c r="AF28" s="13">
        <v>0.60599999999999998</v>
      </c>
      <c r="AG28" s="13">
        <v>90.79</v>
      </c>
      <c r="AH28" s="13">
        <v>0</v>
      </c>
      <c r="AI28" s="13">
        <v>54.468000000000004</v>
      </c>
      <c r="AJ28" s="13">
        <v>22</v>
      </c>
      <c r="AK28" s="13">
        <v>57</v>
      </c>
      <c r="AL28" s="13">
        <v>1.6</v>
      </c>
      <c r="AM28" s="13">
        <v>0</v>
      </c>
      <c r="AN28" s="13">
        <v>0.11600000000000001</v>
      </c>
      <c r="AO28" s="13">
        <v>0</v>
      </c>
      <c r="AP28" s="13">
        <v>0</v>
      </c>
      <c r="AQ28" s="13">
        <v>3.1E-2</v>
      </c>
      <c r="AR28" s="13">
        <v>3.1E-2</v>
      </c>
      <c r="AS28" s="13">
        <v>0.11700000000000001</v>
      </c>
      <c r="AT28" s="11">
        <v>0</v>
      </c>
      <c r="AU28" s="13">
        <v>5.1999999999999998E-2</v>
      </c>
      <c r="AV28" s="13">
        <v>0.14899999999999999</v>
      </c>
      <c r="AW28" s="13">
        <v>5.0999999999999997E-2</v>
      </c>
      <c r="AX28" s="9">
        <f>Tabelle1[[#This Row],[Vitamin D3 '[µg/100g']]]*40</f>
        <v>0</v>
      </c>
      <c r="AY28" s="9">
        <f>Tabelle1[[#This Row],[Vitamin A '[µg/100g']]]*3.33</f>
        <v>9.99</v>
      </c>
      <c r="AZ28" s="9">
        <f>Tabelle1[[#This Row],[Vitamin E '[mg/100g']]]*1.49</f>
        <v>0.12665000000000001</v>
      </c>
    </row>
    <row r="29" spans="1:52" hidden="1" x14ac:dyDescent="0.45">
      <c r="A29" t="s">
        <v>877</v>
      </c>
      <c r="B29" s="3" t="s">
        <v>703</v>
      </c>
      <c r="C29" s="4" t="s">
        <v>704</v>
      </c>
      <c r="D29" s="11">
        <v>37</v>
      </c>
      <c r="E29" s="11">
        <f>Tabelle1[[#This Row],[Energie '[kcal/100g']]]/239</f>
        <v>0.15481171548117154</v>
      </c>
      <c r="F29" s="11">
        <v>1.9</v>
      </c>
      <c r="G29" s="11">
        <f>Tabelle1[[#This Row],[Rohprotein '[g/100g']]]*0.85</f>
        <v>1.615</v>
      </c>
      <c r="H29" s="11">
        <v>0.9</v>
      </c>
      <c r="I29" s="11">
        <f>Tabelle1[[#This Row],[TS]]-Tabelle1[[#This Row],[Rohprotein '[g/100g']]]-Tabelle1[[#This Row],[Rohfett '[g/100g']]]-Tabelle1[[#This Row],[Rohasche '[g/100g']]]-Tabelle1[[#This Row],[Rohfaser '[g/100g']]]</f>
        <v>3.8099999999999929</v>
      </c>
      <c r="J29" s="11">
        <v>0</v>
      </c>
      <c r="K29" s="11">
        <v>0.6</v>
      </c>
      <c r="L29" s="11">
        <v>92.79</v>
      </c>
      <c r="M29" s="11">
        <f>100-Tabelle1[[#This Row],[Wasser '[g/100g']]]</f>
        <v>7.2099999999999937</v>
      </c>
      <c r="N29" s="11">
        <v>19</v>
      </c>
      <c r="O29" s="11">
        <v>41</v>
      </c>
      <c r="P29" s="11">
        <v>12</v>
      </c>
      <c r="Q29" s="11">
        <v>7</v>
      </c>
      <c r="R29" s="11">
        <v>215</v>
      </c>
      <c r="S29" s="11"/>
      <c r="T29" s="11">
        <v>0.45</v>
      </c>
      <c r="U29" s="11">
        <v>0.24</v>
      </c>
      <c r="V29" s="11">
        <v>0</v>
      </c>
      <c r="W29" s="11">
        <v>16</v>
      </c>
      <c r="X29" s="11">
        <v>127</v>
      </c>
      <c r="Y29" s="11">
        <v>0</v>
      </c>
      <c r="Z29" s="11"/>
      <c r="AA29" s="11">
        <v>0</v>
      </c>
      <c r="AB29" s="11">
        <v>0.1</v>
      </c>
      <c r="AC29" s="11">
        <v>48</v>
      </c>
      <c r="AD29" s="11">
        <v>0.09</v>
      </c>
      <c r="AE29" s="11">
        <v>0.03</v>
      </c>
      <c r="AF29" s="11">
        <v>0.4</v>
      </c>
      <c r="AG29" s="11">
        <v>101.6</v>
      </c>
      <c r="AH29" s="11">
        <v>0</v>
      </c>
      <c r="AI29" s="11">
        <v>49</v>
      </c>
      <c r="AJ29" s="11">
        <v>19</v>
      </c>
      <c r="AK29" s="11">
        <v>12</v>
      </c>
      <c r="AL29" s="11">
        <v>1.2</v>
      </c>
      <c r="AM29" s="11">
        <v>0</v>
      </c>
      <c r="AN29" s="11">
        <v>9.9000000000000005E-2</v>
      </c>
      <c r="AO29" s="11">
        <v>0</v>
      </c>
      <c r="AP29" s="11">
        <v>0</v>
      </c>
      <c r="AQ29" s="11">
        <v>2.5999999999999999E-2</v>
      </c>
      <c r="AR29" s="11">
        <v>2.5999999999999999E-2</v>
      </c>
      <c r="AS29" s="11">
        <v>0.1</v>
      </c>
      <c r="AT29" s="11">
        <v>0</v>
      </c>
      <c r="AU29" s="11">
        <v>4.4999999999999998E-2</v>
      </c>
      <c r="AV29" s="11">
        <v>0.127</v>
      </c>
      <c r="AW29" s="11">
        <v>4.3999999999999997E-2</v>
      </c>
      <c r="AX29" s="9">
        <f>Tabelle1[[#This Row],[Vitamin D3 '[µg/100g']]]*40</f>
        <v>0</v>
      </c>
      <c r="AY29" s="9">
        <f>Tabelle1[[#This Row],[Vitamin A '[µg/100g']]]*3.33</f>
        <v>159.84</v>
      </c>
      <c r="AZ29" s="9">
        <f>Tabelle1[[#This Row],[Vitamin E '[mg/100g']]]*1.49</f>
        <v>0.14899999999999999</v>
      </c>
    </row>
    <row r="30" spans="1:52" hidden="1" x14ac:dyDescent="0.45">
      <c r="A30" t="s">
        <v>877</v>
      </c>
      <c r="B30" s="5" t="s">
        <v>705</v>
      </c>
      <c r="C30" s="6" t="s">
        <v>706</v>
      </c>
      <c r="D30" s="13">
        <v>35</v>
      </c>
      <c r="E30" s="11">
        <f>Tabelle1[[#This Row],[Energie '[kcal/100g']]]/239</f>
        <v>0.14644351464435146</v>
      </c>
      <c r="F30" s="13">
        <v>2.4239999999999999</v>
      </c>
      <c r="G30" s="11">
        <f>Tabelle1[[#This Row],[Rohprotein '[g/100g']]]*0.85</f>
        <v>2.0604</v>
      </c>
      <c r="H30" s="13">
        <v>0.28000000000000003</v>
      </c>
      <c r="I30" s="11">
        <f>Tabelle1[[#This Row],[TS]]-Tabelle1[[#This Row],[Rohprotein '[g/100g']]]-Tabelle1[[#This Row],[Rohfett '[g/100g']]]-Tabelle1[[#This Row],[Rohasche '[g/100g']]]-Tabelle1[[#This Row],[Rohfaser '[g/100g']]]</f>
        <v>4.8159999999999972</v>
      </c>
      <c r="J30" s="11">
        <v>0</v>
      </c>
      <c r="K30" s="13">
        <v>0.78</v>
      </c>
      <c r="L30" s="13">
        <v>91.7</v>
      </c>
      <c r="M30" s="13">
        <f>100-Tabelle1[[#This Row],[Wasser '[g/100g']]]</f>
        <v>8.2999999999999972</v>
      </c>
      <c r="N30" s="13">
        <v>24</v>
      </c>
      <c r="O30" s="13">
        <v>49</v>
      </c>
      <c r="P30" s="13">
        <v>14</v>
      </c>
      <c r="Q30" s="13">
        <v>12</v>
      </c>
      <c r="R30" s="13">
        <v>280</v>
      </c>
      <c r="S30" s="13"/>
      <c r="T30" s="13">
        <v>0.41</v>
      </c>
      <c r="U30" s="13">
        <v>0.31</v>
      </c>
      <c r="V30" s="11">
        <v>0</v>
      </c>
      <c r="W30" s="13">
        <v>35</v>
      </c>
      <c r="X30" s="13">
        <v>160</v>
      </c>
      <c r="Y30" s="13">
        <v>0.7</v>
      </c>
      <c r="Z30" s="13"/>
      <c r="AA30" s="13">
        <v>0</v>
      </c>
      <c r="AB30" s="13">
        <v>0.08</v>
      </c>
      <c r="AC30" s="13">
        <v>466</v>
      </c>
      <c r="AD30" s="13">
        <v>5.3999999999999999E-2</v>
      </c>
      <c r="AE30" s="13">
        <v>0.09</v>
      </c>
      <c r="AF30" s="13">
        <v>0.6</v>
      </c>
      <c r="AG30" s="13">
        <v>94.83</v>
      </c>
      <c r="AH30" s="13">
        <v>0</v>
      </c>
      <c r="AI30" s="13">
        <v>64</v>
      </c>
      <c r="AJ30" s="13">
        <v>21</v>
      </c>
      <c r="AK30" s="13">
        <v>54</v>
      </c>
      <c r="AL30" s="13">
        <v>1.7</v>
      </c>
      <c r="AM30" s="13">
        <v>0</v>
      </c>
      <c r="AN30" s="13">
        <v>0.109</v>
      </c>
      <c r="AO30" s="13">
        <v>0</v>
      </c>
      <c r="AP30" s="13">
        <v>0</v>
      </c>
      <c r="AQ30" s="13">
        <v>2.9000000000000001E-2</v>
      </c>
      <c r="AR30" s="13">
        <v>2.9000000000000001E-2</v>
      </c>
      <c r="AS30" s="13">
        <v>0.11</v>
      </c>
      <c r="AT30" s="11">
        <v>0</v>
      </c>
      <c r="AU30" s="13">
        <v>4.9000000000000002E-2</v>
      </c>
      <c r="AV30" s="13">
        <v>0.14000000000000001</v>
      </c>
      <c r="AW30" s="13">
        <v>4.8000000000000001E-2</v>
      </c>
      <c r="AX30" s="9">
        <f>Tabelle1[[#This Row],[Vitamin D3 '[µg/100g']]]*40</f>
        <v>0</v>
      </c>
      <c r="AY30" s="9">
        <f>Tabelle1[[#This Row],[Vitamin A '[µg/100g']]]*3.33</f>
        <v>1551.78</v>
      </c>
      <c r="AZ30" s="9">
        <f>Tabelle1[[#This Row],[Vitamin E '[mg/100g']]]*1.49</f>
        <v>0.1192</v>
      </c>
    </row>
    <row r="31" spans="1:52" hidden="1" x14ac:dyDescent="0.45">
      <c r="A31" t="s">
        <v>877</v>
      </c>
      <c r="B31" s="5" t="s">
        <v>707</v>
      </c>
      <c r="C31" s="6" t="s">
        <v>708</v>
      </c>
      <c r="D31" s="13">
        <v>50</v>
      </c>
      <c r="E31" s="11">
        <f>Tabelle1[[#This Row],[Energie '[kcal/100g']]]/239</f>
        <v>0.20920502092050208</v>
      </c>
      <c r="F31" s="13">
        <v>5.101</v>
      </c>
      <c r="G31" s="11">
        <f>Tabelle1[[#This Row],[Rohprotein '[g/100g']]]*0.85</f>
        <v>4.3358499999999998</v>
      </c>
      <c r="H31" s="13">
        <v>0.84040000000000004</v>
      </c>
      <c r="I31" s="11">
        <f>Tabelle1[[#This Row],[TS]]-Tabelle1[[#This Row],[Rohprotein '[g/100g']]]-Tabelle1[[#This Row],[Rohfett '[g/100g']]]-Tabelle1[[#This Row],[Rohasche '[g/100g']]]-Tabelle1[[#This Row],[Rohfaser '[g/100g']]]</f>
        <v>9.7065999999999981</v>
      </c>
      <c r="J31" s="11">
        <v>0</v>
      </c>
      <c r="K31" s="13">
        <v>1.1519999999999999</v>
      </c>
      <c r="L31" s="13">
        <v>83.2</v>
      </c>
      <c r="M31" s="13">
        <f>100-Tabelle1[[#This Row],[Wasser '[g/100g']]]</f>
        <v>16.799999999999997</v>
      </c>
      <c r="N31" s="13">
        <v>61</v>
      </c>
      <c r="O31" s="13">
        <v>63.82</v>
      </c>
      <c r="P31" s="13">
        <v>38</v>
      </c>
      <c r="Q31" s="13">
        <v>37</v>
      </c>
      <c r="R31" s="13">
        <v>558</v>
      </c>
      <c r="S31" s="13"/>
      <c r="T31" s="13">
        <v>1.377</v>
      </c>
      <c r="U31" s="13">
        <v>0.93</v>
      </c>
      <c r="V31" s="11">
        <v>0</v>
      </c>
      <c r="W31" s="13">
        <v>93</v>
      </c>
      <c r="X31" s="13">
        <v>517</v>
      </c>
      <c r="Y31" s="13">
        <v>3</v>
      </c>
      <c r="Z31" s="13"/>
      <c r="AA31" s="13">
        <v>0</v>
      </c>
      <c r="AB31" s="13">
        <v>3.1110000000000002</v>
      </c>
      <c r="AC31" s="13">
        <v>145</v>
      </c>
      <c r="AD31" s="13">
        <v>0.19</v>
      </c>
      <c r="AE31" s="13">
        <v>0.161</v>
      </c>
      <c r="AF31" s="13">
        <v>1.07</v>
      </c>
      <c r="AG31" s="13">
        <v>151</v>
      </c>
      <c r="AH31" s="13">
        <v>0</v>
      </c>
      <c r="AI31" s="13">
        <v>91.210999999999999</v>
      </c>
      <c r="AJ31" s="13">
        <v>263</v>
      </c>
      <c r="AK31" s="13">
        <v>88</v>
      </c>
      <c r="AL31" s="13">
        <v>5.2</v>
      </c>
      <c r="AM31" s="13">
        <v>0</v>
      </c>
      <c r="AN31" s="13">
        <v>0.24990000000000001</v>
      </c>
      <c r="AO31" s="13">
        <v>0</v>
      </c>
      <c r="AP31" s="13">
        <v>0</v>
      </c>
      <c r="AQ31" s="13">
        <v>0.11459999999999999</v>
      </c>
      <c r="AR31" s="13">
        <v>0.11459999999999999</v>
      </c>
      <c r="AS31" s="13">
        <v>0.26800000000000002</v>
      </c>
      <c r="AT31" s="11">
        <v>0</v>
      </c>
      <c r="AU31" s="13">
        <v>8.8999999999999996E-2</v>
      </c>
      <c r="AV31" s="13">
        <v>0.21099999999999999</v>
      </c>
      <c r="AW31" s="13">
        <v>7.0000000000000007E-2</v>
      </c>
      <c r="AX31" s="9">
        <f>Tabelle1[[#This Row],[Vitamin D3 '[µg/100g']]]*40</f>
        <v>0</v>
      </c>
      <c r="AY31" s="9">
        <f>Tabelle1[[#This Row],[Vitamin A '[µg/100g']]]*3.33</f>
        <v>482.85</v>
      </c>
      <c r="AZ31" s="9">
        <f>Tabelle1[[#This Row],[Vitamin E '[mg/100g']]]*1.49</f>
        <v>4.6353900000000001</v>
      </c>
    </row>
    <row r="32" spans="1:52" hidden="1" x14ac:dyDescent="0.45">
      <c r="A32" t="s">
        <v>877</v>
      </c>
      <c r="B32" s="3" t="s">
        <v>709</v>
      </c>
      <c r="C32" s="4" t="s">
        <v>710</v>
      </c>
      <c r="D32" s="11">
        <v>71</v>
      </c>
      <c r="E32" s="11">
        <f>Tabelle1[[#This Row],[Energie '[kcal/100g']]]/239</f>
        <v>0.29707112970711297</v>
      </c>
      <c r="F32" s="11">
        <v>7.2439999999999998</v>
      </c>
      <c r="G32" s="11">
        <f>Tabelle1[[#This Row],[Rohprotein '[g/100g']]]*0.85</f>
        <v>6.1574</v>
      </c>
      <c r="H32" s="11">
        <v>1.1934</v>
      </c>
      <c r="I32" s="11">
        <f>Tabelle1[[#This Row],[TS]]-Tabelle1[[#This Row],[Rohprotein '[g/100g']]]-Tabelle1[[#This Row],[Rohfett '[g/100g']]]-Tabelle1[[#This Row],[Rohasche '[g/100g']]]-Tabelle1[[#This Row],[Rohfaser '[g/100g']]]</f>
        <v>13.026599999999995</v>
      </c>
      <c r="J32" s="11">
        <v>0</v>
      </c>
      <c r="K32" s="11">
        <v>1.6359999999999999</v>
      </c>
      <c r="L32" s="11">
        <v>76.900000000000006</v>
      </c>
      <c r="M32" s="11">
        <f>100-Tabelle1[[#This Row],[Wasser '[g/100g']]]</f>
        <v>23.099999999999994</v>
      </c>
      <c r="N32" s="11">
        <v>86</v>
      </c>
      <c r="O32" s="11">
        <v>90.62</v>
      </c>
      <c r="P32" s="11">
        <v>54</v>
      </c>
      <c r="Q32" s="11">
        <v>52</v>
      </c>
      <c r="R32" s="11">
        <v>792</v>
      </c>
      <c r="S32" s="11"/>
      <c r="T32" s="11">
        <v>1.956</v>
      </c>
      <c r="U32" s="11">
        <v>1.32</v>
      </c>
      <c r="V32" s="11">
        <v>0</v>
      </c>
      <c r="W32" s="11">
        <v>132</v>
      </c>
      <c r="X32" s="11">
        <v>734</v>
      </c>
      <c r="Y32" s="11">
        <v>4</v>
      </c>
      <c r="Z32" s="11"/>
      <c r="AA32" s="11">
        <v>0</v>
      </c>
      <c r="AB32" s="11">
        <v>4.4180000000000001</v>
      </c>
      <c r="AC32" s="11">
        <v>206</v>
      </c>
      <c r="AD32" s="11">
        <v>0.27</v>
      </c>
      <c r="AE32" s="11">
        <v>0.22800000000000001</v>
      </c>
      <c r="AF32" s="11">
        <v>1.52</v>
      </c>
      <c r="AG32" s="11">
        <v>214</v>
      </c>
      <c r="AH32" s="11">
        <v>0</v>
      </c>
      <c r="AI32" s="11">
        <v>129.52000000000001</v>
      </c>
      <c r="AJ32" s="11">
        <v>374</v>
      </c>
      <c r="AK32" s="11">
        <v>125</v>
      </c>
      <c r="AL32" s="11">
        <v>7.4</v>
      </c>
      <c r="AM32" s="11">
        <v>0</v>
      </c>
      <c r="AN32" s="11">
        <v>0.3548</v>
      </c>
      <c r="AO32" s="11">
        <v>0</v>
      </c>
      <c r="AP32" s="11">
        <v>0</v>
      </c>
      <c r="AQ32" s="11">
        <v>0.1628</v>
      </c>
      <c r="AR32" s="11">
        <v>0.1628</v>
      </c>
      <c r="AS32" s="11">
        <v>0.38</v>
      </c>
      <c r="AT32" s="11">
        <v>0</v>
      </c>
      <c r="AU32" s="11">
        <v>0.126</v>
      </c>
      <c r="AV32" s="11">
        <v>0.3</v>
      </c>
      <c r="AW32" s="11">
        <v>0.1</v>
      </c>
      <c r="AX32" s="9">
        <f>Tabelle1[[#This Row],[Vitamin D3 '[µg/100g']]]*40</f>
        <v>0</v>
      </c>
      <c r="AY32" s="9">
        <f>Tabelle1[[#This Row],[Vitamin A '[µg/100g']]]*3.33</f>
        <v>685.98</v>
      </c>
      <c r="AZ32" s="9">
        <f>Tabelle1[[#This Row],[Vitamin E '[mg/100g']]]*1.49</f>
        <v>6.5828199999999999</v>
      </c>
    </row>
    <row r="33" spans="1:52" hidden="1" x14ac:dyDescent="0.45">
      <c r="A33" t="s">
        <v>877</v>
      </c>
      <c r="B33" s="5" t="s">
        <v>711</v>
      </c>
      <c r="C33" s="6" t="s">
        <v>712</v>
      </c>
      <c r="D33" s="13">
        <v>39</v>
      </c>
      <c r="E33" s="11">
        <f>Tabelle1[[#This Row],[Energie '[kcal/100g']]]/239</f>
        <v>0.16317991631799164</v>
      </c>
      <c r="F33" s="13">
        <v>3.9369999999999998</v>
      </c>
      <c r="G33" s="11">
        <f>Tabelle1[[#This Row],[Rohprotein '[g/100g']]]*0.85</f>
        <v>3.3464499999999999</v>
      </c>
      <c r="H33" s="13">
        <v>0.64859999999999995</v>
      </c>
      <c r="I33" s="11">
        <f>Tabelle1[[#This Row],[TS]]-Tabelle1[[#This Row],[Rohprotein '[g/100g']]]-Tabelle1[[#This Row],[Rohfett '[g/100g']]]-Tabelle1[[#This Row],[Rohasche '[g/100g']]]-Tabelle1[[#This Row],[Rohfaser '[g/100g']]]</f>
        <v>7.8253999999999975</v>
      </c>
      <c r="J33" s="11">
        <v>0</v>
      </c>
      <c r="K33" s="13">
        <v>0.88900000000000001</v>
      </c>
      <c r="L33" s="13">
        <v>86.7</v>
      </c>
      <c r="M33" s="13">
        <f>100-Tabelle1[[#This Row],[Wasser '[g/100g']]]</f>
        <v>13.299999999999997</v>
      </c>
      <c r="N33" s="13">
        <v>47</v>
      </c>
      <c r="O33" s="13">
        <v>49.25</v>
      </c>
      <c r="P33" s="13">
        <v>29</v>
      </c>
      <c r="Q33" s="13">
        <v>28</v>
      </c>
      <c r="R33" s="13">
        <v>430</v>
      </c>
      <c r="S33" s="13"/>
      <c r="T33" s="13">
        <v>1.0629999999999999</v>
      </c>
      <c r="U33" s="13">
        <v>0.72</v>
      </c>
      <c r="V33" s="11">
        <v>0</v>
      </c>
      <c r="W33" s="13">
        <v>72</v>
      </c>
      <c r="X33" s="13">
        <v>399</v>
      </c>
      <c r="Y33" s="13">
        <v>2</v>
      </c>
      <c r="Z33" s="13"/>
      <c r="AA33" s="13">
        <v>0</v>
      </c>
      <c r="AB33" s="13">
        <v>2.4009999999999998</v>
      </c>
      <c r="AC33" s="13">
        <v>112</v>
      </c>
      <c r="AD33" s="13">
        <v>0.14699999999999999</v>
      </c>
      <c r="AE33" s="13">
        <v>0.124</v>
      </c>
      <c r="AF33" s="13">
        <v>0.82599999999999996</v>
      </c>
      <c r="AG33" s="13">
        <v>116</v>
      </c>
      <c r="AH33" s="13">
        <v>0</v>
      </c>
      <c r="AI33" s="13">
        <v>70.391000000000005</v>
      </c>
      <c r="AJ33" s="13">
        <v>203</v>
      </c>
      <c r="AK33" s="13">
        <v>68</v>
      </c>
      <c r="AL33" s="13">
        <v>4</v>
      </c>
      <c r="AM33" s="13">
        <v>0</v>
      </c>
      <c r="AN33" s="13">
        <v>0.1928</v>
      </c>
      <c r="AO33" s="13">
        <v>0</v>
      </c>
      <c r="AP33" s="13">
        <v>0</v>
      </c>
      <c r="AQ33" s="13">
        <v>8.8499999999999995E-2</v>
      </c>
      <c r="AR33" s="13">
        <v>8.8499999999999995E-2</v>
      </c>
      <c r="AS33" s="13">
        <v>0.20699999999999999</v>
      </c>
      <c r="AT33" s="11">
        <v>0</v>
      </c>
      <c r="AU33" s="13">
        <v>6.8000000000000005E-2</v>
      </c>
      <c r="AV33" s="13">
        <v>0.16300000000000001</v>
      </c>
      <c r="AW33" s="13">
        <v>5.3999999999999999E-2</v>
      </c>
      <c r="AX33" s="9">
        <f>Tabelle1[[#This Row],[Vitamin D3 '[µg/100g']]]*40</f>
        <v>0</v>
      </c>
      <c r="AY33" s="9">
        <f>Tabelle1[[#This Row],[Vitamin A '[µg/100g']]]*3.33</f>
        <v>372.96000000000004</v>
      </c>
      <c r="AZ33" s="9">
        <f>Tabelle1[[#This Row],[Vitamin E '[mg/100g']]]*1.49</f>
        <v>3.5774899999999996</v>
      </c>
    </row>
    <row r="34" spans="1:52" hidden="1" x14ac:dyDescent="0.45">
      <c r="A34" t="s">
        <v>877</v>
      </c>
      <c r="B34" s="3" t="s">
        <v>713</v>
      </c>
      <c r="C34" s="4" t="s">
        <v>714</v>
      </c>
      <c r="D34" s="11">
        <v>33</v>
      </c>
      <c r="E34" s="11">
        <f>Tabelle1[[#This Row],[Energie '[kcal/100g']]]/239</f>
        <v>0.13807531380753138</v>
      </c>
      <c r="F34" s="11">
        <v>3.3</v>
      </c>
      <c r="G34" s="11">
        <f>Tabelle1[[#This Row],[Rohprotein '[g/100g']]]*0.85</f>
        <v>2.8049999999999997</v>
      </c>
      <c r="H34" s="11">
        <v>0.5</v>
      </c>
      <c r="I34" s="11">
        <f>Tabelle1[[#This Row],[TS]]-Tabelle1[[#This Row],[Rohprotein '[g/100g']]]-Tabelle1[[#This Row],[Rohfett '[g/100g']]]-Tabelle1[[#This Row],[Rohasche '[g/100g']]]-Tabelle1[[#This Row],[Rohfaser '[g/100g']]]</f>
        <v>3.5229999999999935</v>
      </c>
      <c r="J34" s="11">
        <v>0</v>
      </c>
      <c r="K34" s="11">
        <v>0.5</v>
      </c>
      <c r="L34" s="11">
        <v>92.177000000000007</v>
      </c>
      <c r="M34" s="11">
        <f>100-Tabelle1[[#This Row],[Wasser '[g/100g']]]</f>
        <v>7.8229999999999933</v>
      </c>
      <c r="N34" s="11">
        <v>35</v>
      </c>
      <c r="O34" s="11">
        <v>65</v>
      </c>
      <c r="P34" s="11">
        <v>14</v>
      </c>
      <c r="Q34" s="11">
        <v>6</v>
      </c>
      <c r="R34" s="11">
        <v>212</v>
      </c>
      <c r="S34" s="11"/>
      <c r="T34" s="11">
        <v>0.6</v>
      </c>
      <c r="U34" s="11">
        <v>0.4</v>
      </c>
      <c r="V34" s="11">
        <v>0</v>
      </c>
      <c r="W34" s="11">
        <v>32</v>
      </c>
      <c r="X34" s="11">
        <v>208</v>
      </c>
      <c r="Y34" s="11">
        <v>2</v>
      </c>
      <c r="Z34" s="11"/>
      <c r="AA34" s="11">
        <v>0</v>
      </c>
      <c r="AB34" s="11">
        <v>2.0019999999999998</v>
      </c>
      <c r="AC34" s="11">
        <v>0</v>
      </c>
      <c r="AD34" s="11">
        <v>0.04</v>
      </c>
      <c r="AE34" s="11">
        <v>0.06</v>
      </c>
      <c r="AF34" s="11">
        <v>0.5</v>
      </c>
      <c r="AG34" s="11">
        <v>74.510000000000005</v>
      </c>
      <c r="AH34" s="11">
        <v>0</v>
      </c>
      <c r="AI34" s="11">
        <v>90</v>
      </c>
      <c r="AJ34" s="11">
        <v>154</v>
      </c>
      <c r="AK34" s="11">
        <v>56</v>
      </c>
      <c r="AL34" s="11">
        <v>3.5</v>
      </c>
      <c r="AM34" s="11">
        <v>0</v>
      </c>
      <c r="AN34" s="11">
        <v>0.14649999999999999</v>
      </c>
      <c r="AO34" s="11">
        <v>0</v>
      </c>
      <c r="AP34" s="11">
        <v>0</v>
      </c>
      <c r="AQ34" s="11">
        <v>6.7199999999999996E-2</v>
      </c>
      <c r="AR34" s="11">
        <v>6.7199999999999996E-2</v>
      </c>
      <c r="AS34" s="11">
        <v>0.157</v>
      </c>
      <c r="AT34" s="11">
        <v>0</v>
      </c>
      <c r="AU34" s="11">
        <v>5.1999999999999998E-2</v>
      </c>
      <c r="AV34" s="11">
        <v>0.124</v>
      </c>
      <c r="AW34" s="11">
        <v>4.1000000000000002E-2</v>
      </c>
      <c r="AX34" s="9">
        <f>Tabelle1[[#This Row],[Vitamin D3 '[µg/100g']]]*40</f>
        <v>0</v>
      </c>
      <c r="AY34" s="9">
        <f>Tabelle1[[#This Row],[Vitamin A '[µg/100g']]]*3.33</f>
        <v>0</v>
      </c>
      <c r="AZ34" s="9">
        <f>Tabelle1[[#This Row],[Vitamin E '[mg/100g']]]*1.49</f>
        <v>2.9829799999999995</v>
      </c>
    </row>
    <row r="35" spans="1:52" hidden="1" x14ac:dyDescent="0.45">
      <c r="A35" t="s">
        <v>877</v>
      </c>
      <c r="B35" s="3" t="s">
        <v>715</v>
      </c>
      <c r="C35" s="4" t="s">
        <v>716</v>
      </c>
      <c r="D35" s="11">
        <v>35</v>
      </c>
      <c r="E35" s="11">
        <f>Tabelle1[[#This Row],[Energie '[kcal/100g']]]/239</f>
        <v>0.14644351464435146</v>
      </c>
      <c r="F35" s="11">
        <v>3.6219999999999999</v>
      </c>
      <c r="G35" s="11">
        <f>Tabelle1[[#This Row],[Rohprotein '[g/100g']]]*0.85</f>
        <v>3.0787</v>
      </c>
      <c r="H35" s="11">
        <v>0.59670000000000001</v>
      </c>
      <c r="I35" s="11">
        <f>Tabelle1[[#This Row],[TS]]-Tabelle1[[#This Row],[Rohprotein '[g/100g']]]-Tabelle1[[#This Row],[Rohfett '[g/100g']]]-Tabelle1[[#This Row],[Rohasche '[g/100g']]]-Tabelle1[[#This Row],[Rohfaser '[g/100g']]]</f>
        <v>7.363300000000006</v>
      </c>
      <c r="J35" s="11">
        <v>0</v>
      </c>
      <c r="K35" s="11">
        <v>0.81799999999999995</v>
      </c>
      <c r="L35" s="11">
        <v>87.6</v>
      </c>
      <c r="M35" s="11">
        <f>100-Tabelle1[[#This Row],[Wasser '[g/100g']]]</f>
        <v>12.400000000000006</v>
      </c>
      <c r="N35" s="11">
        <v>43</v>
      </c>
      <c r="O35" s="11">
        <v>45.31</v>
      </c>
      <c r="P35" s="11">
        <v>27</v>
      </c>
      <c r="Q35" s="11">
        <v>26</v>
      </c>
      <c r="R35" s="11">
        <v>396</v>
      </c>
      <c r="S35" s="11"/>
      <c r="T35" s="11">
        <v>0.97799999999999998</v>
      </c>
      <c r="U35" s="11">
        <v>0.66</v>
      </c>
      <c r="V35" s="11">
        <v>0</v>
      </c>
      <c r="W35" s="11">
        <v>66</v>
      </c>
      <c r="X35" s="11">
        <v>367</v>
      </c>
      <c r="Y35" s="11">
        <v>2</v>
      </c>
      <c r="Z35" s="11"/>
      <c r="AA35" s="11">
        <v>0</v>
      </c>
      <c r="AB35" s="11">
        <v>2.2090000000000001</v>
      </c>
      <c r="AC35" s="11">
        <v>29</v>
      </c>
      <c r="AD35" s="11">
        <v>0.15</v>
      </c>
      <c r="AE35" s="11">
        <v>0.12</v>
      </c>
      <c r="AF35" s="11">
        <v>0.8</v>
      </c>
      <c r="AG35" s="11">
        <v>119</v>
      </c>
      <c r="AH35" s="11">
        <v>0</v>
      </c>
      <c r="AI35" s="11">
        <v>80.95</v>
      </c>
      <c r="AJ35" s="11">
        <v>187</v>
      </c>
      <c r="AK35" s="11">
        <v>30</v>
      </c>
      <c r="AL35" s="11">
        <v>4.0999999999999996</v>
      </c>
      <c r="AM35" s="11">
        <v>0</v>
      </c>
      <c r="AN35" s="11">
        <v>0.1774</v>
      </c>
      <c r="AO35" s="11">
        <v>0</v>
      </c>
      <c r="AP35" s="11">
        <v>0</v>
      </c>
      <c r="AQ35" s="11">
        <v>8.14E-2</v>
      </c>
      <c r="AR35" s="11">
        <v>8.14E-2</v>
      </c>
      <c r="AS35" s="11">
        <v>0.19</v>
      </c>
      <c r="AT35" s="11">
        <v>0</v>
      </c>
      <c r="AU35" s="11">
        <v>6.3E-2</v>
      </c>
      <c r="AV35" s="11">
        <v>0.15</v>
      </c>
      <c r="AW35" s="11">
        <v>0.05</v>
      </c>
      <c r="AX35" s="9">
        <f>Tabelle1[[#This Row],[Vitamin D3 '[µg/100g']]]*40</f>
        <v>0</v>
      </c>
      <c r="AY35" s="9">
        <f>Tabelle1[[#This Row],[Vitamin A '[µg/100g']]]*3.33</f>
        <v>96.570000000000007</v>
      </c>
      <c r="AZ35" s="9">
        <f>Tabelle1[[#This Row],[Vitamin E '[mg/100g']]]*1.49</f>
        <v>3.2914099999999999</v>
      </c>
    </row>
    <row r="36" spans="1:52" hidden="1" x14ac:dyDescent="0.45">
      <c r="A36" t="s">
        <v>916</v>
      </c>
      <c r="B36" s="3" t="s">
        <v>900</v>
      </c>
      <c r="C36" s="4" t="s">
        <v>901</v>
      </c>
      <c r="D36" s="11">
        <v>305</v>
      </c>
      <c r="E36" s="11">
        <f>Tabelle1[[#This Row],[Energie '[kcal/100g']]]/239</f>
        <v>1.2761506276150627</v>
      </c>
      <c r="F36" s="11">
        <v>8.02</v>
      </c>
      <c r="G36" s="11">
        <f>Tabelle1[[#This Row],[Rohprotein '[g/100g']]]*0.85</f>
        <v>6.8169999999999993</v>
      </c>
      <c r="H36" s="11">
        <v>1.2</v>
      </c>
      <c r="I36" s="11">
        <f>Tabelle1[[#This Row],[TS]]-Tabelle1[[#This Row],[Rohprotein '[g/100g']]]-Tabelle1[[#This Row],[Rohfett '[g/100g']]]-Tabelle1[[#This Row],[Rohasche '[g/100g']]]-Tabelle1[[#This Row],[Rohfaser '[g/100g']]]</f>
        <v>85</v>
      </c>
      <c r="J36" s="11">
        <v>0</v>
      </c>
      <c r="K36" s="11">
        <v>1.9</v>
      </c>
      <c r="L36" s="11">
        <v>3.88</v>
      </c>
      <c r="M36" s="11">
        <f>100-Tabelle1[[#This Row],[Wasser '[g/100g']]]</f>
        <v>96.12</v>
      </c>
      <c r="N36" s="11">
        <v>99</v>
      </c>
      <c r="O36" s="11">
        <v>148</v>
      </c>
      <c r="P36" s="11">
        <v>105</v>
      </c>
      <c r="Q36" s="11">
        <v>6</v>
      </c>
      <c r="R36" s="11">
        <v>950</v>
      </c>
      <c r="S36" s="11"/>
      <c r="T36" s="11">
        <v>3.7</v>
      </c>
      <c r="U36" s="11">
        <v>1.1100000000000001</v>
      </c>
      <c r="V36" s="11">
        <v>0</v>
      </c>
      <c r="W36" s="11">
        <v>560</v>
      </c>
      <c r="X36" s="11">
        <v>4570</v>
      </c>
      <c r="Y36" s="11">
        <v>6</v>
      </c>
      <c r="Z36" s="11"/>
      <c r="AA36" s="11">
        <v>0</v>
      </c>
      <c r="AB36" s="11">
        <v>8.8249999999999993</v>
      </c>
      <c r="AC36" s="11">
        <v>65</v>
      </c>
      <c r="AD36" s="11">
        <v>0.13</v>
      </c>
      <c r="AE36" s="11">
        <v>0.222</v>
      </c>
      <c r="AF36" s="11">
        <v>2.222</v>
      </c>
      <c r="AG36" s="11">
        <v>278</v>
      </c>
      <c r="AH36" s="11">
        <v>0</v>
      </c>
      <c r="AI36" s="11">
        <v>20.984000000000002</v>
      </c>
      <c r="AJ36" s="11">
        <v>122.2</v>
      </c>
      <c r="AK36" s="11">
        <v>136</v>
      </c>
      <c r="AL36" s="11">
        <v>8.9</v>
      </c>
      <c r="AM36" s="11">
        <v>0</v>
      </c>
      <c r="AN36" s="11">
        <v>0</v>
      </c>
      <c r="AO36" s="11">
        <v>0</v>
      </c>
      <c r="AP36" s="11">
        <v>0</v>
      </c>
      <c r="AQ36" s="11">
        <v>0.6</v>
      </c>
      <c r="AR36" s="11">
        <v>0.6</v>
      </c>
      <c r="AS36" s="11">
        <v>0.46100000000000002</v>
      </c>
      <c r="AT36" s="11">
        <v>3.7999999999999999E-2</v>
      </c>
      <c r="AU36" s="11">
        <v>0.185</v>
      </c>
      <c r="AV36" s="11">
        <v>0.36899999999999999</v>
      </c>
      <c r="AW36" s="11">
        <v>0</v>
      </c>
      <c r="AX36" s="9">
        <f>Tabelle1[[#This Row],[Vitamin D3 '[µg/100g']]]*40</f>
        <v>0</v>
      </c>
      <c r="AY36" s="9">
        <f>Tabelle1[[#This Row],[Vitamin A '[µg/100g']]]*3.33</f>
        <v>216.45000000000002</v>
      </c>
      <c r="AZ36" s="9">
        <f>Tabelle1[[#This Row],[Vitamin E '[mg/100g']]]*1.49</f>
        <v>13.149249999999999</v>
      </c>
    </row>
    <row r="37" spans="1:52" hidden="1" x14ac:dyDescent="0.45">
      <c r="A37" t="s">
        <v>916</v>
      </c>
      <c r="B37" s="5" t="s">
        <v>902</v>
      </c>
      <c r="C37" s="6" t="s">
        <v>903</v>
      </c>
      <c r="D37" s="13">
        <v>49</v>
      </c>
      <c r="E37" s="11">
        <f>Tabelle1[[#This Row],[Energie '[kcal/100g']]]/239</f>
        <v>0.20502092050209206</v>
      </c>
      <c r="F37" s="13">
        <v>1.3</v>
      </c>
      <c r="G37" s="11">
        <f>Tabelle1[[#This Row],[Rohprotein '[g/100g']]]*0.85</f>
        <v>1.105</v>
      </c>
      <c r="H37" s="13">
        <v>0.2</v>
      </c>
      <c r="I37" s="11">
        <f>Tabelle1[[#This Row],[TS]]-Tabelle1[[#This Row],[Rohprotein '[g/100g']]]-Tabelle1[[#This Row],[Rohfett '[g/100g']]]-Tabelle1[[#This Row],[Rohasche '[g/100g']]]-Tabelle1[[#This Row],[Rohfaser '[g/100g']]]</f>
        <v>10.7</v>
      </c>
      <c r="J37" s="11">
        <v>0</v>
      </c>
      <c r="K37" s="13">
        <v>0.3</v>
      </c>
      <c r="L37" s="13">
        <v>87.5</v>
      </c>
      <c r="M37" s="13">
        <f>100-Tabelle1[[#This Row],[Wasser '[g/100g']]]</f>
        <v>12.5</v>
      </c>
      <c r="N37" s="13">
        <v>16</v>
      </c>
      <c r="O37" s="13">
        <v>24</v>
      </c>
      <c r="P37" s="13">
        <v>17</v>
      </c>
      <c r="Q37" s="13">
        <v>1</v>
      </c>
      <c r="R37" s="13">
        <v>154</v>
      </c>
      <c r="S37" s="13"/>
      <c r="T37" s="13">
        <v>0.6</v>
      </c>
      <c r="U37" s="13">
        <v>0.18</v>
      </c>
      <c r="V37" s="11">
        <v>0</v>
      </c>
      <c r="W37" s="13">
        <v>90</v>
      </c>
      <c r="X37" s="13">
        <v>740</v>
      </c>
      <c r="Y37" s="13">
        <v>1</v>
      </c>
      <c r="Z37" s="13"/>
      <c r="AA37" s="13">
        <v>0</v>
      </c>
      <c r="AB37" s="13">
        <v>1.43</v>
      </c>
      <c r="AC37" s="13">
        <v>19</v>
      </c>
      <c r="AD37" s="13">
        <v>0.03</v>
      </c>
      <c r="AE37" s="13">
        <v>0.04</v>
      </c>
      <c r="AF37" s="13">
        <v>0.4</v>
      </c>
      <c r="AG37" s="13">
        <v>50</v>
      </c>
      <c r="AH37" s="13">
        <v>0</v>
      </c>
      <c r="AI37" s="13">
        <v>17</v>
      </c>
      <c r="AJ37" s="13">
        <v>19.8</v>
      </c>
      <c r="AK37" s="13">
        <v>44</v>
      </c>
      <c r="AL37" s="13">
        <v>1.6</v>
      </c>
      <c r="AM37" s="13">
        <v>0</v>
      </c>
      <c r="AN37" s="13">
        <v>0</v>
      </c>
      <c r="AO37" s="13">
        <v>0</v>
      </c>
      <c r="AP37" s="13">
        <v>0</v>
      </c>
      <c r="AQ37" s="13">
        <v>0.1</v>
      </c>
      <c r="AR37" s="13">
        <v>0.1</v>
      </c>
      <c r="AS37" s="13">
        <v>0.06</v>
      </c>
      <c r="AT37" s="13">
        <v>5.0000000000000001E-3</v>
      </c>
      <c r="AU37" s="13">
        <v>2.4E-2</v>
      </c>
      <c r="AV37" s="13">
        <v>4.8000000000000001E-2</v>
      </c>
      <c r="AW37" s="13">
        <v>0</v>
      </c>
      <c r="AX37" s="9">
        <f>Tabelle1[[#This Row],[Vitamin D3 '[µg/100g']]]*40</f>
        <v>0</v>
      </c>
      <c r="AY37" s="9">
        <f>Tabelle1[[#This Row],[Vitamin A '[µg/100g']]]*3.33</f>
        <v>63.27</v>
      </c>
      <c r="AZ37" s="9">
        <f>Tabelle1[[#This Row],[Vitamin E '[mg/100g']]]*1.49</f>
        <v>2.1307</v>
      </c>
    </row>
    <row r="38" spans="1:52" hidden="1" x14ac:dyDescent="0.45">
      <c r="A38" t="s">
        <v>534</v>
      </c>
      <c r="B38" s="3" t="s">
        <v>373</v>
      </c>
      <c r="C38" s="4" t="s">
        <v>374</v>
      </c>
      <c r="D38" s="11">
        <v>115</v>
      </c>
      <c r="E38" s="13">
        <f>Tabelle1[[#This Row],[Energie '[kcal/100g']]]/239</f>
        <v>0.48117154811715479</v>
      </c>
      <c r="F38" s="11">
        <v>4.43</v>
      </c>
      <c r="G38" s="13">
        <f>Tabelle1[[#This Row],[Rohprotein '[g/100g']]]*0.85</f>
        <v>3.7654999999999998</v>
      </c>
      <c r="H38" s="11">
        <v>1.01</v>
      </c>
      <c r="I38" s="11">
        <f>Tabelle1[[#This Row],[TS]]-Tabelle1[[#This Row],[Rohprotein '[g/100g']]]-Tabelle1[[#This Row],[Rohfett '[g/100g']]]-Tabelle1[[#This Row],[Rohasche '[g/100g']]]-Tabelle1[[#This Row],[Rohfaser '[g/100g']]]</f>
        <v>25.58</v>
      </c>
      <c r="J38" s="11">
        <v>0</v>
      </c>
      <c r="K38" s="11">
        <v>0.48</v>
      </c>
      <c r="L38" s="11">
        <v>68.5</v>
      </c>
      <c r="M38" s="11">
        <f>100-Tabelle1[[#This Row],[Wasser '[g/100g']]]</f>
        <v>31.5</v>
      </c>
      <c r="N38" s="11">
        <v>5.4</v>
      </c>
      <c r="O38" s="11">
        <v>117.8</v>
      </c>
      <c r="P38" s="11">
        <v>66.5</v>
      </c>
      <c r="Q38" s="11">
        <v>0.1</v>
      </c>
      <c r="R38" s="11">
        <v>119.9</v>
      </c>
      <c r="S38" s="11"/>
      <c r="T38" s="11">
        <v>0.83</v>
      </c>
      <c r="U38" s="11">
        <v>0.5</v>
      </c>
      <c r="V38" s="11">
        <v>0</v>
      </c>
      <c r="W38" s="11">
        <v>140</v>
      </c>
      <c r="X38" s="11">
        <v>360</v>
      </c>
      <c r="Y38" s="11">
        <v>0</v>
      </c>
      <c r="Z38" s="11"/>
      <c r="AA38" s="11">
        <v>0</v>
      </c>
      <c r="AB38" s="11">
        <v>8.8999999999999996E-2</v>
      </c>
      <c r="AC38" s="11">
        <v>0</v>
      </c>
      <c r="AD38" s="11">
        <v>0.15757699999999999</v>
      </c>
      <c r="AE38" s="11">
        <v>2.6908999999999999E-2</v>
      </c>
      <c r="AF38" s="11">
        <v>0.91</v>
      </c>
      <c r="AG38" s="11">
        <v>145</v>
      </c>
      <c r="AH38" s="11">
        <v>0</v>
      </c>
      <c r="AI38" s="11">
        <v>0</v>
      </c>
      <c r="AJ38" s="11">
        <v>0.42399999999999999</v>
      </c>
      <c r="AK38" s="11">
        <v>10.9</v>
      </c>
      <c r="AL38" s="11">
        <v>0.09</v>
      </c>
      <c r="AM38" s="11">
        <v>0</v>
      </c>
      <c r="AN38" s="11">
        <v>1.78E-2</v>
      </c>
      <c r="AO38" s="11">
        <v>0</v>
      </c>
      <c r="AP38" s="11">
        <v>0</v>
      </c>
      <c r="AQ38" s="11">
        <v>0.30199999999999999</v>
      </c>
      <c r="AR38" s="11">
        <v>0.30199999999999999</v>
      </c>
      <c r="AS38" s="11">
        <v>0.43</v>
      </c>
      <c r="AT38" s="11">
        <v>0.11</v>
      </c>
      <c r="AU38" s="11">
        <v>0.1</v>
      </c>
      <c r="AV38" s="11">
        <v>0.25</v>
      </c>
      <c r="AW38" s="11">
        <v>0.08</v>
      </c>
      <c r="AX38" s="9">
        <f>Tabelle1[[#This Row],[Vitamin D3 '[µg/100g']]]*40</f>
        <v>0</v>
      </c>
      <c r="AY38" s="9">
        <f>Tabelle1[[#This Row],[Vitamin A '[µg/100g']]]*3.33</f>
        <v>0</v>
      </c>
      <c r="AZ38" s="9">
        <f>Tabelle1[[#This Row],[Vitamin E '[mg/100g']]]*1.49</f>
        <v>0.13261000000000001</v>
      </c>
    </row>
    <row r="39" spans="1:52" hidden="1" x14ac:dyDescent="0.45">
      <c r="A39" t="s">
        <v>534</v>
      </c>
      <c r="B39" s="3" t="s">
        <v>375</v>
      </c>
      <c r="C39" s="4" t="s">
        <v>376</v>
      </c>
      <c r="D39" s="11">
        <v>350</v>
      </c>
      <c r="E39" s="13">
        <f>Tabelle1[[#This Row],[Energie '[kcal/100g']]]/239</f>
        <v>1.4644351464435146</v>
      </c>
      <c r="F39" s="11">
        <v>12.52</v>
      </c>
      <c r="G39" s="13">
        <f>Tabelle1[[#This Row],[Rohprotein '[g/100g']]]*0.85</f>
        <v>10.641999999999999</v>
      </c>
      <c r="H39" s="11">
        <v>3.12</v>
      </c>
      <c r="I39" s="11">
        <f>Tabelle1[[#This Row],[TS]]-Tabelle1[[#This Row],[Rohprotein '[g/100g']]]-Tabelle1[[#This Row],[Rohfett '[g/100g']]]-Tabelle1[[#This Row],[Rohasche '[g/100g']]]-Tabelle1[[#This Row],[Rohfaser '[g/100g']]]</f>
        <v>70.429999999999993</v>
      </c>
      <c r="J39" s="11">
        <v>0</v>
      </c>
      <c r="K39" s="11">
        <v>1.93</v>
      </c>
      <c r="L39" s="11">
        <v>12</v>
      </c>
      <c r="M39" s="11">
        <f>100-Tabelle1[[#This Row],[Wasser '[g/100g']]]</f>
        <v>88</v>
      </c>
      <c r="N39" s="11">
        <v>15.4</v>
      </c>
      <c r="O39" s="11">
        <v>406</v>
      </c>
      <c r="P39" s="11">
        <v>197.5</v>
      </c>
      <c r="Q39" s="11">
        <v>0.3</v>
      </c>
      <c r="R39" s="11">
        <v>432.6</v>
      </c>
      <c r="S39" s="11"/>
      <c r="T39" s="11">
        <v>2.5956000000000001</v>
      </c>
      <c r="U39" s="11">
        <v>2.8668999999999998</v>
      </c>
      <c r="V39" s="11">
        <v>0</v>
      </c>
      <c r="W39" s="11">
        <v>512.6</v>
      </c>
      <c r="X39" s="11">
        <v>1383.4</v>
      </c>
      <c r="Y39" s="11">
        <v>0</v>
      </c>
      <c r="Z39" s="11"/>
      <c r="AA39" s="11">
        <v>0</v>
      </c>
      <c r="AB39" s="11">
        <v>0.27</v>
      </c>
      <c r="AC39" s="11">
        <v>0</v>
      </c>
      <c r="AD39" s="11">
        <v>0.66816799999999998</v>
      </c>
      <c r="AE39" s="11">
        <v>0.106679</v>
      </c>
      <c r="AF39" s="11">
        <v>3.1</v>
      </c>
      <c r="AG39" s="11">
        <v>580</v>
      </c>
      <c r="AH39" s="11">
        <v>0</v>
      </c>
      <c r="AI39" s="11">
        <v>0</v>
      </c>
      <c r="AJ39" s="11">
        <v>0.91200000000000003</v>
      </c>
      <c r="AK39" s="11">
        <v>45.7</v>
      </c>
      <c r="AL39" s="11">
        <v>0.51</v>
      </c>
      <c r="AM39" s="11">
        <v>0</v>
      </c>
      <c r="AN39" s="11">
        <v>0.06</v>
      </c>
      <c r="AO39" s="11">
        <v>0</v>
      </c>
      <c r="AP39" s="11">
        <v>0</v>
      </c>
      <c r="AQ39" s="11">
        <v>0.99</v>
      </c>
      <c r="AR39" s="11">
        <v>0.99</v>
      </c>
      <c r="AS39" s="11">
        <v>1.3</v>
      </c>
      <c r="AT39" s="11">
        <v>0.25</v>
      </c>
      <c r="AU39" s="11">
        <v>0.3</v>
      </c>
      <c r="AV39" s="11">
        <v>0.82</v>
      </c>
      <c r="AW39" s="11">
        <v>0.26</v>
      </c>
      <c r="AX39" s="9">
        <f>Tabelle1[[#This Row],[Vitamin D3 '[µg/100g']]]*40</f>
        <v>0</v>
      </c>
      <c r="AY39" s="9">
        <f>Tabelle1[[#This Row],[Vitamin A '[µg/100g']]]*3.33</f>
        <v>0</v>
      </c>
      <c r="AZ39" s="9">
        <f>Tabelle1[[#This Row],[Vitamin E '[mg/100g']]]*1.49</f>
        <v>0.40230000000000005</v>
      </c>
    </row>
    <row r="40" spans="1:52" hidden="1" x14ac:dyDescent="0.45">
      <c r="A40" t="s">
        <v>534</v>
      </c>
      <c r="B40" s="3" t="s">
        <v>377</v>
      </c>
      <c r="C40" s="4" t="s">
        <v>378</v>
      </c>
      <c r="D40" s="11">
        <v>46</v>
      </c>
      <c r="E40" s="13">
        <f>Tabelle1[[#This Row],[Energie '[kcal/100g']]]/239</f>
        <v>0.19246861924686193</v>
      </c>
      <c r="F40" s="11">
        <v>1.66</v>
      </c>
      <c r="G40" s="13">
        <f>Tabelle1[[#This Row],[Rohprotein '[g/100g']]]*0.85</f>
        <v>1.4109999999999998</v>
      </c>
      <c r="H40" s="11">
        <v>0.41</v>
      </c>
      <c r="I40" s="11">
        <f>Tabelle1[[#This Row],[TS]]-Tabelle1[[#This Row],[Rohprotein '[g/100g']]]-Tabelle1[[#This Row],[Rohfett '[g/100g']]]-Tabelle1[[#This Row],[Rohasche '[g/100g']]]-Tabelle1[[#This Row],[Rohfaser '[g/100g']]]</f>
        <v>8.9000000000000021</v>
      </c>
      <c r="J40" s="11">
        <v>0</v>
      </c>
      <c r="K40" s="11">
        <v>0.23</v>
      </c>
      <c r="L40" s="11">
        <v>88.8</v>
      </c>
      <c r="M40" s="11">
        <f>100-Tabelle1[[#This Row],[Wasser '[g/100g']]]</f>
        <v>11.200000000000003</v>
      </c>
      <c r="N40" s="11">
        <v>2</v>
      </c>
      <c r="O40" s="11">
        <v>52.3</v>
      </c>
      <c r="P40" s="11">
        <v>24.9</v>
      </c>
      <c r="Q40" s="11">
        <v>0</v>
      </c>
      <c r="R40" s="11">
        <v>50</v>
      </c>
      <c r="S40" s="11"/>
      <c r="T40" s="11">
        <v>0.31019999999999998</v>
      </c>
      <c r="U40" s="11">
        <v>0.38069999999999998</v>
      </c>
      <c r="V40" s="11">
        <v>0</v>
      </c>
      <c r="W40" s="11">
        <v>64.7</v>
      </c>
      <c r="X40" s="11">
        <v>183.7</v>
      </c>
      <c r="Y40" s="11">
        <v>0</v>
      </c>
      <c r="Z40" s="11"/>
      <c r="AA40" s="11">
        <v>0</v>
      </c>
      <c r="AB40" s="11">
        <v>3.5999999999999997E-2</v>
      </c>
      <c r="AC40" s="11">
        <v>0</v>
      </c>
      <c r="AD40" s="11">
        <v>6.4776E-2</v>
      </c>
      <c r="AE40" s="11">
        <v>1.3034E-2</v>
      </c>
      <c r="AF40" s="11">
        <v>0.37</v>
      </c>
      <c r="AG40" s="11">
        <v>65</v>
      </c>
      <c r="AH40" s="11">
        <v>0</v>
      </c>
      <c r="AI40" s="11">
        <v>0</v>
      </c>
      <c r="AJ40" s="11">
        <v>0.121</v>
      </c>
      <c r="AK40" s="11">
        <v>4.4000000000000004</v>
      </c>
      <c r="AL40" s="11">
        <v>0.06</v>
      </c>
      <c r="AM40" s="11">
        <v>0</v>
      </c>
      <c r="AN40" s="11">
        <v>0.01</v>
      </c>
      <c r="AO40" s="11">
        <v>0</v>
      </c>
      <c r="AP40" s="11">
        <v>0</v>
      </c>
      <c r="AQ40" s="11">
        <v>0.13</v>
      </c>
      <c r="AR40" s="11">
        <v>0.13</v>
      </c>
      <c r="AS40" s="11">
        <v>0.17</v>
      </c>
      <c r="AT40" s="11">
        <v>0.03</v>
      </c>
      <c r="AU40" s="11">
        <v>0.04</v>
      </c>
      <c r="AV40" s="11">
        <v>0.11</v>
      </c>
      <c r="AW40" s="11">
        <v>0.03</v>
      </c>
      <c r="AX40" s="9">
        <f>Tabelle1[[#This Row],[Vitamin D3 '[µg/100g']]]*40</f>
        <v>0</v>
      </c>
      <c r="AY40" s="9">
        <f>Tabelle1[[#This Row],[Vitamin A '[µg/100g']]]*3.33</f>
        <v>0</v>
      </c>
      <c r="AZ40" s="9">
        <f>Tabelle1[[#This Row],[Vitamin E '[mg/100g']]]*1.49</f>
        <v>5.3639999999999993E-2</v>
      </c>
    </row>
    <row r="41" spans="1:52" hidden="1" x14ac:dyDescent="0.45">
      <c r="A41" t="s">
        <v>534</v>
      </c>
      <c r="B41" s="3" t="s">
        <v>379</v>
      </c>
      <c r="C41" s="4" t="s">
        <v>380</v>
      </c>
      <c r="D41" s="11">
        <v>350</v>
      </c>
      <c r="E41" s="13">
        <f>Tabelle1[[#This Row],[Energie '[kcal/100g']]]/239</f>
        <v>1.4644351464435146</v>
      </c>
      <c r="F41" s="11">
        <v>12.52</v>
      </c>
      <c r="G41" s="13">
        <f>Tabelle1[[#This Row],[Rohprotein '[g/100g']]]*0.85</f>
        <v>10.641999999999999</v>
      </c>
      <c r="H41" s="11">
        <v>3.12</v>
      </c>
      <c r="I41" s="11">
        <f>Tabelle1[[#This Row],[TS]]-Tabelle1[[#This Row],[Rohprotein '[g/100g']]]-Tabelle1[[#This Row],[Rohfett '[g/100g']]]-Tabelle1[[#This Row],[Rohasche '[g/100g']]]-Tabelle1[[#This Row],[Rohfaser '[g/100g']]]</f>
        <v>70.429999999999993</v>
      </c>
      <c r="J41" s="11">
        <v>0</v>
      </c>
      <c r="K41" s="11">
        <v>1.93</v>
      </c>
      <c r="L41" s="11">
        <v>12</v>
      </c>
      <c r="M41" s="11">
        <f>100-Tabelle1[[#This Row],[Wasser '[g/100g']]]</f>
        <v>88</v>
      </c>
      <c r="N41" s="11">
        <v>15.4</v>
      </c>
      <c r="O41" s="11">
        <v>406</v>
      </c>
      <c r="P41" s="11">
        <v>197.5</v>
      </c>
      <c r="Q41" s="11">
        <v>0.3</v>
      </c>
      <c r="R41" s="11">
        <v>432.6</v>
      </c>
      <c r="S41" s="11"/>
      <c r="T41" s="11">
        <v>2.5956000000000001</v>
      </c>
      <c r="U41" s="11">
        <v>2.8668999999999998</v>
      </c>
      <c r="V41" s="11">
        <v>0</v>
      </c>
      <c r="W41" s="11">
        <v>512.6</v>
      </c>
      <c r="X41" s="11">
        <v>1383.4</v>
      </c>
      <c r="Y41" s="11">
        <v>0</v>
      </c>
      <c r="Z41" s="11"/>
      <c r="AA41" s="11">
        <v>0</v>
      </c>
      <c r="AB41" s="11">
        <v>0.27</v>
      </c>
      <c r="AC41" s="11">
        <v>0</v>
      </c>
      <c r="AD41" s="11">
        <v>0.66816799999999998</v>
      </c>
      <c r="AE41" s="11">
        <v>0.106679</v>
      </c>
      <c r="AF41" s="11">
        <v>3.1</v>
      </c>
      <c r="AG41" s="11">
        <v>580</v>
      </c>
      <c r="AH41" s="11">
        <v>0</v>
      </c>
      <c r="AI41" s="11">
        <v>0</v>
      </c>
      <c r="AJ41" s="11">
        <v>0.91200000000000003</v>
      </c>
      <c r="AK41" s="11">
        <v>45.7</v>
      </c>
      <c r="AL41" s="11">
        <v>0.51</v>
      </c>
      <c r="AM41" s="11">
        <v>0</v>
      </c>
      <c r="AN41" s="11">
        <v>5.79E-2</v>
      </c>
      <c r="AO41" s="11">
        <v>0</v>
      </c>
      <c r="AP41" s="11">
        <v>0</v>
      </c>
      <c r="AQ41" s="11">
        <v>0.98</v>
      </c>
      <c r="AR41" s="11">
        <v>0.98</v>
      </c>
      <c r="AS41" s="11">
        <v>1.1499999999999999</v>
      </c>
      <c r="AT41" s="11">
        <v>0.31</v>
      </c>
      <c r="AU41" s="11">
        <v>0.28000000000000003</v>
      </c>
      <c r="AV41" s="11">
        <v>0.7</v>
      </c>
      <c r="AW41" s="11">
        <v>0.24</v>
      </c>
      <c r="AX41" s="9">
        <f>Tabelle1[[#This Row],[Vitamin D3 '[µg/100g']]]*40</f>
        <v>0</v>
      </c>
      <c r="AY41" s="9">
        <f>Tabelle1[[#This Row],[Vitamin A '[µg/100g']]]*3.33</f>
        <v>0</v>
      </c>
      <c r="AZ41" s="9">
        <f>Tabelle1[[#This Row],[Vitamin E '[mg/100g']]]*1.49</f>
        <v>0.40230000000000005</v>
      </c>
    </row>
    <row r="42" spans="1:52" hidden="1" x14ac:dyDescent="0.45">
      <c r="A42" t="s">
        <v>534</v>
      </c>
      <c r="B42" s="3" t="s">
        <v>381</v>
      </c>
      <c r="C42" s="4" t="s">
        <v>382</v>
      </c>
      <c r="D42" s="11">
        <v>339</v>
      </c>
      <c r="E42" s="13">
        <f>Tabelle1[[#This Row],[Energie '[kcal/100g']]]/239</f>
        <v>1.4184100418410042</v>
      </c>
      <c r="F42" s="11">
        <v>13.05</v>
      </c>
      <c r="G42" s="13">
        <f>Tabelle1[[#This Row],[Rohprotein '[g/100g']]]*0.85</f>
        <v>11.092500000000001</v>
      </c>
      <c r="H42" s="11">
        <v>3.13</v>
      </c>
      <c r="I42" s="11">
        <f>Tabelle1[[#This Row],[TS]]-Tabelle1[[#This Row],[Rohprotein '[g/100g']]]-Tabelle1[[#This Row],[Rohfett '[g/100g']]]-Tabelle1[[#This Row],[Rohasche '[g/100g']]]-Tabelle1[[#This Row],[Rohfaser '[g/100g']]]</f>
        <v>68.62</v>
      </c>
      <c r="J42" s="11">
        <v>0</v>
      </c>
      <c r="K42" s="11">
        <v>1.9</v>
      </c>
      <c r="L42" s="11">
        <v>13.3</v>
      </c>
      <c r="M42" s="11">
        <f>100-Tabelle1[[#This Row],[Wasser '[g/100g']]]</f>
        <v>86.7</v>
      </c>
      <c r="N42" s="11">
        <v>14.3</v>
      </c>
      <c r="O42" s="11">
        <v>403.3</v>
      </c>
      <c r="P42" s="11">
        <v>200</v>
      </c>
      <c r="Q42" s="11">
        <v>0.3</v>
      </c>
      <c r="R42" s="11">
        <v>447.5</v>
      </c>
      <c r="S42" s="11"/>
      <c r="T42" s="11">
        <v>2.7381000000000002</v>
      </c>
      <c r="U42" s="11">
        <v>2.9026999999999998</v>
      </c>
      <c r="V42" s="11">
        <v>0</v>
      </c>
      <c r="W42" s="11">
        <v>526.70000000000005</v>
      </c>
      <c r="X42" s="11">
        <v>1372.4</v>
      </c>
      <c r="Y42" s="11">
        <v>0</v>
      </c>
      <c r="Z42" s="11"/>
      <c r="AA42" s="11">
        <v>0</v>
      </c>
      <c r="AB42" s="11">
        <v>0.25</v>
      </c>
      <c r="AC42" s="11">
        <v>0</v>
      </c>
      <c r="AD42" s="11">
        <v>0.67879500000000004</v>
      </c>
      <c r="AE42" s="11">
        <v>0.107637</v>
      </c>
      <c r="AF42" s="11">
        <v>3.1</v>
      </c>
      <c r="AG42" s="11">
        <v>580</v>
      </c>
      <c r="AH42" s="11">
        <v>0</v>
      </c>
      <c r="AI42" s="11">
        <v>0</v>
      </c>
      <c r="AJ42" s="11">
        <v>1.1870000000000001</v>
      </c>
      <c r="AK42" s="11">
        <v>43.5</v>
      </c>
      <c r="AL42" s="11">
        <v>0</v>
      </c>
      <c r="AM42" s="11">
        <v>0</v>
      </c>
      <c r="AN42" s="11">
        <v>5.5300000000000002E-2</v>
      </c>
      <c r="AO42" s="11">
        <v>0</v>
      </c>
      <c r="AP42" s="11">
        <v>0</v>
      </c>
      <c r="AQ42" s="11">
        <v>0.94099999999999995</v>
      </c>
      <c r="AR42" s="11">
        <v>0.94099999999999995</v>
      </c>
      <c r="AS42" s="11">
        <v>1.26</v>
      </c>
      <c r="AT42" s="11">
        <v>0.32</v>
      </c>
      <c r="AU42" s="11">
        <v>0.3</v>
      </c>
      <c r="AV42" s="11">
        <v>0.75</v>
      </c>
      <c r="AW42" s="11">
        <v>0.25</v>
      </c>
      <c r="AX42" s="9">
        <f>Tabelle1[[#This Row],[Vitamin D3 '[µg/100g']]]*40</f>
        <v>0</v>
      </c>
      <c r="AY42" s="9">
        <f>Tabelle1[[#This Row],[Vitamin A '[µg/100g']]]*3.33</f>
        <v>0</v>
      </c>
      <c r="AZ42" s="9">
        <f>Tabelle1[[#This Row],[Vitamin E '[mg/100g']]]*1.49</f>
        <v>0.3725</v>
      </c>
    </row>
    <row r="43" spans="1:52" hidden="1" x14ac:dyDescent="0.45">
      <c r="A43" t="s">
        <v>534</v>
      </c>
      <c r="B43" s="3" t="s">
        <v>384</v>
      </c>
      <c r="C43" s="4" t="s">
        <v>385</v>
      </c>
      <c r="D43" s="11">
        <v>355</v>
      </c>
      <c r="E43" s="13">
        <f>Tabelle1[[#This Row],[Energie '[kcal/100g']]]/239</f>
        <v>1.4853556485355648</v>
      </c>
      <c r="F43" s="11">
        <v>11.702999999999999</v>
      </c>
      <c r="G43" s="13">
        <f>Tabelle1[[#This Row],[Rohprotein '[g/100g']]]*0.85</f>
        <v>9.9475499999999997</v>
      </c>
      <c r="H43" s="11">
        <v>2.71</v>
      </c>
      <c r="I43" s="11">
        <f>Tabelle1[[#This Row],[TS]]-Tabelle1[[#This Row],[Rohprotein '[g/100g']]]-Tabelle1[[#This Row],[Rohfett '[g/100g']]]-Tabelle1[[#This Row],[Rohasche '[g/100g']]]-Tabelle1[[#This Row],[Rohfaser '[g/100g']]]</f>
        <v>69.897000000000006</v>
      </c>
      <c r="J43" s="11">
        <v>0</v>
      </c>
      <c r="K43" s="11">
        <v>1.59</v>
      </c>
      <c r="L43" s="11">
        <v>14.1</v>
      </c>
      <c r="M43" s="11">
        <f>100-Tabelle1[[#This Row],[Wasser '[g/100g']]]</f>
        <v>85.9</v>
      </c>
      <c r="N43" s="11">
        <v>33</v>
      </c>
      <c r="O43" s="11">
        <v>263</v>
      </c>
      <c r="P43" s="11">
        <v>200</v>
      </c>
      <c r="Q43" s="11">
        <v>1</v>
      </c>
      <c r="R43" s="11">
        <v>680</v>
      </c>
      <c r="S43" s="11"/>
      <c r="T43" s="11">
        <v>2.2000000000000002</v>
      </c>
      <c r="U43" s="11">
        <v>2.9026999999999998</v>
      </c>
      <c r="V43" s="11">
        <v>0</v>
      </c>
      <c r="W43" s="11">
        <v>526.70000000000005</v>
      </c>
      <c r="X43" s="11">
        <v>1372.4</v>
      </c>
      <c r="Y43" s="11">
        <v>2.5</v>
      </c>
      <c r="Z43" s="11"/>
      <c r="AA43" s="11">
        <v>0</v>
      </c>
      <c r="AB43" s="11">
        <v>0.25</v>
      </c>
      <c r="AC43" s="11">
        <v>0</v>
      </c>
      <c r="AD43" s="11">
        <v>0.57999999999999996</v>
      </c>
      <c r="AE43" s="11">
        <v>0.15</v>
      </c>
      <c r="AF43" s="11">
        <v>2.9</v>
      </c>
      <c r="AG43" s="11">
        <v>580</v>
      </c>
      <c r="AH43" s="11">
        <v>0</v>
      </c>
      <c r="AI43" s="11">
        <v>0</v>
      </c>
      <c r="AJ43" s="11">
        <v>1.1870000000000001</v>
      </c>
      <c r="AK43" s="11">
        <v>43.5</v>
      </c>
      <c r="AL43" s="11">
        <v>0.34</v>
      </c>
      <c r="AM43" s="11">
        <v>0</v>
      </c>
      <c r="AN43" s="11">
        <v>5.0999999999999997E-2</v>
      </c>
      <c r="AO43" s="11">
        <v>0</v>
      </c>
      <c r="AP43" s="11">
        <v>0</v>
      </c>
      <c r="AQ43" s="11">
        <v>0.86699999999999999</v>
      </c>
      <c r="AR43" s="11">
        <v>0.86399999999999999</v>
      </c>
      <c r="AS43" s="11">
        <v>1.22</v>
      </c>
      <c r="AT43" s="11">
        <v>0.23</v>
      </c>
      <c r="AU43" s="11">
        <v>0.28000000000000003</v>
      </c>
      <c r="AV43" s="11">
        <v>0.77</v>
      </c>
      <c r="AW43" s="11">
        <v>0.24</v>
      </c>
      <c r="AX43" s="9">
        <f>Tabelle1[[#This Row],[Vitamin D3 '[µg/100g']]]*40</f>
        <v>0</v>
      </c>
      <c r="AY43" s="9">
        <f>Tabelle1[[#This Row],[Vitamin A '[µg/100g']]]*3.33</f>
        <v>0</v>
      </c>
      <c r="AZ43" s="9">
        <f>Tabelle1[[#This Row],[Vitamin E '[mg/100g']]]*1.49</f>
        <v>0.3725</v>
      </c>
    </row>
    <row r="44" spans="1:52" hidden="1" x14ac:dyDescent="0.45">
      <c r="A44" t="s">
        <v>58</v>
      </c>
      <c r="B44" s="3"/>
      <c r="C44" s="4" t="s">
        <v>535</v>
      </c>
      <c r="D44" s="11">
        <v>110</v>
      </c>
      <c r="E44" s="11">
        <f>Tabelle1[[#This Row],[Energie '[kcal/100g']]]/239</f>
        <v>0.46025104602510458</v>
      </c>
      <c r="F44" s="11">
        <v>21.5</v>
      </c>
      <c r="G44" s="11">
        <f>Tabelle1[[#This Row],[Rohprotein '[g/100g']]]*0.85</f>
        <v>18.274999999999999</v>
      </c>
      <c r="H44" s="11">
        <v>2.5</v>
      </c>
      <c r="I44" s="11">
        <f>Tabelle1[[#This Row],[TS]]-Tabelle1[[#This Row],[Rohprotein '[g/100g']]]-Tabelle1[[#This Row],[Rohfett '[g/100g']]]-Tabelle1[[#This Row],[Rohasche '[g/100g']]]-Tabelle1[[#This Row],[Rohfaser '[g/100g']]]</f>
        <v>0.39999999999999991</v>
      </c>
      <c r="J44" s="11">
        <v>0</v>
      </c>
      <c r="K44" s="11">
        <v>1.1000000000000001</v>
      </c>
      <c r="L44" s="11">
        <v>74.5</v>
      </c>
      <c r="M44" s="11">
        <f>100-Tabelle1[[#This Row],[Wasser '[g/100g']]]</f>
        <v>25.5</v>
      </c>
      <c r="N44" s="11">
        <v>12</v>
      </c>
      <c r="O44" s="11">
        <v>185</v>
      </c>
      <c r="P44" s="11">
        <v>22</v>
      </c>
      <c r="Q44" s="11">
        <v>52</v>
      </c>
      <c r="R44" s="11">
        <v>315</v>
      </c>
      <c r="S44" s="11"/>
      <c r="T44" s="11">
        <v>2.8</v>
      </c>
      <c r="U44" s="11">
        <v>4.0999999999999996</v>
      </c>
      <c r="V44" s="11">
        <v>16.5</v>
      </c>
      <c r="W44" s="11">
        <v>150</v>
      </c>
      <c r="X44" s="11">
        <v>20</v>
      </c>
      <c r="Y44" s="11">
        <v>2.5</v>
      </c>
      <c r="Z44" s="11"/>
      <c r="AA44" s="11">
        <v>0</v>
      </c>
      <c r="AB44" s="11">
        <v>0.2</v>
      </c>
      <c r="AC44" s="11">
        <v>0</v>
      </c>
      <c r="AD44" s="11">
        <v>0.11</v>
      </c>
      <c r="AE44" s="11">
        <v>0.22</v>
      </c>
      <c r="AF44" s="11">
        <v>0.45</v>
      </c>
      <c r="AG44" s="11">
        <v>250</v>
      </c>
      <c r="AH44" s="11">
        <v>1.8</v>
      </c>
      <c r="AI44" s="11">
        <v>0</v>
      </c>
      <c r="AJ44" s="11">
        <v>1.5</v>
      </c>
      <c r="AK44" s="11">
        <v>6</v>
      </c>
      <c r="AL44" s="11">
        <v>2</v>
      </c>
      <c r="AM44" s="11">
        <v>0</v>
      </c>
      <c r="AN44" s="11">
        <v>0.02</v>
      </c>
      <c r="AO44" s="11">
        <v>0</v>
      </c>
      <c r="AP44" s="11">
        <v>0</v>
      </c>
      <c r="AQ44" s="11">
        <v>0.12</v>
      </c>
      <c r="AR44" s="11">
        <v>0</v>
      </c>
      <c r="AS44" s="11">
        <v>1.33</v>
      </c>
      <c r="AT44" s="11">
        <v>0.24</v>
      </c>
      <c r="AU44" s="11">
        <v>0.63</v>
      </c>
      <c r="AV44" s="11">
        <v>1.92</v>
      </c>
      <c r="AW44" s="11">
        <v>0.56000000000000005</v>
      </c>
      <c r="AX44" s="9">
        <f>Tabelle1[[#This Row],[Vitamin D3 '[µg/100g']]]*40</f>
        <v>0</v>
      </c>
      <c r="AY44" s="9">
        <f>Tabelle1[[#This Row],[Vitamin A '[µg/100g']]]*3.33</f>
        <v>0</v>
      </c>
      <c r="AZ44" s="9">
        <f>Tabelle1[[#This Row],[Vitamin E '[mg/100g']]]*1.49</f>
        <v>0.29799999999999999</v>
      </c>
    </row>
    <row r="45" spans="1:52" hidden="1" x14ac:dyDescent="0.45">
      <c r="A45" t="s">
        <v>534</v>
      </c>
      <c r="B45" s="3" t="s">
        <v>386</v>
      </c>
      <c r="C45" s="4" t="s">
        <v>387</v>
      </c>
      <c r="D45" s="11">
        <v>152</v>
      </c>
      <c r="E45" s="13">
        <f>Tabelle1[[#This Row],[Energie '[kcal/100g']]]/239</f>
        <v>0.63598326359832635</v>
      </c>
      <c r="F45" s="11">
        <v>5.5</v>
      </c>
      <c r="G45" s="13">
        <f>Tabelle1[[#This Row],[Rohprotein '[g/100g']]]*0.85</f>
        <v>4.6749999999999998</v>
      </c>
      <c r="H45" s="11">
        <v>0.9</v>
      </c>
      <c r="I45" s="11">
        <f>Tabelle1[[#This Row],[TS]]-Tabelle1[[#This Row],[Rohprotein '[g/100g']]]-Tabelle1[[#This Row],[Rohfett '[g/100g']]]-Tabelle1[[#This Row],[Rohasche '[g/100g']]]-Tabelle1[[#This Row],[Rohfaser '[g/100g']]]</f>
        <v>31.810000000000006</v>
      </c>
      <c r="J45" s="11">
        <v>0</v>
      </c>
      <c r="K45" s="11">
        <v>0.49</v>
      </c>
      <c r="L45" s="11">
        <v>61.3</v>
      </c>
      <c r="M45" s="11">
        <f>100-Tabelle1[[#This Row],[Wasser '[g/100g']]]</f>
        <v>38.700000000000003</v>
      </c>
      <c r="N45" s="11">
        <v>14</v>
      </c>
      <c r="O45" s="11">
        <v>123</v>
      </c>
      <c r="P45" s="11">
        <v>53</v>
      </c>
      <c r="Q45" s="11">
        <v>4</v>
      </c>
      <c r="R45" s="11">
        <v>124</v>
      </c>
      <c r="S45" s="11"/>
      <c r="T45" s="11">
        <v>0.4</v>
      </c>
      <c r="U45" s="11">
        <v>0.61</v>
      </c>
      <c r="V45" s="11">
        <v>0</v>
      </c>
      <c r="W45" s="11">
        <v>145</v>
      </c>
      <c r="X45" s="11">
        <v>1040</v>
      </c>
      <c r="Y45" s="11">
        <v>0</v>
      </c>
      <c r="Z45" s="11"/>
      <c r="AA45" s="11">
        <v>0</v>
      </c>
      <c r="AB45" s="11">
        <v>0.06</v>
      </c>
      <c r="AC45" s="11">
        <v>0</v>
      </c>
      <c r="AD45" s="11">
        <v>7.0000000000000007E-2</v>
      </c>
      <c r="AE45" s="11">
        <v>0.03</v>
      </c>
      <c r="AF45" s="11">
        <v>1.8</v>
      </c>
      <c r="AG45" s="11">
        <v>100</v>
      </c>
      <c r="AH45" s="11">
        <v>0</v>
      </c>
      <c r="AI45" s="11">
        <v>0</v>
      </c>
      <c r="AJ45" s="11">
        <v>0</v>
      </c>
      <c r="AK45" s="11">
        <v>8</v>
      </c>
      <c r="AL45" s="11">
        <v>2</v>
      </c>
      <c r="AM45" s="11">
        <v>0</v>
      </c>
      <c r="AN45" s="11">
        <v>0.02</v>
      </c>
      <c r="AO45" s="11">
        <v>0</v>
      </c>
      <c r="AP45" s="11">
        <v>0</v>
      </c>
      <c r="AQ45" s="11">
        <v>0.35</v>
      </c>
      <c r="AR45" s="11">
        <v>0.35</v>
      </c>
      <c r="AS45" s="11">
        <v>0.254</v>
      </c>
      <c r="AT45" s="11">
        <v>0.126</v>
      </c>
      <c r="AU45" s="11">
        <v>0.126</v>
      </c>
      <c r="AV45" s="11">
        <v>0.15</v>
      </c>
      <c r="AW45" s="11">
        <v>0.08</v>
      </c>
      <c r="AX45" s="9">
        <f>Tabelle1[[#This Row],[Vitamin D3 '[µg/100g']]]*40</f>
        <v>0</v>
      </c>
      <c r="AY45" s="9">
        <f>Tabelle1[[#This Row],[Vitamin A '[µg/100g']]]*3.33</f>
        <v>0</v>
      </c>
      <c r="AZ45" s="9">
        <f>Tabelle1[[#This Row],[Vitamin E '[mg/100g']]]*1.49</f>
        <v>8.9399999999999993E-2</v>
      </c>
    </row>
    <row r="46" spans="1:52" hidden="1" x14ac:dyDescent="0.45">
      <c r="A46" t="s">
        <v>534</v>
      </c>
      <c r="B46" s="3" t="s">
        <v>388</v>
      </c>
      <c r="C46" s="4" t="s">
        <v>389</v>
      </c>
      <c r="D46" s="11">
        <v>353</v>
      </c>
      <c r="E46" s="13">
        <f>Tabelle1[[#This Row],[Energie '[kcal/100g']]]/239</f>
        <v>1.4769874476987448</v>
      </c>
      <c r="F46" s="11">
        <v>12.4</v>
      </c>
      <c r="G46" s="13">
        <f>Tabelle1[[#This Row],[Rohprotein '[g/100g']]]*0.85</f>
        <v>10.54</v>
      </c>
      <c r="H46" s="11">
        <v>2</v>
      </c>
      <c r="I46" s="11">
        <f>Tabelle1[[#This Row],[TS]]-Tabelle1[[#This Row],[Rohprotein '[g/100g']]]-Tabelle1[[#This Row],[Rohfett '[g/100g']]]-Tabelle1[[#This Row],[Rohasche '[g/100g']]]-Tabelle1[[#This Row],[Rohfaser '[g/100g']]]</f>
        <v>74.489999999999995</v>
      </c>
      <c r="J46" s="11">
        <v>0</v>
      </c>
      <c r="K46" s="11">
        <v>1.51</v>
      </c>
      <c r="L46" s="11">
        <v>9.6</v>
      </c>
      <c r="M46" s="11">
        <f>100-Tabelle1[[#This Row],[Wasser '[g/100g']]]</f>
        <v>90.4</v>
      </c>
      <c r="N46" s="11">
        <v>32</v>
      </c>
      <c r="O46" s="11">
        <v>291</v>
      </c>
      <c r="P46" s="11">
        <v>124</v>
      </c>
      <c r="Q46" s="11">
        <v>11</v>
      </c>
      <c r="R46" s="11">
        <v>382</v>
      </c>
      <c r="S46" s="11"/>
      <c r="T46" s="11">
        <v>1.1000000000000001</v>
      </c>
      <c r="U46" s="11">
        <v>1.38</v>
      </c>
      <c r="V46" s="11">
        <v>0</v>
      </c>
      <c r="W46" s="11">
        <v>346</v>
      </c>
      <c r="X46" s="11">
        <v>2300</v>
      </c>
      <c r="Y46" s="11">
        <v>0</v>
      </c>
      <c r="Z46" s="11"/>
      <c r="AA46" s="11">
        <v>0</v>
      </c>
      <c r="AB46" s="11">
        <v>0.14000000000000001</v>
      </c>
      <c r="AC46" s="11">
        <v>0</v>
      </c>
      <c r="AD46" s="11">
        <v>0.24</v>
      </c>
      <c r="AE46" s="11">
        <v>0.09</v>
      </c>
      <c r="AF46" s="11">
        <v>5</v>
      </c>
      <c r="AG46" s="11">
        <v>300</v>
      </c>
      <c r="AH46" s="11">
        <v>0</v>
      </c>
      <c r="AI46" s="11">
        <v>0</v>
      </c>
      <c r="AJ46" s="11">
        <v>0</v>
      </c>
      <c r="AK46" s="11">
        <v>27</v>
      </c>
      <c r="AL46" s="11">
        <v>5.4</v>
      </c>
      <c r="AM46" s="11">
        <v>0</v>
      </c>
      <c r="AN46" s="11">
        <v>0.05</v>
      </c>
      <c r="AO46" s="11">
        <v>0</v>
      </c>
      <c r="AP46" s="11">
        <v>0</v>
      </c>
      <c r="AQ46" s="11">
        <v>0.81</v>
      </c>
      <c r="AR46" s="11">
        <v>0.81</v>
      </c>
      <c r="AS46" s="11">
        <v>0.57499999999999996</v>
      </c>
      <c r="AT46" s="11">
        <v>0.28499999999999998</v>
      </c>
      <c r="AU46" s="11">
        <v>0.28499999999999998</v>
      </c>
      <c r="AV46" s="11">
        <v>0.33900000000000002</v>
      </c>
      <c r="AW46" s="11">
        <v>0.19</v>
      </c>
      <c r="AX46" s="9">
        <f>Tabelle1[[#This Row],[Vitamin D3 '[µg/100g']]]*40</f>
        <v>0</v>
      </c>
      <c r="AY46" s="9">
        <f>Tabelle1[[#This Row],[Vitamin A '[µg/100g']]]*3.33</f>
        <v>0</v>
      </c>
      <c r="AZ46" s="9">
        <f>Tabelle1[[#This Row],[Vitamin E '[mg/100g']]]*1.49</f>
        <v>0.20860000000000001</v>
      </c>
    </row>
    <row r="47" spans="1:52" hidden="1" x14ac:dyDescent="0.45">
      <c r="A47" t="s">
        <v>641</v>
      </c>
      <c r="B47" s="3" t="s">
        <v>541</v>
      </c>
      <c r="C47" s="4" t="s">
        <v>542</v>
      </c>
      <c r="D47" s="11">
        <v>310</v>
      </c>
      <c r="E47" s="11">
        <f>Tabelle1[[#This Row],[Energie '[kcal/100g']]]/239</f>
        <v>1.2970711297071129</v>
      </c>
      <c r="F47" s="11">
        <v>23.614000000000001</v>
      </c>
      <c r="G47" s="11">
        <f>Tabelle1[[#This Row],[Rohprotein '[g/100g']]]*0.85</f>
        <v>20.071899999999999</v>
      </c>
      <c r="H47" s="11">
        <v>23.5</v>
      </c>
      <c r="I47" s="11">
        <f>Tabelle1[[#This Row],[TS]]-Tabelle1[[#This Row],[Rohprotein '[g/100g']]]-Tabelle1[[#This Row],[Rohfett '[g/100g']]]-Tabelle1[[#This Row],[Rohasche '[g/100g']]]-Tabelle1[[#This Row],[Rohfaser '[g/100g']]]</f>
        <v>4.9810000000000016</v>
      </c>
      <c r="J47" s="11">
        <v>0</v>
      </c>
      <c r="K47" s="11">
        <v>4.07</v>
      </c>
      <c r="L47" s="11">
        <v>43.835000000000001</v>
      </c>
      <c r="M47" s="11">
        <f>100-Tabelle1[[#This Row],[Wasser '[g/100g']]]</f>
        <v>56.164999999999999</v>
      </c>
      <c r="N47" s="11">
        <v>1013.95</v>
      </c>
      <c r="O47" s="11">
        <v>656.12</v>
      </c>
      <c r="P47" s="11">
        <v>37.619999999999997</v>
      </c>
      <c r="Q47" s="11">
        <v>792</v>
      </c>
      <c r="R47" s="11">
        <v>120.65</v>
      </c>
      <c r="S47" s="11"/>
      <c r="T47" s="11">
        <v>0.23</v>
      </c>
      <c r="U47" s="11">
        <v>4.75</v>
      </c>
      <c r="V47" s="11">
        <v>0</v>
      </c>
      <c r="W47" s="11">
        <v>40</v>
      </c>
      <c r="X47" s="11">
        <v>30</v>
      </c>
      <c r="Y47" s="11">
        <v>17.760000000000002</v>
      </c>
      <c r="Z47" s="11"/>
      <c r="AA47" s="11">
        <v>0.47</v>
      </c>
      <c r="AB47" s="11">
        <v>0.71</v>
      </c>
      <c r="AC47" s="11">
        <v>283</v>
      </c>
      <c r="AD47" s="11">
        <v>1.2E-2</v>
      </c>
      <c r="AE47" s="11">
        <v>0.17499999999999999</v>
      </c>
      <c r="AF47" s="11">
        <v>0.1</v>
      </c>
      <c r="AG47" s="11">
        <v>47</v>
      </c>
      <c r="AH47" s="11">
        <v>2</v>
      </c>
      <c r="AI47" s="11">
        <v>1</v>
      </c>
      <c r="AJ47" s="11">
        <v>15.85</v>
      </c>
      <c r="AK47" s="11">
        <v>18</v>
      </c>
      <c r="AL47" s="11">
        <v>2.5</v>
      </c>
      <c r="AM47" s="11">
        <v>3.0000000000000001E-3</v>
      </c>
      <c r="AN47" s="11">
        <v>0</v>
      </c>
      <c r="AO47" s="11">
        <v>0</v>
      </c>
      <c r="AP47" s="11">
        <v>0</v>
      </c>
      <c r="AQ47" s="11">
        <v>0.94</v>
      </c>
      <c r="AR47" s="11">
        <v>0.94</v>
      </c>
      <c r="AS47" s="11">
        <v>0.871</v>
      </c>
      <c r="AT47" s="11">
        <v>0.11600000000000001</v>
      </c>
      <c r="AU47" s="11">
        <v>0.76700000000000002</v>
      </c>
      <c r="AV47" s="11">
        <v>1.8</v>
      </c>
      <c r="AW47" s="11">
        <v>0.64</v>
      </c>
      <c r="AX47" s="9">
        <f>Tabelle1[[#This Row],[Vitamin D3 '[µg/100g']]]*40</f>
        <v>18.799999999999997</v>
      </c>
      <c r="AY47" s="9">
        <f>Tabelle1[[#This Row],[Vitamin A '[µg/100g']]]*3.33</f>
        <v>942.39</v>
      </c>
      <c r="AZ47" s="9">
        <f>Tabelle1[[#This Row],[Vitamin E '[mg/100g']]]*1.49</f>
        <v>1.0578999999999998</v>
      </c>
    </row>
    <row r="48" spans="1:52" hidden="1" x14ac:dyDescent="0.45">
      <c r="A48" t="s">
        <v>641</v>
      </c>
      <c r="B48" s="3" t="s">
        <v>543</v>
      </c>
      <c r="C48" s="4" t="s">
        <v>544</v>
      </c>
      <c r="D48" s="11">
        <v>347</v>
      </c>
      <c r="E48" s="11">
        <f>Tabelle1[[#This Row],[Energie '[kcal/100g']]]/239</f>
        <v>1.4518828451882846</v>
      </c>
      <c r="F48" s="11">
        <v>21.46</v>
      </c>
      <c r="G48" s="11">
        <f>Tabelle1[[#This Row],[Rohprotein '[g/100g']]]*0.85</f>
        <v>18.241</v>
      </c>
      <c r="H48" s="11">
        <v>28.8</v>
      </c>
      <c r="I48" s="11">
        <f>Tabelle1[[#This Row],[TS]]-Tabelle1[[#This Row],[Rohprotein '[g/100g']]]-Tabelle1[[#This Row],[Rohfett '[g/100g']]]-Tabelle1[[#This Row],[Rohasche '[g/100g']]]-Tabelle1[[#This Row],[Rohfaser '[g/100g']]]</f>
        <v>-0.32000000000000428</v>
      </c>
      <c r="J48" s="11">
        <v>0</v>
      </c>
      <c r="K48" s="11">
        <v>3.86</v>
      </c>
      <c r="L48" s="11">
        <v>46.2</v>
      </c>
      <c r="M48" s="11">
        <f>100-Tabelle1[[#This Row],[Wasser '[g/100g']]]</f>
        <v>53.8</v>
      </c>
      <c r="N48" s="11">
        <v>1013.95</v>
      </c>
      <c r="O48" s="11">
        <v>656.12</v>
      </c>
      <c r="P48" s="11">
        <v>37.619999999999997</v>
      </c>
      <c r="Q48" s="11">
        <v>792</v>
      </c>
      <c r="R48" s="11">
        <v>120.65</v>
      </c>
      <c r="S48" s="11"/>
      <c r="T48" s="11">
        <v>0.23</v>
      </c>
      <c r="U48" s="11">
        <v>4.75</v>
      </c>
      <c r="V48" s="11">
        <v>0</v>
      </c>
      <c r="W48" s="11">
        <v>40</v>
      </c>
      <c r="X48" s="11">
        <v>30</v>
      </c>
      <c r="Y48" s="11">
        <v>17.760000000000002</v>
      </c>
      <c r="Z48" s="11"/>
      <c r="AA48" s="11">
        <v>0.53</v>
      </c>
      <c r="AB48" s="11">
        <v>0.56000000000000005</v>
      </c>
      <c r="AC48" s="11">
        <v>307</v>
      </c>
      <c r="AD48" s="11">
        <v>0</v>
      </c>
      <c r="AE48" s="11">
        <v>0.28000000000000003</v>
      </c>
      <c r="AF48" s="11">
        <v>0.1</v>
      </c>
      <c r="AG48" s="11">
        <v>37</v>
      </c>
      <c r="AH48" s="11">
        <v>2</v>
      </c>
      <c r="AI48" s="11">
        <v>1</v>
      </c>
      <c r="AJ48" s="11">
        <v>15.85</v>
      </c>
      <c r="AK48" s="11">
        <v>18</v>
      </c>
      <c r="AL48" s="11">
        <v>2.5</v>
      </c>
      <c r="AM48" s="11">
        <v>0</v>
      </c>
      <c r="AN48" s="11">
        <v>0.191</v>
      </c>
      <c r="AO48" s="11">
        <v>0</v>
      </c>
      <c r="AP48" s="11">
        <v>0</v>
      </c>
      <c r="AQ48" s="11">
        <v>0.46300000000000002</v>
      </c>
      <c r="AR48" s="11">
        <v>0.46300000000000002</v>
      </c>
      <c r="AS48" s="11">
        <v>0.79</v>
      </c>
      <c r="AT48" s="11">
        <v>0.11</v>
      </c>
      <c r="AU48" s="11">
        <v>0.7</v>
      </c>
      <c r="AV48" s="11">
        <v>1.87</v>
      </c>
      <c r="AW48" s="11">
        <v>0.57999999999999996</v>
      </c>
      <c r="AX48" s="9">
        <f>Tabelle1[[#This Row],[Vitamin D3 '[µg/100g']]]*40</f>
        <v>21.200000000000003</v>
      </c>
      <c r="AY48" s="9">
        <f>Tabelle1[[#This Row],[Vitamin A '[µg/100g']]]*3.33</f>
        <v>1022.3100000000001</v>
      </c>
      <c r="AZ48" s="9">
        <f>Tabelle1[[#This Row],[Vitamin E '[mg/100g']]]*1.49</f>
        <v>0.83440000000000003</v>
      </c>
    </row>
    <row r="49" spans="1:52" hidden="1" x14ac:dyDescent="0.45">
      <c r="A49" t="s">
        <v>641</v>
      </c>
      <c r="B49" s="5" t="s">
        <v>545</v>
      </c>
      <c r="C49" s="6" t="s">
        <v>546</v>
      </c>
      <c r="D49" s="13">
        <v>384</v>
      </c>
      <c r="E49" s="11">
        <f>Tabelle1[[#This Row],[Energie '[kcal/100g']]]/239</f>
        <v>1.606694560669456</v>
      </c>
      <c r="F49" s="13">
        <v>17</v>
      </c>
      <c r="G49" s="11">
        <f>Tabelle1[[#This Row],[Rohprotein '[g/100g']]]*0.85</f>
        <v>14.45</v>
      </c>
      <c r="H49" s="13">
        <v>34.700000000000003</v>
      </c>
      <c r="I49" s="11">
        <f>Tabelle1[[#This Row],[TS]]-Tabelle1[[#This Row],[Rohprotein '[g/100g']]]-Tabelle1[[#This Row],[Rohfett '[g/100g']]]-Tabelle1[[#This Row],[Rohasche '[g/100g']]]-Tabelle1[[#This Row],[Rohfaser '[g/100g']]]</f>
        <v>0.43999999999999728</v>
      </c>
      <c r="J49" s="11">
        <v>0</v>
      </c>
      <c r="K49" s="13">
        <v>3.86</v>
      </c>
      <c r="L49" s="13">
        <v>44</v>
      </c>
      <c r="M49" s="13">
        <f>100-Tabelle1[[#This Row],[Wasser '[g/100g']]]</f>
        <v>56</v>
      </c>
      <c r="N49" s="13">
        <v>1013.95</v>
      </c>
      <c r="O49" s="13">
        <v>656.12</v>
      </c>
      <c r="P49" s="13">
        <v>37.619999999999997</v>
      </c>
      <c r="Q49" s="13">
        <v>792</v>
      </c>
      <c r="R49" s="13">
        <v>120.65</v>
      </c>
      <c r="S49" s="13"/>
      <c r="T49" s="13">
        <v>0.23</v>
      </c>
      <c r="U49" s="13">
        <v>4.75</v>
      </c>
      <c r="V49" s="11">
        <v>0</v>
      </c>
      <c r="W49" s="13">
        <v>40</v>
      </c>
      <c r="X49" s="13">
        <v>30</v>
      </c>
      <c r="Y49" s="13">
        <v>17.760000000000002</v>
      </c>
      <c r="Z49" s="13"/>
      <c r="AA49" s="13">
        <v>0.7</v>
      </c>
      <c r="AB49" s="13">
        <v>1</v>
      </c>
      <c r="AC49" s="13">
        <v>415</v>
      </c>
      <c r="AD49" s="13">
        <v>0.05</v>
      </c>
      <c r="AE49" s="13">
        <v>0.3</v>
      </c>
      <c r="AF49" s="13">
        <v>0.1</v>
      </c>
      <c r="AG49" s="13">
        <v>60</v>
      </c>
      <c r="AH49" s="13">
        <v>2</v>
      </c>
      <c r="AI49" s="13">
        <v>1</v>
      </c>
      <c r="AJ49" s="13">
        <v>15.85</v>
      </c>
      <c r="AK49" s="13">
        <v>18</v>
      </c>
      <c r="AL49" s="13">
        <v>2.5</v>
      </c>
      <c r="AM49" s="13">
        <v>0</v>
      </c>
      <c r="AN49" s="13">
        <v>0</v>
      </c>
      <c r="AO49" s="11">
        <v>0</v>
      </c>
      <c r="AP49" s="11">
        <v>0</v>
      </c>
      <c r="AQ49" s="13">
        <v>1.4</v>
      </c>
      <c r="AR49" s="13">
        <v>1.4</v>
      </c>
      <c r="AS49" s="13">
        <v>0.627</v>
      </c>
      <c r="AT49" s="13">
        <v>8.3000000000000004E-2</v>
      </c>
      <c r="AU49" s="13">
        <v>0.55200000000000005</v>
      </c>
      <c r="AV49" s="13">
        <v>1.4</v>
      </c>
      <c r="AW49" s="13">
        <v>0.46100000000000002</v>
      </c>
      <c r="AX49" s="9">
        <f>Tabelle1[[#This Row],[Vitamin D3 '[µg/100g']]]*40</f>
        <v>28</v>
      </c>
      <c r="AY49" s="9">
        <f>Tabelle1[[#This Row],[Vitamin A '[µg/100g']]]*3.33</f>
        <v>1381.95</v>
      </c>
      <c r="AZ49" s="9">
        <f>Tabelle1[[#This Row],[Vitamin E '[mg/100g']]]*1.49</f>
        <v>1.49</v>
      </c>
    </row>
    <row r="50" spans="1:52" hidden="1" x14ac:dyDescent="0.45">
      <c r="A50" t="s">
        <v>641</v>
      </c>
      <c r="B50" s="5" t="s">
        <v>547</v>
      </c>
      <c r="C50" s="6" t="s">
        <v>548</v>
      </c>
      <c r="D50" s="13">
        <v>39</v>
      </c>
      <c r="E50" s="11">
        <f>Tabelle1[[#This Row],[Energie '[kcal/100g']]]/239</f>
        <v>0.16317991631799164</v>
      </c>
      <c r="F50" s="13">
        <v>3.23</v>
      </c>
      <c r="G50" s="11">
        <f>Tabelle1[[#This Row],[Rohprotein '[g/100g']]]*0.85</f>
        <v>2.7454999999999998</v>
      </c>
      <c r="H50" s="13">
        <v>0.56000000000000005</v>
      </c>
      <c r="I50" s="11">
        <f>Tabelle1[[#This Row],[TS]]-Tabelle1[[#This Row],[Rohprotein '[g/100g']]]-Tabelle1[[#This Row],[Rohfett '[g/100g']]]-Tabelle1[[#This Row],[Rohasche '[g/100g']]]-Tabelle1[[#This Row],[Rohfaser '[g/100g']]]</f>
        <v>4.6099999999999994</v>
      </c>
      <c r="J50" s="11">
        <v>0</v>
      </c>
      <c r="K50" s="13">
        <v>0.6</v>
      </c>
      <c r="L50" s="13">
        <v>91</v>
      </c>
      <c r="M50" s="13">
        <f>100-Tabelle1[[#This Row],[Wasser '[g/100g']]]</f>
        <v>9</v>
      </c>
      <c r="N50" s="13">
        <v>103</v>
      </c>
      <c r="O50" s="13">
        <v>89.2</v>
      </c>
      <c r="P50" s="13">
        <v>10.6</v>
      </c>
      <c r="Q50" s="13">
        <v>37.6</v>
      </c>
      <c r="R50" s="13">
        <v>158</v>
      </c>
      <c r="S50" s="13"/>
      <c r="T50" s="13">
        <v>7.0000000000000007E-2</v>
      </c>
      <c r="U50" s="13">
        <v>0.28000000000000003</v>
      </c>
      <c r="V50" s="11">
        <v>0</v>
      </c>
      <c r="W50" s="13">
        <v>7.5</v>
      </c>
      <c r="X50" s="13">
        <v>2.2000000000000002</v>
      </c>
      <c r="Y50" s="13">
        <v>13</v>
      </c>
      <c r="Z50" s="13"/>
      <c r="AA50" s="13">
        <v>0</v>
      </c>
      <c r="AB50" s="13">
        <v>2.1999999999999999E-2</v>
      </c>
      <c r="AC50" s="13">
        <v>41</v>
      </c>
      <c r="AD50" s="13">
        <v>6.4000000000000001E-2</v>
      </c>
      <c r="AE50" s="13">
        <v>0.17899999999999999</v>
      </c>
      <c r="AF50" s="13">
        <v>0.59799999999999998</v>
      </c>
      <c r="AG50" s="13">
        <v>40</v>
      </c>
      <c r="AH50" s="13">
        <v>0</v>
      </c>
      <c r="AI50" s="13">
        <v>0.4</v>
      </c>
      <c r="AJ50" s="13">
        <v>2.5</v>
      </c>
      <c r="AK50" s="13">
        <v>6.4</v>
      </c>
      <c r="AL50" s="13">
        <v>2.4119999999999999</v>
      </c>
      <c r="AM50" s="13">
        <v>4.7300000000000004</v>
      </c>
      <c r="AN50" s="13">
        <v>4.8999999999999998E-3</v>
      </c>
      <c r="AO50" s="11">
        <v>0</v>
      </c>
      <c r="AP50" s="13">
        <v>0</v>
      </c>
      <c r="AQ50" s="13">
        <v>2.3E-2</v>
      </c>
      <c r="AR50" s="13">
        <v>2.3E-2</v>
      </c>
      <c r="AS50" s="13">
        <v>0.11</v>
      </c>
      <c r="AT50" s="13">
        <v>0</v>
      </c>
      <c r="AU50" s="13">
        <v>0.08</v>
      </c>
      <c r="AV50" s="13">
        <v>0.26</v>
      </c>
      <c r="AW50" s="13">
        <v>0.08</v>
      </c>
      <c r="AX50" s="9">
        <f>Tabelle1[[#This Row],[Vitamin D3 '[µg/100g']]]*40</f>
        <v>0</v>
      </c>
      <c r="AY50" s="9">
        <f>Tabelle1[[#This Row],[Vitamin A '[µg/100g']]]*3.33</f>
        <v>136.53</v>
      </c>
      <c r="AZ50" s="9">
        <f>Tabelle1[[#This Row],[Vitamin E '[mg/100g']]]*1.49</f>
        <v>3.2779999999999997E-2</v>
      </c>
    </row>
    <row r="51" spans="1:52" hidden="1" x14ac:dyDescent="0.45">
      <c r="A51" t="s">
        <v>641</v>
      </c>
      <c r="B51" s="3" t="s">
        <v>549</v>
      </c>
      <c r="C51" s="4" t="s">
        <v>550</v>
      </c>
      <c r="D51" s="11">
        <v>363</v>
      </c>
      <c r="E51" s="11">
        <f>Tabelle1[[#This Row],[Energie '[kcal/100g']]]/239</f>
        <v>1.5188284518828452</v>
      </c>
      <c r="F51" s="11">
        <v>32.719000000000001</v>
      </c>
      <c r="G51" s="11">
        <f>Tabelle1[[#This Row],[Rohprotein '[g/100g']]]*0.85</f>
        <v>27.811150000000001</v>
      </c>
      <c r="H51" s="11">
        <v>6.75</v>
      </c>
      <c r="I51" s="11">
        <f>Tabelle1[[#This Row],[TS]]-Tabelle1[[#This Row],[Rohprotein '[g/100g']]]-Tabelle1[[#This Row],[Rohfett '[g/100g']]]-Tabelle1[[#This Row],[Rohasche '[g/100g']]]-Tabelle1[[#This Row],[Rohfaser '[g/100g']]]</f>
        <v>50.931000000000012</v>
      </c>
      <c r="J51" s="11">
        <v>0</v>
      </c>
      <c r="K51" s="11">
        <v>6.5</v>
      </c>
      <c r="L51" s="11">
        <v>3.1</v>
      </c>
      <c r="M51" s="11">
        <f>100-Tabelle1[[#This Row],[Wasser '[g/100g']]]</f>
        <v>96.9</v>
      </c>
      <c r="N51" s="11">
        <v>894</v>
      </c>
      <c r="O51" s="11">
        <v>915</v>
      </c>
      <c r="P51" s="11">
        <v>110</v>
      </c>
      <c r="Q51" s="11">
        <v>354</v>
      </c>
      <c r="R51" s="11">
        <v>1300</v>
      </c>
      <c r="S51" s="11"/>
      <c r="T51" s="11">
        <v>0.3</v>
      </c>
      <c r="U51" s="11">
        <v>4</v>
      </c>
      <c r="V51" s="11">
        <v>0</v>
      </c>
      <c r="W51" s="11">
        <v>100</v>
      </c>
      <c r="X51" s="11">
        <v>40</v>
      </c>
      <c r="Y51" s="11">
        <v>50</v>
      </c>
      <c r="Z51" s="11"/>
      <c r="AA51" s="11">
        <v>0.12</v>
      </c>
      <c r="AB51" s="11">
        <v>0.01</v>
      </c>
      <c r="AC51" s="11">
        <v>83</v>
      </c>
      <c r="AD51" s="11">
        <v>0.35</v>
      </c>
      <c r="AE51" s="11">
        <v>1.5</v>
      </c>
      <c r="AF51" s="11">
        <v>1</v>
      </c>
      <c r="AG51" s="11">
        <v>340</v>
      </c>
      <c r="AH51" s="11">
        <v>4</v>
      </c>
      <c r="AI51" s="11">
        <v>5</v>
      </c>
      <c r="AJ51" s="11">
        <v>0</v>
      </c>
      <c r="AK51" s="11">
        <v>47</v>
      </c>
      <c r="AL51" s="11">
        <v>37</v>
      </c>
      <c r="AM51" s="11">
        <v>42.12</v>
      </c>
      <c r="AN51" s="11">
        <v>3.3000000000000002E-2</v>
      </c>
      <c r="AO51" s="11">
        <v>0</v>
      </c>
      <c r="AP51" s="13">
        <v>0</v>
      </c>
      <c r="AQ51" s="11">
        <v>0.28100000000000003</v>
      </c>
      <c r="AR51" s="11">
        <v>0.28100000000000003</v>
      </c>
      <c r="AS51" s="11">
        <v>1.17</v>
      </c>
      <c r="AT51" s="11">
        <v>0.3</v>
      </c>
      <c r="AU51" s="11">
        <v>0.88</v>
      </c>
      <c r="AV51" s="11">
        <v>2.56</v>
      </c>
      <c r="AW51" s="11">
        <v>0.82</v>
      </c>
      <c r="AX51" s="9">
        <f>Tabelle1[[#This Row],[Vitamin D3 '[µg/100g']]]*40</f>
        <v>4.8</v>
      </c>
      <c r="AY51" s="9">
        <f>Tabelle1[[#This Row],[Vitamin A '[µg/100g']]]*3.33</f>
        <v>276.39</v>
      </c>
      <c r="AZ51" s="9">
        <f>Tabelle1[[#This Row],[Vitamin E '[mg/100g']]]*1.49</f>
        <v>1.49E-2</v>
      </c>
    </row>
    <row r="52" spans="1:52" hidden="1" x14ac:dyDescent="0.45">
      <c r="A52" t="s">
        <v>934</v>
      </c>
      <c r="B52" s="3" t="s">
        <v>917</v>
      </c>
      <c r="C52" s="4" t="s">
        <v>1163</v>
      </c>
      <c r="D52" s="11">
        <v>618</v>
      </c>
      <c r="E52" s="11">
        <f>Tabelle1[[#This Row],[Energie '[kcal/100g']]]/239</f>
        <v>2.5857740585774058</v>
      </c>
      <c r="F52" s="11">
        <v>21.01</v>
      </c>
      <c r="G52" s="11">
        <f>Tabelle1[[#This Row],[Rohprotein '[g/100g']]]*0.85</f>
        <v>17.858499999999999</v>
      </c>
      <c r="H52" s="11">
        <v>47.1</v>
      </c>
      <c r="I52" s="11">
        <f>Tabelle1[[#This Row],[TS]]-Tabelle1[[#This Row],[Rohprotein '[g/100g']]]-Tabelle1[[#This Row],[Rohfett '[g/100g']]]-Tabelle1[[#This Row],[Rohasche '[g/100g']]]-Tabelle1[[#This Row],[Rohfaser '[g/100g']]]</f>
        <v>25.279999999999994</v>
      </c>
      <c r="J52" s="11">
        <v>0</v>
      </c>
      <c r="K52" s="11">
        <v>2.5299999999999998</v>
      </c>
      <c r="L52" s="11">
        <v>4.08</v>
      </c>
      <c r="M52" s="11">
        <f>100-Tabelle1[[#This Row],[Wasser '[g/100g']]]</f>
        <v>95.92</v>
      </c>
      <c r="N52" s="11">
        <v>38</v>
      </c>
      <c r="O52" s="11">
        <v>500</v>
      </c>
      <c r="P52" s="11">
        <v>258</v>
      </c>
      <c r="Q52" s="11">
        <v>10</v>
      </c>
      <c r="R52" s="11">
        <v>689</v>
      </c>
      <c r="S52" s="11"/>
      <c r="T52" s="11">
        <v>6.41</v>
      </c>
      <c r="U52" s="11">
        <v>5.15</v>
      </c>
      <c r="V52" s="11">
        <v>0</v>
      </c>
      <c r="W52" s="11">
        <v>2060</v>
      </c>
      <c r="X52" s="11">
        <v>1960</v>
      </c>
      <c r="Y52" s="11">
        <v>5</v>
      </c>
      <c r="Z52" s="11"/>
      <c r="AA52" s="11">
        <v>0</v>
      </c>
      <c r="AB52" s="11">
        <v>0.28999999999999998</v>
      </c>
      <c r="AC52" s="11">
        <v>0</v>
      </c>
      <c r="AD52" s="11">
        <v>0.57999999999999996</v>
      </c>
      <c r="AE52" s="11">
        <v>0.18</v>
      </c>
      <c r="AF52" s="11">
        <v>1.84</v>
      </c>
      <c r="AG52" s="11">
        <v>530</v>
      </c>
      <c r="AH52" s="11">
        <v>0</v>
      </c>
      <c r="AI52" s="11">
        <v>0</v>
      </c>
      <c r="AJ52" s="11">
        <v>34.799999999999997</v>
      </c>
      <c r="AK52" s="11">
        <v>67.7</v>
      </c>
      <c r="AL52" s="11">
        <v>11.4</v>
      </c>
      <c r="AM52" s="11">
        <v>0</v>
      </c>
      <c r="AN52" s="11">
        <v>0.08</v>
      </c>
      <c r="AO52" s="11">
        <v>0</v>
      </c>
      <c r="AP52" s="11">
        <v>0</v>
      </c>
      <c r="AQ52" s="11">
        <v>8.548</v>
      </c>
      <c r="AR52" s="11">
        <v>8.548</v>
      </c>
      <c r="AS52" s="11">
        <v>2.2799999999999998</v>
      </c>
      <c r="AT52" s="11">
        <v>0.41</v>
      </c>
      <c r="AU52" s="11">
        <v>0.48</v>
      </c>
      <c r="AV52" s="11">
        <v>1</v>
      </c>
      <c r="AW52" s="11">
        <v>0.36</v>
      </c>
      <c r="AX52" s="9">
        <f>Tabelle1[[#This Row],[Vitamin D3 '[µg/100g']]]*40</f>
        <v>0</v>
      </c>
      <c r="AY52" s="9">
        <f>Tabelle1[[#This Row],[Vitamin A '[µg/100g']]]*3.33</f>
        <v>0</v>
      </c>
      <c r="AZ52" s="9">
        <f>Tabelle1[[#This Row],[Vitamin E '[mg/100g']]]*1.49</f>
        <v>0.43209999999999998</v>
      </c>
    </row>
    <row r="53" spans="1:52" hidden="1" x14ac:dyDescent="0.45">
      <c r="A53" t="s">
        <v>934</v>
      </c>
      <c r="B53" s="3" t="s">
        <v>924</v>
      </c>
      <c r="C53" s="4" t="s">
        <v>925</v>
      </c>
      <c r="D53" s="11">
        <v>623</v>
      </c>
      <c r="E53" s="11">
        <f>Tabelle1[[#This Row],[Energie '[kcal/100g']]]/239</f>
        <v>2.6066945606694563</v>
      </c>
      <c r="F53" s="11">
        <v>17.600000000000001</v>
      </c>
      <c r="G53" s="11">
        <f>Tabelle1[[#This Row],[Rohprotein '[g/100g']]]*0.85</f>
        <v>14.96</v>
      </c>
      <c r="H53" s="11">
        <v>49.4</v>
      </c>
      <c r="I53" s="11">
        <f>Tabelle1[[#This Row],[TS]]-Tabelle1[[#This Row],[Rohprotein '[g/100g']]]-Tabelle1[[#This Row],[Rohfett '[g/100g']]]-Tabelle1[[#This Row],[Rohasche '[g/100g']]]-Tabelle1[[#This Row],[Rohfaser '[g/100g']]]</f>
        <v>27.54</v>
      </c>
      <c r="J53" s="11">
        <v>0</v>
      </c>
      <c r="K53" s="11">
        <v>2.5</v>
      </c>
      <c r="L53" s="11">
        <v>2.96</v>
      </c>
      <c r="M53" s="11">
        <f>100-Tabelle1[[#This Row],[Wasser '[g/100g']]]</f>
        <v>97.04</v>
      </c>
      <c r="N53" s="11">
        <v>43</v>
      </c>
      <c r="O53" s="11">
        <v>457</v>
      </c>
      <c r="P53" s="11">
        <v>258</v>
      </c>
      <c r="Q53" s="11">
        <v>15</v>
      </c>
      <c r="R53" s="11">
        <v>546</v>
      </c>
      <c r="S53" s="11"/>
      <c r="T53" s="11">
        <v>5.03</v>
      </c>
      <c r="U53" s="11">
        <v>5.16</v>
      </c>
      <c r="V53" s="11">
        <v>0</v>
      </c>
      <c r="W53" s="11">
        <v>2190</v>
      </c>
      <c r="X53" s="11">
        <v>815</v>
      </c>
      <c r="Y53" s="11">
        <v>5</v>
      </c>
      <c r="Z53" s="11"/>
      <c r="AA53" s="11">
        <v>0</v>
      </c>
      <c r="AB53" s="11">
        <v>0.28999999999999998</v>
      </c>
      <c r="AC53" s="11">
        <v>0</v>
      </c>
      <c r="AD53" s="11">
        <v>0.312</v>
      </c>
      <c r="AE53" s="11">
        <v>0.187</v>
      </c>
      <c r="AF53" s="11">
        <v>1.6</v>
      </c>
      <c r="AG53" s="11">
        <v>252</v>
      </c>
      <c r="AH53" s="11">
        <v>0</v>
      </c>
      <c r="AI53" s="11">
        <v>0</v>
      </c>
      <c r="AJ53" s="11">
        <v>34.799999999999997</v>
      </c>
      <c r="AK53" s="11">
        <v>68</v>
      </c>
      <c r="AL53" s="11">
        <v>11.4</v>
      </c>
      <c r="AM53" s="11">
        <v>0</v>
      </c>
      <c r="AN53" s="11">
        <v>0.1</v>
      </c>
      <c r="AO53" s="11">
        <v>0</v>
      </c>
      <c r="AP53" s="11">
        <v>0</v>
      </c>
      <c r="AQ53" s="11">
        <v>9</v>
      </c>
      <c r="AR53" s="11">
        <v>9</v>
      </c>
      <c r="AS53" s="11">
        <v>2</v>
      </c>
      <c r="AT53" s="11">
        <v>0.32500000000000001</v>
      </c>
      <c r="AU53" s="11">
        <v>0.45700000000000002</v>
      </c>
      <c r="AV53" s="11">
        <v>0.93799999999999994</v>
      </c>
      <c r="AW53" s="11">
        <v>0.315</v>
      </c>
      <c r="AX53" s="9">
        <f>Tabelle1[[#This Row],[Vitamin D3 '[µg/100g']]]*40</f>
        <v>0</v>
      </c>
      <c r="AY53" s="9">
        <f>Tabelle1[[#This Row],[Vitamin A '[µg/100g']]]*3.33</f>
        <v>0</v>
      </c>
      <c r="AZ53" s="9">
        <f>Tabelle1[[#This Row],[Vitamin E '[mg/100g']]]*1.49</f>
        <v>0.43209999999999998</v>
      </c>
    </row>
    <row r="54" spans="1:52" hidden="1" x14ac:dyDescent="0.45">
      <c r="A54" t="s">
        <v>934</v>
      </c>
      <c r="B54" s="3" t="s">
        <v>924</v>
      </c>
      <c r="C54" s="4" t="s">
        <v>925</v>
      </c>
      <c r="D54" s="11">
        <v>623</v>
      </c>
      <c r="E54" s="11">
        <f>Tabelle1[[#This Row],[Energie '[kcal/100g']]]/239</f>
        <v>2.6066945606694563</v>
      </c>
      <c r="F54" s="11">
        <v>17.600000000000001</v>
      </c>
      <c r="G54" s="11">
        <f>Tabelle1[[#This Row],[Rohprotein '[g/100g']]]*0.85</f>
        <v>14.96</v>
      </c>
      <c r="H54" s="11">
        <v>49.4</v>
      </c>
      <c r="I54" s="11">
        <f>Tabelle1[[#This Row],[TS]]-Tabelle1[[#This Row],[Rohprotein '[g/100g']]]-Tabelle1[[#This Row],[Rohfett '[g/100g']]]-Tabelle1[[#This Row],[Rohasche '[g/100g']]]-Tabelle1[[#This Row],[Rohfaser '[g/100g']]]</f>
        <v>27.54</v>
      </c>
      <c r="J54" s="11">
        <v>0</v>
      </c>
      <c r="K54" s="11">
        <v>2.5</v>
      </c>
      <c r="L54" s="11">
        <v>2.96</v>
      </c>
      <c r="M54" s="11">
        <f>100-Tabelle1[[#This Row],[Wasser '[g/100g']]]</f>
        <v>97.04</v>
      </c>
      <c r="N54" s="11">
        <v>43</v>
      </c>
      <c r="O54" s="11">
        <v>457</v>
      </c>
      <c r="P54" s="11">
        <v>258</v>
      </c>
      <c r="Q54" s="11">
        <v>15</v>
      </c>
      <c r="R54" s="11">
        <v>546</v>
      </c>
      <c r="S54" s="11"/>
      <c r="T54" s="11">
        <v>5.03</v>
      </c>
      <c r="U54" s="11">
        <v>5.16</v>
      </c>
      <c r="V54" s="11">
        <v>0</v>
      </c>
      <c r="W54" s="11">
        <v>2190</v>
      </c>
      <c r="X54" s="11">
        <v>815</v>
      </c>
      <c r="Y54" s="11">
        <v>5</v>
      </c>
      <c r="Z54" s="11"/>
      <c r="AA54" s="11">
        <v>0</v>
      </c>
      <c r="AB54" s="11">
        <v>0.28999999999999998</v>
      </c>
      <c r="AC54" s="11">
        <v>0</v>
      </c>
      <c r="AD54" s="11">
        <v>0.312</v>
      </c>
      <c r="AE54" s="11">
        <v>0.187</v>
      </c>
      <c r="AF54" s="11">
        <v>1.6</v>
      </c>
      <c r="AG54" s="11">
        <v>252</v>
      </c>
      <c r="AH54" s="11">
        <v>0</v>
      </c>
      <c r="AI54" s="11">
        <v>0</v>
      </c>
      <c r="AJ54" s="11">
        <v>34.799999999999997</v>
      </c>
      <c r="AK54" s="11">
        <v>68</v>
      </c>
      <c r="AL54" s="11">
        <v>11.4</v>
      </c>
      <c r="AM54" s="11">
        <v>0</v>
      </c>
      <c r="AN54" s="11">
        <v>0.1</v>
      </c>
      <c r="AO54" s="11">
        <v>0</v>
      </c>
      <c r="AP54" s="11">
        <v>0</v>
      </c>
      <c r="AQ54" s="11">
        <v>9</v>
      </c>
      <c r="AR54" s="11">
        <v>9</v>
      </c>
      <c r="AS54" s="11">
        <v>2</v>
      </c>
      <c r="AT54" s="11">
        <v>0.32500000000000001</v>
      </c>
      <c r="AU54" s="11">
        <v>0.45700000000000002</v>
      </c>
      <c r="AV54" s="11">
        <v>0.93799999999999994</v>
      </c>
      <c r="AW54" s="11">
        <v>0.315</v>
      </c>
      <c r="AX54" s="9">
        <f>Tabelle1[[#This Row],[Vitamin D3 '[µg/100g']]]*40</f>
        <v>0</v>
      </c>
      <c r="AY54" s="9">
        <f>Tabelle1[[#This Row],[Vitamin A '[µg/100g']]]*3.33</f>
        <v>0</v>
      </c>
      <c r="AZ54" s="9">
        <f>Tabelle1[[#This Row],[Vitamin E '[mg/100g']]]*1.49</f>
        <v>0.43209999999999998</v>
      </c>
    </row>
    <row r="55" spans="1:52" hidden="1" x14ac:dyDescent="0.45">
      <c r="A55" t="s">
        <v>877</v>
      </c>
      <c r="B55" s="5" t="s">
        <v>717</v>
      </c>
      <c r="C55" s="6" t="s">
        <v>718</v>
      </c>
      <c r="D55" s="13">
        <v>24</v>
      </c>
      <c r="E55" s="11">
        <f>Tabelle1[[#This Row],[Energie '[kcal/100g']]]/239</f>
        <v>0.100418410041841</v>
      </c>
      <c r="F55" s="13">
        <v>2.8119999999999998</v>
      </c>
      <c r="G55" s="11">
        <f>Tabelle1[[#This Row],[Rohprotein '[g/100g']]]*0.85</f>
        <v>2.3901999999999997</v>
      </c>
      <c r="H55" s="13">
        <v>0.21199999999999999</v>
      </c>
      <c r="I55" s="11">
        <f>Tabelle1[[#This Row],[TS]]-Tabelle1[[#This Row],[Rohprotein '[g/100g']]]-Tabelle1[[#This Row],[Rohfett '[g/100g']]]-Tabelle1[[#This Row],[Rohasche '[g/100g']]]-Tabelle1[[#This Row],[Rohfaser '[g/100g']]]</f>
        <v>5.8469999999999951</v>
      </c>
      <c r="J55" s="11">
        <v>0</v>
      </c>
      <c r="K55" s="13">
        <v>1.7290000000000001</v>
      </c>
      <c r="L55" s="13">
        <v>89.4</v>
      </c>
      <c r="M55" s="13">
        <f>100-Tabelle1[[#This Row],[Wasser '[g/100g']]]</f>
        <v>10.599999999999994</v>
      </c>
      <c r="N55" s="13">
        <v>94</v>
      </c>
      <c r="O55" s="13">
        <v>31</v>
      </c>
      <c r="P55" s="13">
        <v>26</v>
      </c>
      <c r="Q55" s="13">
        <v>54</v>
      </c>
      <c r="R55" s="13">
        <v>553</v>
      </c>
      <c r="S55" s="13"/>
      <c r="T55" s="13">
        <v>1.321</v>
      </c>
      <c r="U55" s="13">
        <v>0.34200000000000003</v>
      </c>
      <c r="V55" s="11">
        <v>0</v>
      </c>
      <c r="W55" s="13">
        <v>119</v>
      </c>
      <c r="X55" s="13">
        <v>353</v>
      </c>
      <c r="Y55" s="13">
        <v>2.0310000000000001</v>
      </c>
      <c r="Z55" s="13"/>
      <c r="AA55" s="13">
        <v>0</v>
      </c>
      <c r="AB55" s="13">
        <v>0.27900000000000003</v>
      </c>
      <c r="AC55" s="13">
        <v>678</v>
      </c>
      <c r="AD55" s="13">
        <v>6.0999999999999999E-2</v>
      </c>
      <c r="AE55" s="13">
        <v>0.04</v>
      </c>
      <c r="AF55" s="13">
        <v>0.26800000000000002</v>
      </c>
      <c r="AG55" s="13">
        <v>52</v>
      </c>
      <c r="AH55" s="13">
        <v>0</v>
      </c>
      <c r="AI55" s="13">
        <v>6.8490000000000002</v>
      </c>
      <c r="AJ55" s="13">
        <v>136</v>
      </c>
      <c r="AK55" s="13">
        <v>30</v>
      </c>
      <c r="AL55" s="13">
        <v>5</v>
      </c>
      <c r="AM55" s="13">
        <v>0</v>
      </c>
      <c r="AN55" s="13">
        <v>3.4000000000000002E-2</v>
      </c>
      <c r="AO55" s="13">
        <v>0</v>
      </c>
      <c r="AP55" s="13">
        <v>0</v>
      </c>
      <c r="AQ55" s="13">
        <v>8.5999999999999993E-2</v>
      </c>
      <c r="AR55" s="13">
        <v>8.5999999999999993E-2</v>
      </c>
      <c r="AS55" s="13">
        <v>0.14000000000000001</v>
      </c>
      <c r="AT55" s="13">
        <v>6.0000000000000001E-3</v>
      </c>
      <c r="AU55" s="13">
        <v>2.4E-2</v>
      </c>
      <c r="AV55" s="13">
        <v>4.9000000000000002E-2</v>
      </c>
      <c r="AW55" s="13">
        <v>1.4999999999999999E-2</v>
      </c>
      <c r="AX55" s="9">
        <f>Tabelle1[[#This Row],[Vitamin D3 '[µg/100g']]]*40</f>
        <v>0</v>
      </c>
      <c r="AY55" s="9">
        <f>Tabelle1[[#This Row],[Vitamin A '[µg/100g']]]*3.33</f>
        <v>2257.7400000000002</v>
      </c>
      <c r="AZ55" s="9">
        <f>Tabelle1[[#This Row],[Vitamin E '[mg/100g']]]*1.49</f>
        <v>0.41571000000000002</v>
      </c>
    </row>
    <row r="56" spans="1:52" hidden="1" x14ac:dyDescent="0.45">
      <c r="A56" t="s">
        <v>877</v>
      </c>
      <c r="B56" s="5" t="s">
        <v>719</v>
      </c>
      <c r="C56" s="6" t="s">
        <v>720</v>
      </c>
      <c r="D56" s="13">
        <v>38</v>
      </c>
      <c r="E56" s="11">
        <f>Tabelle1[[#This Row],[Energie '[kcal/100g']]]/239</f>
        <v>0.15899581589958159</v>
      </c>
      <c r="F56" s="13">
        <v>4.5090000000000003</v>
      </c>
      <c r="G56" s="11">
        <f>Tabelle1[[#This Row],[Rohprotein '[g/100g']]]*0.85</f>
        <v>3.8326500000000001</v>
      </c>
      <c r="H56" s="13">
        <v>0.34</v>
      </c>
      <c r="I56" s="11">
        <f>Tabelle1[[#This Row],[TS]]-Tabelle1[[#This Row],[Rohprotein '[g/100g']]]-Tabelle1[[#This Row],[Rohfett '[g/100g']]]-Tabelle1[[#This Row],[Rohasche '[g/100g']]]-Tabelle1[[#This Row],[Rohfaser '[g/100g']]]</f>
        <v>7.8769999999999998</v>
      </c>
      <c r="J56" s="11">
        <v>0</v>
      </c>
      <c r="K56" s="13">
        <v>2.774</v>
      </c>
      <c r="L56" s="13">
        <v>84.5</v>
      </c>
      <c r="M56" s="13">
        <f>100-Tabelle1[[#This Row],[Wasser '[g/100g']]]</f>
        <v>15.5</v>
      </c>
      <c r="N56" s="13">
        <v>151</v>
      </c>
      <c r="O56" s="13">
        <v>49</v>
      </c>
      <c r="P56" s="13">
        <v>42</v>
      </c>
      <c r="Q56" s="13">
        <v>87</v>
      </c>
      <c r="R56" s="13">
        <v>887</v>
      </c>
      <c r="S56" s="13"/>
      <c r="T56" s="13">
        <v>2.1190000000000002</v>
      </c>
      <c r="U56" s="13">
        <v>0.54900000000000004</v>
      </c>
      <c r="V56" s="11">
        <v>0</v>
      </c>
      <c r="W56" s="13">
        <v>191</v>
      </c>
      <c r="X56" s="13">
        <v>566</v>
      </c>
      <c r="Y56" s="13">
        <v>3.2570000000000001</v>
      </c>
      <c r="Z56" s="13"/>
      <c r="AA56" s="13">
        <v>0</v>
      </c>
      <c r="AB56" s="13">
        <v>0.44700000000000001</v>
      </c>
      <c r="AC56" s="13">
        <v>1064</v>
      </c>
      <c r="AD56" s="13">
        <v>9.8000000000000004E-2</v>
      </c>
      <c r="AE56" s="13">
        <v>6.5000000000000002E-2</v>
      </c>
      <c r="AF56" s="13">
        <v>0.43</v>
      </c>
      <c r="AG56" s="13">
        <v>82</v>
      </c>
      <c r="AH56" s="13">
        <v>0</v>
      </c>
      <c r="AI56" s="13">
        <v>13.115</v>
      </c>
      <c r="AJ56" s="13">
        <v>219</v>
      </c>
      <c r="AK56" s="13">
        <v>48</v>
      </c>
      <c r="AL56" s="13">
        <v>8</v>
      </c>
      <c r="AM56" s="13">
        <v>0</v>
      </c>
      <c r="AN56" s="13">
        <v>5.5E-2</v>
      </c>
      <c r="AO56" s="13">
        <v>0</v>
      </c>
      <c r="AP56" s="13">
        <v>0</v>
      </c>
      <c r="AQ56" s="13">
        <v>0.13800000000000001</v>
      </c>
      <c r="AR56" s="13">
        <v>0.13800000000000001</v>
      </c>
      <c r="AS56" s="13">
        <v>0.22500000000000001</v>
      </c>
      <c r="AT56" s="13">
        <v>8.9999999999999993E-3</v>
      </c>
      <c r="AU56" s="13">
        <v>3.7999999999999999E-2</v>
      </c>
      <c r="AV56" s="13">
        <v>7.9000000000000001E-2</v>
      </c>
      <c r="AW56" s="13">
        <v>2.5000000000000001E-2</v>
      </c>
      <c r="AX56" s="9">
        <f>Tabelle1[[#This Row],[Vitamin D3 '[µg/100g']]]*40</f>
        <v>0</v>
      </c>
      <c r="AY56" s="9">
        <f>Tabelle1[[#This Row],[Vitamin A '[µg/100g']]]*3.33</f>
        <v>3543.12</v>
      </c>
      <c r="AZ56" s="9">
        <f>Tabelle1[[#This Row],[Vitamin E '[mg/100g']]]*1.49</f>
        <v>0.66603000000000001</v>
      </c>
    </row>
    <row r="57" spans="1:52" hidden="1" x14ac:dyDescent="0.45">
      <c r="A57" t="s">
        <v>877</v>
      </c>
      <c r="B57" s="5" t="s">
        <v>721</v>
      </c>
      <c r="C57" s="6" t="s">
        <v>722</v>
      </c>
      <c r="D57" s="13">
        <v>22</v>
      </c>
      <c r="E57" s="11">
        <f>Tabelle1[[#This Row],[Energie '[kcal/100g']]]/239</f>
        <v>9.2050209205020925E-2</v>
      </c>
      <c r="F57" s="13">
        <v>2.5430000000000001</v>
      </c>
      <c r="G57" s="11">
        <f>Tabelle1[[#This Row],[Rohprotein '[g/100g']]]*0.85</f>
        <v>2.1615500000000001</v>
      </c>
      <c r="H57" s="13">
        <v>0.191</v>
      </c>
      <c r="I57" s="11">
        <f>Tabelle1[[#This Row],[TS]]-Tabelle1[[#This Row],[Rohprotein '[g/100g']]]-Tabelle1[[#This Row],[Rohfett '[g/100g']]]-Tabelle1[[#This Row],[Rohasche '[g/100g']]]-Tabelle1[[#This Row],[Rohfaser '[g/100g']]]</f>
        <v>5.6020000000000056</v>
      </c>
      <c r="J57" s="11">
        <v>0</v>
      </c>
      <c r="K57" s="13">
        <v>1.5640000000000001</v>
      </c>
      <c r="L57" s="13">
        <v>90.1</v>
      </c>
      <c r="M57" s="13">
        <f>100-Tabelle1[[#This Row],[Wasser '[g/100g']]]</f>
        <v>9.9000000000000057</v>
      </c>
      <c r="N57" s="13">
        <v>85</v>
      </c>
      <c r="O57" s="13">
        <v>28</v>
      </c>
      <c r="P57" s="13">
        <v>23</v>
      </c>
      <c r="Q57" s="13">
        <v>49</v>
      </c>
      <c r="R57" s="13">
        <v>500</v>
      </c>
      <c r="S57" s="13"/>
      <c r="T57" s="13">
        <v>1.1950000000000001</v>
      </c>
      <c r="U57" s="13">
        <v>0.31</v>
      </c>
      <c r="V57" s="11">
        <v>0</v>
      </c>
      <c r="W57" s="13">
        <v>107</v>
      </c>
      <c r="X57" s="13">
        <v>319</v>
      </c>
      <c r="Y57" s="13">
        <v>1.8360000000000001</v>
      </c>
      <c r="Z57" s="13"/>
      <c r="AA57" s="13">
        <v>0</v>
      </c>
      <c r="AB57" s="13">
        <v>0.252</v>
      </c>
      <c r="AC57" s="13">
        <v>600</v>
      </c>
      <c r="AD57" s="13">
        <v>5.6000000000000001E-2</v>
      </c>
      <c r="AE57" s="13">
        <v>3.5999999999999997E-2</v>
      </c>
      <c r="AF57" s="13">
        <v>0.24299999999999999</v>
      </c>
      <c r="AG57" s="13">
        <v>46</v>
      </c>
      <c r="AH57" s="13">
        <v>0</v>
      </c>
      <c r="AI57" s="13">
        <v>5.5460000000000003</v>
      </c>
      <c r="AJ57" s="13">
        <v>123</v>
      </c>
      <c r="AK57" s="13">
        <v>27</v>
      </c>
      <c r="AL57" s="13">
        <v>5</v>
      </c>
      <c r="AM57" s="13">
        <v>0</v>
      </c>
      <c r="AN57" s="13">
        <v>3.1E-2</v>
      </c>
      <c r="AO57" s="13">
        <v>0</v>
      </c>
      <c r="AP57" s="13">
        <v>0</v>
      </c>
      <c r="AQ57" s="13">
        <v>7.8E-2</v>
      </c>
      <c r="AR57" s="13">
        <v>7.8E-2</v>
      </c>
      <c r="AS57" s="13">
        <v>0.127</v>
      </c>
      <c r="AT57" s="13">
        <v>5.0000000000000001E-3</v>
      </c>
      <c r="AU57" s="13">
        <v>2.1000000000000001E-2</v>
      </c>
      <c r="AV57" s="13">
        <v>4.4999999999999998E-2</v>
      </c>
      <c r="AW57" s="13">
        <v>1.4E-2</v>
      </c>
      <c r="AX57" s="9">
        <f>Tabelle1[[#This Row],[Vitamin D3 '[µg/100g']]]*40</f>
        <v>0</v>
      </c>
      <c r="AY57" s="9">
        <f>Tabelle1[[#This Row],[Vitamin A '[µg/100g']]]*3.33</f>
        <v>1998</v>
      </c>
      <c r="AZ57" s="9">
        <f>Tabelle1[[#This Row],[Vitamin E '[mg/100g']]]*1.49</f>
        <v>0.37547999999999998</v>
      </c>
    </row>
    <row r="58" spans="1:52" hidden="1" x14ac:dyDescent="0.45">
      <c r="A58" t="s">
        <v>877</v>
      </c>
      <c r="B58" s="5" t="s">
        <v>723</v>
      </c>
      <c r="C58" s="6" t="s">
        <v>724</v>
      </c>
      <c r="D58" s="13">
        <v>20</v>
      </c>
      <c r="E58" s="11">
        <f>Tabelle1[[#This Row],[Energie '[kcal/100g']]]/239</f>
        <v>8.3682008368200833E-2</v>
      </c>
      <c r="F58" s="13">
        <v>2.39</v>
      </c>
      <c r="G58" s="11">
        <f>Tabelle1[[#This Row],[Rohprotein '[g/100g']]]*0.85</f>
        <v>2.0314999999999999</v>
      </c>
      <c r="H58" s="13">
        <v>0.18</v>
      </c>
      <c r="I58" s="11">
        <f>Tabelle1[[#This Row],[TS]]-Tabelle1[[#This Row],[Rohprotein '[g/100g']]]-Tabelle1[[#This Row],[Rohfett '[g/100g']]]-Tabelle1[[#This Row],[Rohasche '[g/100g']]]-Tabelle1[[#This Row],[Rohfaser '[g/100g']]]</f>
        <v>5.3800000000000017</v>
      </c>
      <c r="J58" s="11">
        <v>0</v>
      </c>
      <c r="K58" s="13">
        <v>1.47</v>
      </c>
      <c r="L58" s="13">
        <v>90.58</v>
      </c>
      <c r="M58" s="13">
        <f>100-Tabelle1[[#This Row],[Wasser '[g/100g']]]</f>
        <v>9.4200000000000017</v>
      </c>
      <c r="N58" s="13">
        <v>80</v>
      </c>
      <c r="O58" s="13">
        <v>26</v>
      </c>
      <c r="P58" s="13">
        <v>22</v>
      </c>
      <c r="Q58" s="13">
        <v>46</v>
      </c>
      <c r="R58" s="13">
        <v>470</v>
      </c>
      <c r="S58" s="13"/>
      <c r="T58" s="13">
        <v>1.123</v>
      </c>
      <c r="U58" s="13">
        <v>0.29099999999999998</v>
      </c>
      <c r="V58" s="11">
        <v>0</v>
      </c>
      <c r="W58" s="13">
        <v>101</v>
      </c>
      <c r="X58" s="13">
        <v>300</v>
      </c>
      <c r="Y58" s="13">
        <v>1.8169999999999999</v>
      </c>
      <c r="Z58" s="13"/>
      <c r="AA58" s="13">
        <v>0</v>
      </c>
      <c r="AB58" s="13">
        <v>0.23699999999999999</v>
      </c>
      <c r="AC58" s="13">
        <v>627</v>
      </c>
      <c r="AD58" s="13">
        <v>5.8000000000000003E-2</v>
      </c>
      <c r="AE58" s="13">
        <v>3.5999999999999997E-2</v>
      </c>
      <c r="AF58" s="13">
        <v>0.24</v>
      </c>
      <c r="AG58" s="13">
        <v>48</v>
      </c>
      <c r="AH58" s="13">
        <v>0</v>
      </c>
      <c r="AI58" s="13">
        <v>8.6890000000000001</v>
      </c>
      <c r="AJ58" s="13">
        <v>116</v>
      </c>
      <c r="AK58" s="13">
        <v>36</v>
      </c>
      <c r="AL58" s="13">
        <v>5</v>
      </c>
      <c r="AM58" s="13">
        <v>0</v>
      </c>
      <c r="AN58" s="13">
        <v>2.9000000000000001E-2</v>
      </c>
      <c r="AO58" s="13">
        <v>0</v>
      </c>
      <c r="AP58" s="13">
        <v>0</v>
      </c>
      <c r="AQ58" s="13">
        <v>7.2999999999999995E-2</v>
      </c>
      <c r="AR58" s="13">
        <v>7.2999999999999995E-2</v>
      </c>
      <c r="AS58" s="13">
        <v>0.11899999999999999</v>
      </c>
      <c r="AT58" s="13">
        <v>5.0000000000000001E-3</v>
      </c>
      <c r="AU58" s="13">
        <v>0.02</v>
      </c>
      <c r="AV58" s="13">
        <v>4.2000000000000003E-2</v>
      </c>
      <c r="AW58" s="13">
        <v>1.2999999999999999E-2</v>
      </c>
      <c r="AX58" s="9">
        <f>Tabelle1[[#This Row],[Vitamin D3 '[µg/100g']]]*40</f>
        <v>0</v>
      </c>
      <c r="AY58" s="9">
        <f>Tabelle1[[#This Row],[Vitamin A '[µg/100g']]]*3.33</f>
        <v>2087.91</v>
      </c>
      <c r="AZ58" s="9">
        <f>Tabelle1[[#This Row],[Vitamin E '[mg/100g']]]*1.49</f>
        <v>0.35313</v>
      </c>
    </row>
    <row r="59" spans="1:52" hidden="1" x14ac:dyDescent="0.45">
      <c r="A59" t="s">
        <v>534</v>
      </c>
      <c r="B59" s="3" t="s">
        <v>396</v>
      </c>
      <c r="C59" s="4" t="s">
        <v>397</v>
      </c>
      <c r="D59" s="11">
        <v>156</v>
      </c>
      <c r="E59" s="13">
        <f>Tabelle1[[#This Row],[Energie '[kcal/100g']]]/239</f>
        <v>0.65271966527196656</v>
      </c>
      <c r="F59" s="11">
        <v>4.9139999999999997</v>
      </c>
      <c r="G59" s="13">
        <f>Tabelle1[[#This Row],[Rohprotein '[g/100g']]]*0.85</f>
        <v>4.1768999999999998</v>
      </c>
      <c r="H59" s="11">
        <v>0.68</v>
      </c>
      <c r="I59" s="11">
        <f>Tabelle1[[#This Row],[TS]]-Tabelle1[[#This Row],[Rohprotein '[g/100g']]]-Tabelle1[[#This Row],[Rohfett '[g/100g']]]-Tabelle1[[#This Row],[Rohasche '[g/100g']]]-Tabelle1[[#This Row],[Rohfaser '[g/100g']]]</f>
        <v>31.275999999999996</v>
      </c>
      <c r="J59" s="11">
        <v>0</v>
      </c>
      <c r="K59" s="11">
        <v>0.28000000000000003</v>
      </c>
      <c r="L59" s="11">
        <v>62.85</v>
      </c>
      <c r="M59" s="11">
        <f>100-Tabelle1[[#This Row],[Wasser '[g/100g']]]</f>
        <v>37.15</v>
      </c>
      <c r="N59" s="11">
        <v>16.100000000000001</v>
      </c>
      <c r="O59" s="11">
        <v>104.1</v>
      </c>
      <c r="P59" s="11">
        <v>30.2</v>
      </c>
      <c r="Q59" s="11">
        <v>4.7</v>
      </c>
      <c r="R59" s="11">
        <v>134</v>
      </c>
      <c r="S59" s="11"/>
      <c r="T59" s="11">
        <v>1.1876</v>
      </c>
      <c r="U59" s="11">
        <v>1.1372</v>
      </c>
      <c r="V59" s="11">
        <v>0</v>
      </c>
      <c r="W59" s="11">
        <v>177</v>
      </c>
      <c r="X59" s="11">
        <v>558.4</v>
      </c>
      <c r="Y59" s="11">
        <v>1.5</v>
      </c>
      <c r="Z59" s="11"/>
      <c r="AA59" s="11">
        <v>0</v>
      </c>
      <c r="AB59" s="11">
        <v>0.108</v>
      </c>
      <c r="AC59" s="11">
        <v>0</v>
      </c>
      <c r="AD59" s="11">
        <v>0.114</v>
      </c>
      <c r="AE59" s="11">
        <v>7.0000000000000001E-3</v>
      </c>
      <c r="AF59" s="11">
        <v>1.1000000000000001</v>
      </c>
      <c r="AG59" s="11">
        <v>13</v>
      </c>
      <c r="AH59" s="11">
        <v>0</v>
      </c>
      <c r="AI59" s="11">
        <v>0</v>
      </c>
      <c r="AJ59" s="11">
        <v>0</v>
      </c>
      <c r="AK59" s="11">
        <v>10.4</v>
      </c>
      <c r="AL59" s="11">
        <v>0.84</v>
      </c>
      <c r="AM59" s="11">
        <v>0</v>
      </c>
      <c r="AN59" s="11">
        <v>1.9E-2</v>
      </c>
      <c r="AO59" s="11">
        <v>0</v>
      </c>
      <c r="AP59" s="11">
        <v>0</v>
      </c>
      <c r="AQ59" s="11">
        <v>0.31</v>
      </c>
      <c r="AR59" s="11">
        <v>0.31</v>
      </c>
      <c r="AS59" s="11">
        <v>0.23</v>
      </c>
      <c r="AT59" s="11">
        <v>0.114</v>
      </c>
      <c r="AU59" s="11">
        <v>0.114</v>
      </c>
      <c r="AV59" s="11">
        <v>0.13500000000000001</v>
      </c>
      <c r="AW59" s="11">
        <v>7.5999999999999998E-2</v>
      </c>
      <c r="AX59" s="9">
        <f>Tabelle1[[#This Row],[Vitamin D3 '[µg/100g']]]*40</f>
        <v>0</v>
      </c>
      <c r="AY59" s="9">
        <f>Tabelle1[[#This Row],[Vitamin A '[µg/100g']]]*3.33</f>
        <v>0</v>
      </c>
      <c r="AZ59" s="9">
        <f>Tabelle1[[#This Row],[Vitamin E '[mg/100g']]]*1.49</f>
        <v>0.16092000000000001</v>
      </c>
    </row>
    <row r="60" spans="1:52" hidden="1" x14ac:dyDescent="0.45">
      <c r="A60" t="s">
        <v>534</v>
      </c>
      <c r="B60" s="3" t="s">
        <v>398</v>
      </c>
      <c r="C60" s="4" t="s">
        <v>399</v>
      </c>
      <c r="D60" s="11">
        <v>350</v>
      </c>
      <c r="E60" s="13">
        <f>Tabelle1[[#This Row],[Energie '[kcal/100g']]]/239</f>
        <v>1.4644351464435146</v>
      </c>
      <c r="F60" s="11">
        <v>11.692</v>
      </c>
      <c r="G60" s="13">
        <f>Tabelle1[[#This Row],[Rohprotein '[g/100g']]]*0.85</f>
        <v>9.9382000000000001</v>
      </c>
      <c r="H60" s="11">
        <v>1.7</v>
      </c>
      <c r="I60" s="11">
        <f>Tabelle1[[#This Row],[TS]]-Tabelle1[[#This Row],[Rohprotein '[g/100g']]]-Tabelle1[[#This Row],[Rohfett '[g/100g']]]-Tabelle1[[#This Row],[Rohasche '[g/100g']]]-Tabelle1[[#This Row],[Rohfaser '[g/100g']]]</f>
        <v>74.818000000000012</v>
      </c>
      <c r="J60" s="11">
        <v>0</v>
      </c>
      <c r="K60" s="11">
        <v>0.74</v>
      </c>
      <c r="L60" s="11">
        <v>11.05</v>
      </c>
      <c r="M60" s="11">
        <f>100-Tabelle1[[#This Row],[Wasser '[g/100g']]]</f>
        <v>88.95</v>
      </c>
      <c r="N60" s="11">
        <v>25.8</v>
      </c>
      <c r="O60" s="11">
        <v>253.8</v>
      </c>
      <c r="P60" s="11">
        <v>71.2</v>
      </c>
      <c r="Q60" s="11">
        <v>6.4</v>
      </c>
      <c r="R60" s="11">
        <v>334.7</v>
      </c>
      <c r="S60" s="11"/>
      <c r="T60" s="11">
        <v>2.5767000000000002</v>
      </c>
      <c r="U60" s="11">
        <v>2.0510000000000002</v>
      </c>
      <c r="V60" s="11">
        <v>0</v>
      </c>
      <c r="W60" s="11">
        <v>406.1</v>
      </c>
      <c r="X60" s="11">
        <v>1283.5999999999999</v>
      </c>
      <c r="Y60" s="11">
        <v>3.1</v>
      </c>
      <c r="Z60" s="11"/>
      <c r="AA60" s="11">
        <v>0</v>
      </c>
      <c r="AB60" s="11">
        <v>0.23899999999999999</v>
      </c>
      <c r="AC60" s="11">
        <v>0</v>
      </c>
      <c r="AD60" s="11">
        <v>0.27300000000000002</v>
      </c>
      <c r="AE60" s="11">
        <v>1.7000000000000001E-2</v>
      </c>
      <c r="AF60" s="11">
        <v>2.92</v>
      </c>
      <c r="AG60" s="11">
        <v>33</v>
      </c>
      <c r="AH60" s="11">
        <v>0</v>
      </c>
      <c r="AI60" s="11">
        <v>0</v>
      </c>
      <c r="AJ60" s="11">
        <v>0</v>
      </c>
      <c r="AK60" s="11">
        <v>33</v>
      </c>
      <c r="AL60" s="11">
        <v>2.0099999999999998</v>
      </c>
      <c r="AM60" s="11">
        <v>0</v>
      </c>
      <c r="AN60" s="11">
        <v>4.2000000000000003E-2</v>
      </c>
      <c r="AO60" s="11">
        <v>0</v>
      </c>
      <c r="AP60" s="11">
        <v>0</v>
      </c>
      <c r="AQ60" s="11">
        <v>0.68799999999999994</v>
      </c>
      <c r="AR60" s="11">
        <v>0.68799999999999994</v>
      </c>
      <c r="AS60" s="11">
        <v>0.51</v>
      </c>
      <c r="AT60" s="11">
        <v>0.253</v>
      </c>
      <c r="AU60" s="11">
        <v>0.253</v>
      </c>
      <c r="AV60" s="11">
        <v>0.3</v>
      </c>
      <c r="AW60" s="11">
        <v>0.16800000000000001</v>
      </c>
      <c r="AX60" s="9">
        <f>Tabelle1[[#This Row],[Vitamin D3 '[µg/100g']]]*40</f>
        <v>0</v>
      </c>
      <c r="AY60" s="9">
        <f>Tabelle1[[#This Row],[Vitamin A '[µg/100g']]]*3.33</f>
        <v>0</v>
      </c>
      <c r="AZ60" s="9">
        <f>Tabelle1[[#This Row],[Vitamin E '[mg/100g']]]*1.49</f>
        <v>0.35610999999999998</v>
      </c>
    </row>
    <row r="61" spans="1:52" hidden="1" x14ac:dyDescent="0.45">
      <c r="A61" t="s">
        <v>534</v>
      </c>
      <c r="B61" s="3" t="s">
        <v>400</v>
      </c>
      <c r="C61" s="4" t="s">
        <v>401</v>
      </c>
      <c r="D61" s="11">
        <v>337</v>
      </c>
      <c r="E61" s="13">
        <f>Tabelle1[[#This Row],[Energie '[kcal/100g']]]/239</f>
        <v>1.4100418410041842</v>
      </c>
      <c r="F61" s="11">
        <v>14.25</v>
      </c>
      <c r="G61" s="13">
        <f>Tabelle1[[#This Row],[Rohprotein '[g/100g']]]*0.85</f>
        <v>12.112499999999999</v>
      </c>
      <c r="H61" s="11">
        <v>2.4500000000000002</v>
      </c>
      <c r="I61" s="11">
        <f>Tabelle1[[#This Row],[TS]]-Tabelle1[[#This Row],[Rohprotein '[g/100g']]]-Tabelle1[[#This Row],[Rohfett '[g/100g']]]-Tabelle1[[#This Row],[Rohasche '[g/100g']]]-Tabelle1[[#This Row],[Rohfaser '[g/100g']]]</f>
        <v>68.710000000000008</v>
      </c>
      <c r="J61" s="11">
        <v>0</v>
      </c>
      <c r="K61" s="11">
        <v>1.77</v>
      </c>
      <c r="L61" s="11">
        <v>12.82</v>
      </c>
      <c r="M61" s="11">
        <f>100-Tabelle1[[#This Row],[Wasser '[g/100g']]]</f>
        <v>87.18</v>
      </c>
      <c r="N61" s="11">
        <v>25.7</v>
      </c>
      <c r="O61" s="11">
        <v>376</v>
      </c>
      <c r="P61" s="11">
        <v>113.7</v>
      </c>
      <c r="Q61" s="11">
        <v>0.7</v>
      </c>
      <c r="R61" s="11">
        <v>393.7</v>
      </c>
      <c r="S61" s="11"/>
      <c r="T61" s="11">
        <v>3.4523999999999999</v>
      </c>
      <c r="U61" s="11">
        <v>3.18</v>
      </c>
      <c r="V61" s="11">
        <v>0</v>
      </c>
      <c r="W61" s="11">
        <v>487</v>
      </c>
      <c r="X61" s="11">
        <v>2653.7</v>
      </c>
      <c r="Y61" s="11">
        <v>0.79672900000000002</v>
      </c>
      <c r="Z61" s="11"/>
      <c r="AA61" s="11">
        <v>0</v>
      </c>
      <c r="AB61" s="11">
        <v>0.71299999999999997</v>
      </c>
      <c r="AC61" s="11">
        <v>0</v>
      </c>
      <c r="AD61" s="11">
        <v>0.45800000000000002</v>
      </c>
      <c r="AE61" s="11">
        <v>8.5000000000000006E-2</v>
      </c>
      <c r="AF61" s="11">
        <v>5.33</v>
      </c>
      <c r="AG61" s="11">
        <v>175</v>
      </c>
      <c r="AH61" s="11">
        <v>0</v>
      </c>
      <c r="AI61" s="11">
        <v>0</v>
      </c>
      <c r="AJ61" s="11">
        <v>1.625</v>
      </c>
      <c r="AK61" s="11">
        <v>47.7</v>
      </c>
      <c r="AL61" s="11">
        <v>6.35</v>
      </c>
      <c r="AM61" s="11">
        <v>0</v>
      </c>
      <c r="AN61" s="11">
        <v>0.06</v>
      </c>
      <c r="AO61" s="11">
        <v>0</v>
      </c>
      <c r="AP61" s="11">
        <v>0</v>
      </c>
      <c r="AQ61" s="11">
        <v>0.98</v>
      </c>
      <c r="AR61" s="11">
        <v>0.98</v>
      </c>
      <c r="AS61" s="11">
        <v>0.63</v>
      </c>
      <c r="AT61" s="11">
        <v>0.34</v>
      </c>
      <c r="AU61" s="11">
        <v>0.35</v>
      </c>
      <c r="AV61" s="11">
        <v>0.39</v>
      </c>
      <c r="AW61" s="11">
        <v>0.24</v>
      </c>
      <c r="AX61" s="9">
        <f>Tabelle1[[#This Row],[Vitamin D3 '[µg/100g']]]*40</f>
        <v>0</v>
      </c>
      <c r="AY61" s="9">
        <f>Tabelle1[[#This Row],[Vitamin A '[µg/100g']]]*3.33</f>
        <v>0</v>
      </c>
      <c r="AZ61" s="9">
        <f>Tabelle1[[#This Row],[Vitamin E '[mg/100g']]]*1.49</f>
        <v>1.06237</v>
      </c>
    </row>
    <row r="62" spans="1:52" hidden="1" x14ac:dyDescent="0.45">
      <c r="A62" t="s">
        <v>534</v>
      </c>
      <c r="B62" s="3" t="s">
        <v>402</v>
      </c>
      <c r="C62" s="4" t="s">
        <v>403</v>
      </c>
      <c r="D62" s="11">
        <v>342</v>
      </c>
      <c r="E62" s="13">
        <f>Tabelle1[[#This Row],[Energie '[kcal/100g']]]/239</f>
        <v>1.4309623430962344</v>
      </c>
      <c r="F62" s="11">
        <v>12.52</v>
      </c>
      <c r="G62" s="13">
        <f>Tabelle1[[#This Row],[Rohprotein '[g/100g']]]*0.85</f>
        <v>10.641999999999999</v>
      </c>
      <c r="H62" s="11">
        <v>1.81</v>
      </c>
      <c r="I62" s="11">
        <f>Tabelle1[[#This Row],[TS]]-Tabelle1[[#This Row],[Rohprotein '[g/100g']]]-Tabelle1[[#This Row],[Rohfett '[g/100g']]]-Tabelle1[[#This Row],[Rohasche '[g/100g']]]-Tabelle1[[#This Row],[Rohfaser '[g/100g']]]</f>
        <v>71.710000000000008</v>
      </c>
      <c r="J62" s="11">
        <v>0</v>
      </c>
      <c r="K62" s="11">
        <v>0.94</v>
      </c>
      <c r="L62" s="11">
        <v>13.02</v>
      </c>
      <c r="M62" s="11">
        <f>100-Tabelle1[[#This Row],[Wasser '[g/100g']]]</f>
        <v>86.98</v>
      </c>
      <c r="N62" s="11">
        <v>18.2</v>
      </c>
      <c r="O62" s="11">
        <v>192.4</v>
      </c>
      <c r="P62" s="11">
        <v>47.7</v>
      </c>
      <c r="Q62" s="11">
        <v>0.7</v>
      </c>
      <c r="R62" s="11">
        <v>217</v>
      </c>
      <c r="S62" s="11"/>
      <c r="T62" s="11">
        <v>1.7263999999999999</v>
      </c>
      <c r="U62" s="11">
        <v>1.8146</v>
      </c>
      <c r="V62" s="11">
        <v>0</v>
      </c>
      <c r="W62" s="11">
        <v>258.5</v>
      </c>
      <c r="X62" s="11">
        <v>1351.4</v>
      </c>
      <c r="Y62" s="11">
        <v>0.79672900000000002</v>
      </c>
      <c r="Z62" s="11"/>
      <c r="AA62" s="11">
        <v>0</v>
      </c>
      <c r="AB62" s="11">
        <v>1.33</v>
      </c>
      <c r="AC62" s="11">
        <v>0</v>
      </c>
      <c r="AD62" s="11">
        <v>0.34</v>
      </c>
      <c r="AE62" s="11">
        <v>6.6000000000000003E-2</v>
      </c>
      <c r="AF62" s="11">
        <v>2.7</v>
      </c>
      <c r="AG62" s="11">
        <v>175</v>
      </c>
      <c r="AH62" s="11">
        <v>0</v>
      </c>
      <c r="AI62" s="11">
        <v>0</v>
      </c>
      <c r="AJ62" s="11">
        <v>0.501</v>
      </c>
      <c r="AK62" s="11">
        <v>45.4</v>
      </c>
      <c r="AL62" s="11">
        <v>4.1900000000000004</v>
      </c>
      <c r="AM62" s="11">
        <v>0</v>
      </c>
      <c r="AN62" s="11">
        <v>3.78E-2</v>
      </c>
      <c r="AO62" s="11">
        <v>0</v>
      </c>
      <c r="AP62" s="11">
        <v>0</v>
      </c>
      <c r="AQ62" s="11">
        <v>0.72</v>
      </c>
      <c r="AR62" s="11">
        <v>0.72</v>
      </c>
      <c r="AS62" s="11">
        <v>0.51200000000000001</v>
      </c>
      <c r="AT62" s="11">
        <v>0.28899999999999998</v>
      </c>
      <c r="AU62" s="11">
        <v>0.27100000000000002</v>
      </c>
      <c r="AV62" s="11">
        <v>0.32700000000000001</v>
      </c>
      <c r="AW62" s="11">
        <v>0.20399999999999999</v>
      </c>
      <c r="AX62" s="9">
        <f>Tabelle1[[#This Row],[Vitamin D3 '[µg/100g']]]*40</f>
        <v>0</v>
      </c>
      <c r="AY62" s="9">
        <f>Tabelle1[[#This Row],[Vitamin A '[µg/100g']]]*3.33</f>
        <v>0</v>
      </c>
      <c r="AZ62" s="9">
        <f>Tabelle1[[#This Row],[Vitamin E '[mg/100g']]]*1.49</f>
        <v>1.9817</v>
      </c>
    </row>
    <row r="63" spans="1:52" hidden="1" x14ac:dyDescent="0.45">
      <c r="A63" t="s">
        <v>534</v>
      </c>
      <c r="B63" s="3" t="s">
        <v>404</v>
      </c>
      <c r="C63" s="4" t="s">
        <v>405</v>
      </c>
      <c r="D63" s="11">
        <v>37</v>
      </c>
      <c r="E63" s="13">
        <f>Tabelle1[[#This Row],[Energie '[kcal/100g']]]/239</f>
        <v>0.15481171548117154</v>
      </c>
      <c r="F63" s="11">
        <v>1.36</v>
      </c>
      <c r="G63" s="13">
        <f>Tabelle1[[#This Row],[Rohprotein '[g/100g']]]*0.85</f>
        <v>1.1560000000000001</v>
      </c>
      <c r="H63" s="11">
        <v>0.2</v>
      </c>
      <c r="I63" s="11">
        <f>Tabelle1[[#This Row],[TS]]-Tabelle1[[#This Row],[Rohprotein '[g/100g']]]-Tabelle1[[#This Row],[Rohfett '[g/100g']]]-Tabelle1[[#This Row],[Rohasche '[g/100g']]]-Tabelle1[[#This Row],[Rohfaser '[g/100g']]]</f>
        <v>7.6400000000000059</v>
      </c>
      <c r="J63" s="11">
        <v>0</v>
      </c>
      <c r="K63" s="11">
        <v>0.09</v>
      </c>
      <c r="L63" s="11">
        <v>90.71</v>
      </c>
      <c r="M63" s="11">
        <f>100-Tabelle1[[#This Row],[Wasser '[g/100g']]]</f>
        <v>9.2900000000000063</v>
      </c>
      <c r="N63" s="11">
        <v>1.9</v>
      </c>
      <c r="O63" s="11">
        <v>20.3</v>
      </c>
      <c r="P63" s="11">
        <v>4.9000000000000004</v>
      </c>
      <c r="Q63" s="11">
        <v>0.1</v>
      </c>
      <c r="R63" s="11">
        <v>20.5</v>
      </c>
      <c r="S63" s="11"/>
      <c r="T63" s="11">
        <v>0.16889999999999999</v>
      </c>
      <c r="U63" s="11">
        <v>0.19719999999999999</v>
      </c>
      <c r="V63" s="11">
        <v>0</v>
      </c>
      <c r="W63" s="11">
        <v>26.7</v>
      </c>
      <c r="X63" s="11">
        <v>146.9</v>
      </c>
      <c r="Y63" s="11">
        <v>7.7940999999999996E-2</v>
      </c>
      <c r="Z63" s="11"/>
      <c r="AA63" s="11">
        <v>0</v>
      </c>
      <c r="AB63" s="11">
        <v>0.14499999999999999</v>
      </c>
      <c r="AC63" s="11">
        <v>0</v>
      </c>
      <c r="AD63" s="11">
        <v>2.7E-2</v>
      </c>
      <c r="AE63" s="11">
        <v>7.0000000000000001E-3</v>
      </c>
      <c r="AF63" s="11">
        <v>0.26</v>
      </c>
      <c r="AG63" s="11">
        <v>16</v>
      </c>
      <c r="AH63" s="11">
        <v>0</v>
      </c>
      <c r="AI63" s="11">
        <v>0</v>
      </c>
      <c r="AJ63" s="11">
        <v>5.3999999999999999E-2</v>
      </c>
      <c r="AK63" s="11">
        <v>3.6</v>
      </c>
      <c r="AL63" s="11">
        <v>0.42</v>
      </c>
      <c r="AM63" s="11">
        <v>0</v>
      </c>
      <c r="AN63" s="11">
        <v>4.1000000000000003E-3</v>
      </c>
      <c r="AO63" s="11">
        <v>0</v>
      </c>
      <c r="AP63" s="11">
        <v>0</v>
      </c>
      <c r="AQ63" s="11">
        <v>7.8E-2</v>
      </c>
      <c r="AR63" s="11">
        <v>7.8E-2</v>
      </c>
      <c r="AS63" s="11">
        <v>5.6000000000000001E-2</v>
      </c>
      <c r="AT63" s="11">
        <v>3.1E-2</v>
      </c>
      <c r="AU63" s="11">
        <v>2.9000000000000001E-2</v>
      </c>
      <c r="AV63" s="11">
        <v>3.5999999999999997E-2</v>
      </c>
      <c r="AW63" s="11">
        <v>2.1999999999999999E-2</v>
      </c>
      <c r="AX63" s="9">
        <f>Tabelle1[[#This Row],[Vitamin D3 '[µg/100g']]]*40</f>
        <v>0</v>
      </c>
      <c r="AY63" s="9">
        <f>Tabelle1[[#This Row],[Vitamin A '[µg/100g']]]*3.33</f>
        <v>0</v>
      </c>
      <c r="AZ63" s="9">
        <f>Tabelle1[[#This Row],[Vitamin E '[mg/100g']]]*1.49</f>
        <v>0.21604999999999999</v>
      </c>
    </row>
    <row r="64" spans="1:52" hidden="1" x14ac:dyDescent="0.45">
      <c r="A64" t="s">
        <v>534</v>
      </c>
      <c r="B64" s="3" t="s">
        <v>406</v>
      </c>
      <c r="C64" s="4" t="s">
        <v>407</v>
      </c>
      <c r="D64" s="11">
        <v>270</v>
      </c>
      <c r="E64" s="13">
        <f>Tabelle1[[#This Row],[Energie '[kcal/100g']]]/239</f>
        <v>1.1297071129707112</v>
      </c>
      <c r="F64" s="11">
        <v>17.059999999999999</v>
      </c>
      <c r="G64" s="13">
        <f>Tabelle1[[#This Row],[Rohprotein '[g/100g']]]*0.85</f>
        <v>14.500999999999998</v>
      </c>
      <c r="H64" s="11">
        <v>5.88</v>
      </c>
      <c r="I64" s="11">
        <f>Tabelle1[[#This Row],[TS]]-Tabelle1[[#This Row],[Rohprotein '[g/100g']]]-Tabelle1[[#This Row],[Rohfett '[g/100g']]]-Tabelle1[[#This Row],[Rohasche '[g/100g']]]-Tabelle1[[#This Row],[Rohfaser '[g/100g']]]</f>
        <v>57.760000000000005</v>
      </c>
      <c r="J64" s="11">
        <v>0</v>
      </c>
      <c r="K64" s="11">
        <v>7.08</v>
      </c>
      <c r="L64" s="11">
        <v>12.22</v>
      </c>
      <c r="M64" s="11">
        <f>100-Tabelle1[[#This Row],[Wasser '[g/100g']]]</f>
        <v>87.78</v>
      </c>
      <c r="N64" s="11">
        <v>67.2</v>
      </c>
      <c r="O64" s="11">
        <v>1519.8</v>
      </c>
      <c r="P64" s="11">
        <v>529.79999999999995</v>
      </c>
      <c r="Q64" s="11">
        <v>0.7</v>
      </c>
      <c r="R64" s="11">
        <v>1592.4</v>
      </c>
      <c r="S64" s="11"/>
      <c r="T64" s="11">
        <v>13.6214</v>
      </c>
      <c r="U64" s="11">
        <v>10.310499999999999</v>
      </c>
      <c r="V64" s="11">
        <v>0</v>
      </c>
      <c r="W64" s="11">
        <v>1396</v>
      </c>
      <c r="X64" s="11">
        <v>12059.9</v>
      </c>
      <c r="Y64" s="11">
        <v>0.79672900000000002</v>
      </c>
      <c r="Z64" s="11"/>
      <c r="AA64" s="11">
        <v>0</v>
      </c>
      <c r="AB64" s="11">
        <v>0.61</v>
      </c>
      <c r="AC64" s="11">
        <v>0</v>
      </c>
      <c r="AD64" s="11">
        <v>1.0189999999999999</v>
      </c>
      <c r="AE64" s="11">
        <v>0.23400000000000001</v>
      </c>
      <c r="AF64" s="11">
        <v>30.1</v>
      </c>
      <c r="AG64" s="11">
        <v>175</v>
      </c>
      <c r="AH64" s="11">
        <v>0</v>
      </c>
      <c r="AI64" s="11">
        <v>0</v>
      </c>
      <c r="AJ64" s="11">
        <v>4.4320000000000004</v>
      </c>
      <c r="AK64" s="11">
        <v>72.5</v>
      </c>
      <c r="AL64" s="11">
        <v>32.6</v>
      </c>
      <c r="AM64" s="11">
        <v>0</v>
      </c>
      <c r="AN64" s="11">
        <v>0.16500000000000001</v>
      </c>
      <c r="AO64" s="11">
        <v>0</v>
      </c>
      <c r="AP64" s="11">
        <v>0</v>
      </c>
      <c r="AQ64" s="11">
        <v>2.59</v>
      </c>
      <c r="AR64" s="11">
        <v>2.59</v>
      </c>
      <c r="AS64" s="11">
        <v>1.1000000000000001</v>
      </c>
      <c r="AT64" s="11">
        <v>0.35299999999999998</v>
      </c>
      <c r="AU64" s="11">
        <v>0.47499999999999998</v>
      </c>
      <c r="AV64" s="11">
        <v>0.67600000000000005</v>
      </c>
      <c r="AW64" s="11">
        <v>0.252</v>
      </c>
      <c r="AX64" s="9">
        <f>Tabelle1[[#This Row],[Vitamin D3 '[µg/100g']]]*40</f>
        <v>0</v>
      </c>
      <c r="AY64" s="9">
        <f>Tabelle1[[#This Row],[Vitamin A '[µg/100g']]]*3.33</f>
        <v>0</v>
      </c>
      <c r="AZ64" s="9">
        <f>Tabelle1[[#This Row],[Vitamin E '[mg/100g']]]*1.49</f>
        <v>0.90889999999999993</v>
      </c>
    </row>
    <row r="65" spans="1:52" hidden="1" x14ac:dyDescent="0.45">
      <c r="A65" t="s">
        <v>534</v>
      </c>
      <c r="B65" s="3" t="s">
        <v>408</v>
      </c>
      <c r="C65" s="4" t="s">
        <v>409</v>
      </c>
      <c r="D65" s="11">
        <v>348</v>
      </c>
      <c r="E65" s="13">
        <f>Tabelle1[[#This Row],[Energie '[kcal/100g']]]/239</f>
        <v>1.4560669456066946</v>
      </c>
      <c r="F65" s="11">
        <v>13.87</v>
      </c>
      <c r="G65" s="13">
        <f>Tabelle1[[#This Row],[Rohprotein '[g/100g']]]*0.85</f>
        <v>11.789499999999999</v>
      </c>
      <c r="H65" s="11">
        <v>2.16</v>
      </c>
      <c r="I65" s="11">
        <f>Tabelle1[[#This Row],[TS]]-Tabelle1[[#This Row],[Rohprotein '[g/100g']]]-Tabelle1[[#This Row],[Rohfett '[g/100g']]]-Tabelle1[[#This Row],[Rohasche '[g/100g']]]-Tabelle1[[#This Row],[Rohfaser '[g/100g']]]</f>
        <v>70.399999999999991</v>
      </c>
      <c r="J65" s="11">
        <v>0</v>
      </c>
      <c r="K65" s="11">
        <v>1.06</v>
      </c>
      <c r="L65" s="11">
        <v>12.51</v>
      </c>
      <c r="M65" s="11">
        <f>100-Tabelle1[[#This Row],[Wasser '[g/100g']]]</f>
        <v>87.49</v>
      </c>
      <c r="N65" s="11">
        <v>23.2</v>
      </c>
      <c r="O65" s="11">
        <v>237.1</v>
      </c>
      <c r="P65" s="11">
        <v>61.4</v>
      </c>
      <c r="Q65" s="11">
        <v>0.7</v>
      </c>
      <c r="R65" s="11">
        <v>259.39999999999998</v>
      </c>
      <c r="S65" s="11"/>
      <c r="T65" s="11">
        <v>2.2343999999999999</v>
      </c>
      <c r="U65" s="11">
        <v>2.2035</v>
      </c>
      <c r="V65" s="11">
        <v>0</v>
      </c>
      <c r="W65" s="11">
        <v>294</v>
      </c>
      <c r="X65" s="11">
        <v>1808.5</v>
      </c>
      <c r="Y65" s="11">
        <v>0.79672900000000002</v>
      </c>
      <c r="Z65" s="11"/>
      <c r="AA65" s="11">
        <v>0</v>
      </c>
      <c r="AB65" s="11">
        <v>0.93899999999999995</v>
      </c>
      <c r="AC65" s="11">
        <v>0</v>
      </c>
      <c r="AD65" s="11">
        <v>0.625</v>
      </c>
      <c r="AE65" s="11">
        <v>6.3E-2</v>
      </c>
      <c r="AF65" s="11">
        <v>2.54</v>
      </c>
      <c r="AG65" s="11">
        <v>175</v>
      </c>
      <c r="AH65" s="11">
        <v>0</v>
      </c>
      <c r="AI65" s="11">
        <v>0</v>
      </c>
      <c r="AJ65" s="11">
        <v>1.0549999999999999</v>
      </c>
      <c r="AK65" s="11">
        <v>48.4</v>
      </c>
      <c r="AL65" s="11">
        <v>4.13</v>
      </c>
      <c r="AM65" s="11">
        <v>0</v>
      </c>
      <c r="AN65" s="11">
        <v>0.05</v>
      </c>
      <c r="AO65" s="11">
        <v>0</v>
      </c>
      <c r="AP65" s="11">
        <v>0</v>
      </c>
      <c r="AQ65" s="11">
        <v>0.86</v>
      </c>
      <c r="AR65" s="11">
        <v>0.86</v>
      </c>
      <c r="AS65" s="11">
        <v>0.54700000000000004</v>
      </c>
      <c r="AT65" s="11">
        <v>0.308</v>
      </c>
      <c r="AU65" s="11">
        <v>0.28999999999999998</v>
      </c>
      <c r="AV65" s="11">
        <v>0.32700000000000001</v>
      </c>
      <c r="AW65" s="11">
        <v>0.218</v>
      </c>
      <c r="AX65" s="9">
        <f>Tabelle1[[#This Row],[Vitamin D3 '[µg/100g']]]*40</f>
        <v>0</v>
      </c>
      <c r="AY65" s="9">
        <f>Tabelle1[[#This Row],[Vitamin A '[µg/100g']]]*3.33</f>
        <v>0</v>
      </c>
      <c r="AZ65" s="9">
        <f>Tabelle1[[#This Row],[Vitamin E '[mg/100g']]]*1.49</f>
        <v>1.3991099999999999</v>
      </c>
    </row>
    <row r="66" spans="1:52" hidden="1" x14ac:dyDescent="0.45">
      <c r="A66" t="s">
        <v>534</v>
      </c>
      <c r="B66" s="3" t="s">
        <v>410</v>
      </c>
      <c r="C66" s="4" t="s">
        <v>411</v>
      </c>
      <c r="D66" s="11">
        <v>352</v>
      </c>
      <c r="E66" s="13">
        <f>Tabelle1[[#This Row],[Energie '[kcal/100g']]]/239</f>
        <v>1.4728033472803348</v>
      </c>
      <c r="F66" s="11">
        <v>13.17</v>
      </c>
      <c r="G66" s="13">
        <f>Tabelle1[[#This Row],[Rohprotein '[g/100g']]]*0.85</f>
        <v>11.1945</v>
      </c>
      <c r="H66" s="11">
        <v>1.38</v>
      </c>
      <c r="I66" s="11">
        <f>Tabelle1[[#This Row],[TS]]-Tabelle1[[#This Row],[Rohprotein '[g/100g']]]-Tabelle1[[#This Row],[Rohfett '[g/100g']]]-Tabelle1[[#This Row],[Rohasche '[g/100g']]]-Tabelle1[[#This Row],[Rohfaser '[g/100g']]]</f>
        <v>72.100000000000009</v>
      </c>
      <c r="J66" s="11">
        <v>0</v>
      </c>
      <c r="K66" s="11">
        <v>0.6</v>
      </c>
      <c r="L66" s="11">
        <v>12.75</v>
      </c>
      <c r="M66" s="11">
        <f>100-Tabelle1[[#This Row],[Wasser '[g/100g']]]</f>
        <v>87.25</v>
      </c>
      <c r="N66" s="11">
        <v>17.899999999999999</v>
      </c>
      <c r="O66" s="11">
        <v>131.5</v>
      </c>
      <c r="P66" s="11">
        <v>28.1</v>
      </c>
      <c r="Q66" s="11">
        <v>0.7</v>
      </c>
      <c r="R66" s="11">
        <v>147.80000000000001</v>
      </c>
      <c r="S66" s="11"/>
      <c r="T66" s="11">
        <v>1.0831</v>
      </c>
      <c r="U66" s="11">
        <v>1.0760000000000001</v>
      </c>
      <c r="V66" s="11">
        <v>0</v>
      </c>
      <c r="W66" s="11">
        <v>175.1</v>
      </c>
      <c r="X66" s="11">
        <v>739.8</v>
      </c>
      <c r="Y66" s="11">
        <v>0.79672900000000002</v>
      </c>
      <c r="Z66" s="11"/>
      <c r="AA66" s="11">
        <v>0</v>
      </c>
      <c r="AB66" s="11">
        <v>0.45900000000000002</v>
      </c>
      <c r="AC66" s="11">
        <v>0</v>
      </c>
      <c r="AD66" s="11">
        <v>0.25600000000000001</v>
      </c>
      <c r="AE66" s="11">
        <v>4.2000000000000003E-2</v>
      </c>
      <c r="AF66" s="11">
        <v>1.33</v>
      </c>
      <c r="AG66" s="11">
        <v>175</v>
      </c>
      <c r="AH66" s="11">
        <v>0</v>
      </c>
      <c r="AI66" s="11">
        <v>0</v>
      </c>
      <c r="AJ66" s="11">
        <v>0.54700000000000004</v>
      </c>
      <c r="AK66" s="11">
        <v>26.3</v>
      </c>
      <c r="AL66" s="11">
        <v>2.14</v>
      </c>
      <c r="AM66" s="11">
        <v>0</v>
      </c>
      <c r="AN66" s="11">
        <v>0.03</v>
      </c>
      <c r="AO66" s="11">
        <v>0</v>
      </c>
      <c r="AP66" s="11">
        <v>0</v>
      </c>
      <c r="AQ66" s="11">
        <v>0.55000000000000004</v>
      </c>
      <c r="AR66" s="11">
        <v>0.55000000000000004</v>
      </c>
      <c r="AS66" s="11">
        <v>0.47299999999999998</v>
      </c>
      <c r="AT66" s="11">
        <v>0.30199999999999999</v>
      </c>
      <c r="AU66" s="11">
        <v>0.27100000000000002</v>
      </c>
      <c r="AV66" s="11">
        <v>0.28000000000000003</v>
      </c>
      <c r="AW66" s="11">
        <v>0.20799999999999999</v>
      </c>
      <c r="AX66" s="9">
        <f>Tabelle1[[#This Row],[Vitamin D3 '[µg/100g']]]*40</f>
        <v>0</v>
      </c>
      <c r="AY66" s="9">
        <f>Tabelle1[[#This Row],[Vitamin A '[µg/100g']]]*3.33</f>
        <v>0</v>
      </c>
      <c r="AZ66" s="9">
        <f>Tabelle1[[#This Row],[Vitamin E '[mg/100g']]]*1.49</f>
        <v>0.68391000000000002</v>
      </c>
    </row>
    <row r="67" spans="1:52" hidden="1" x14ac:dyDescent="0.45">
      <c r="A67" t="s">
        <v>534</v>
      </c>
      <c r="B67" s="3" t="s">
        <v>414</v>
      </c>
      <c r="C67" s="4" t="s">
        <v>415</v>
      </c>
      <c r="D67" s="11">
        <v>352</v>
      </c>
      <c r="E67" s="13">
        <f>Tabelle1[[#This Row],[Energie '[kcal/100g']]]/239</f>
        <v>1.4728033472803348</v>
      </c>
      <c r="F67" s="11">
        <v>13.7</v>
      </c>
      <c r="G67" s="13">
        <f>Tabelle1[[#This Row],[Rohprotein '[g/100g']]]*0.85</f>
        <v>11.645</v>
      </c>
      <c r="H67" s="11">
        <v>1.57</v>
      </c>
      <c r="I67" s="11">
        <f>Tabelle1[[#This Row],[TS]]-Tabelle1[[#This Row],[Rohprotein '[g/100g']]]-Tabelle1[[#This Row],[Rohfett '[g/100g']]]-Tabelle1[[#This Row],[Rohasche '[g/100g']]]-Tabelle1[[#This Row],[Rohfaser '[g/100g']]]</f>
        <v>71.31</v>
      </c>
      <c r="J67" s="11">
        <v>0</v>
      </c>
      <c r="K67" s="11">
        <v>0.74</v>
      </c>
      <c r="L67" s="11">
        <v>12.68</v>
      </c>
      <c r="M67" s="11">
        <f>100-Tabelle1[[#This Row],[Wasser '[g/100g']]]</f>
        <v>87.32</v>
      </c>
      <c r="N67" s="11">
        <v>19.5</v>
      </c>
      <c r="O67" s="11">
        <v>164.8</v>
      </c>
      <c r="P67" s="11">
        <v>38.799999999999997</v>
      </c>
      <c r="Q67" s="11">
        <v>0.7</v>
      </c>
      <c r="R67" s="11">
        <v>173.6</v>
      </c>
      <c r="S67" s="11"/>
      <c r="T67" s="11">
        <v>1.3446</v>
      </c>
      <c r="U67" s="11">
        <v>1.3924000000000001</v>
      </c>
      <c r="V67" s="11">
        <v>0</v>
      </c>
      <c r="W67" s="11">
        <v>207.5</v>
      </c>
      <c r="X67" s="11">
        <v>1009.5</v>
      </c>
      <c r="Y67" s="11">
        <v>0.79672900000000002</v>
      </c>
      <c r="Z67" s="11"/>
      <c r="AA67" s="11">
        <v>0</v>
      </c>
      <c r="AB67" s="11">
        <v>0.65700000000000003</v>
      </c>
      <c r="AC67" s="11">
        <v>0</v>
      </c>
      <c r="AD67" s="11">
        <v>0.32200000000000001</v>
      </c>
      <c r="AE67" s="11">
        <v>6.0999999999999999E-2</v>
      </c>
      <c r="AF67" s="11">
        <v>1.87</v>
      </c>
      <c r="AG67" s="11">
        <v>175</v>
      </c>
      <c r="AH67" s="11">
        <v>0</v>
      </c>
      <c r="AI67" s="11">
        <v>0</v>
      </c>
      <c r="AJ67" s="11">
        <v>0.622</v>
      </c>
      <c r="AK67" s="11">
        <v>50.2</v>
      </c>
      <c r="AL67" s="11">
        <v>2.85</v>
      </c>
      <c r="AM67" s="11">
        <v>0</v>
      </c>
      <c r="AN67" s="11">
        <v>0.03</v>
      </c>
      <c r="AO67" s="11">
        <v>0</v>
      </c>
      <c r="AP67" s="11">
        <v>0</v>
      </c>
      <c r="AQ67" s="11">
        <v>0.62</v>
      </c>
      <c r="AR67" s="11">
        <v>0.62</v>
      </c>
      <c r="AS67" s="11">
        <v>0.504</v>
      </c>
      <c r="AT67" s="11">
        <v>0.313</v>
      </c>
      <c r="AU67" s="11">
        <v>0.30299999999999999</v>
      </c>
      <c r="AV67" s="11">
        <v>0.316</v>
      </c>
      <c r="AW67" s="11">
        <v>0.221</v>
      </c>
      <c r="AX67" s="9">
        <f>Tabelle1[[#This Row],[Vitamin D3 '[µg/100g']]]*40</f>
        <v>0</v>
      </c>
      <c r="AY67" s="9">
        <f>Tabelle1[[#This Row],[Vitamin A '[µg/100g']]]*3.33</f>
        <v>0</v>
      </c>
      <c r="AZ67" s="9">
        <f>Tabelle1[[#This Row],[Vitamin E '[mg/100g']]]*1.49</f>
        <v>0.97893000000000008</v>
      </c>
    </row>
    <row r="68" spans="1:52" hidden="1" x14ac:dyDescent="0.45">
      <c r="A68" t="s">
        <v>534</v>
      </c>
      <c r="B68" s="3" t="s">
        <v>416</v>
      </c>
      <c r="C68" s="4" t="s">
        <v>417</v>
      </c>
      <c r="D68" s="11">
        <v>335</v>
      </c>
      <c r="E68" s="13">
        <f>Tabelle1[[#This Row],[Energie '[kcal/100g']]]/239</f>
        <v>1.401673640167364</v>
      </c>
      <c r="F68" s="11">
        <v>13.42</v>
      </c>
      <c r="G68" s="13">
        <f>Tabelle1[[#This Row],[Rohprotein '[g/100g']]]*0.85</f>
        <v>11.407</v>
      </c>
      <c r="H68" s="11">
        <v>2.2999999999999998</v>
      </c>
      <c r="I68" s="11">
        <f>Tabelle1[[#This Row],[TS]]-Tabelle1[[#This Row],[Rohprotein '[g/100g']]]-Tabelle1[[#This Row],[Rohfett '[g/100g']]]-Tabelle1[[#This Row],[Rohasche '[g/100g']]]-Tabelle1[[#This Row],[Rohfaser '[g/100g']]]</f>
        <v>70.77</v>
      </c>
      <c r="J68" s="11">
        <v>0</v>
      </c>
      <c r="K68" s="11">
        <v>1.65</v>
      </c>
      <c r="L68" s="11">
        <v>11.86</v>
      </c>
      <c r="M68" s="11">
        <f>100-Tabelle1[[#This Row],[Wasser '[g/100g']]]</f>
        <v>88.14</v>
      </c>
      <c r="N68" s="11">
        <v>54.4</v>
      </c>
      <c r="O68" s="11">
        <v>324.10000000000002</v>
      </c>
      <c r="P68" s="11">
        <v>108.7</v>
      </c>
      <c r="Q68" s="11">
        <v>1.2</v>
      </c>
      <c r="R68" s="11">
        <v>216.9</v>
      </c>
      <c r="S68" s="11"/>
      <c r="T68" s="11">
        <v>3.4584000000000001</v>
      </c>
      <c r="U68" s="11">
        <v>3.1634000000000002</v>
      </c>
      <c r="V68" s="11">
        <v>0</v>
      </c>
      <c r="W68" s="11">
        <v>437.8</v>
      </c>
      <c r="X68" s="11">
        <v>3046</v>
      </c>
      <c r="Y68" s="11">
        <v>0.79672900000000002</v>
      </c>
      <c r="Z68" s="11"/>
      <c r="AA68" s="11">
        <v>0</v>
      </c>
      <c r="AB68" s="11">
        <v>0.59799999999999998</v>
      </c>
      <c r="AC68" s="11">
        <v>0</v>
      </c>
      <c r="AD68" s="11">
        <v>0.49</v>
      </c>
      <c r="AE68" s="11">
        <v>5.1999999999999998E-2</v>
      </c>
      <c r="AF68" s="11">
        <v>5.13</v>
      </c>
      <c r="AG68" s="11">
        <v>175</v>
      </c>
      <c r="AH68" s="11">
        <v>0</v>
      </c>
      <c r="AI68" s="11">
        <v>0</v>
      </c>
      <c r="AJ68" s="11">
        <v>1.3149999999999999</v>
      </c>
      <c r="AK68" s="11">
        <v>46.6</v>
      </c>
      <c r="AL68" s="11">
        <v>7.31</v>
      </c>
      <c r="AM68" s="11">
        <v>0</v>
      </c>
      <c r="AN68" s="11">
        <v>5.3800000000000001E-2</v>
      </c>
      <c r="AO68" s="11">
        <v>0</v>
      </c>
      <c r="AP68" s="11">
        <v>0</v>
      </c>
      <c r="AQ68" s="11">
        <v>0.91800000000000004</v>
      </c>
      <c r="AR68" s="11">
        <v>0.91800000000000004</v>
      </c>
      <c r="AS68" s="11">
        <v>0.57999999999999996</v>
      </c>
      <c r="AT68" s="11">
        <v>0.311</v>
      </c>
      <c r="AU68" s="11">
        <v>0.31900000000000001</v>
      </c>
      <c r="AV68" s="11">
        <v>0.35899999999999999</v>
      </c>
      <c r="AW68" s="11">
        <v>0.215</v>
      </c>
      <c r="AX68" s="9">
        <f>Tabelle1[[#This Row],[Vitamin D3 '[µg/100g']]]*40</f>
        <v>0</v>
      </c>
      <c r="AY68" s="9">
        <f>Tabelle1[[#This Row],[Vitamin A '[µg/100g']]]*3.33</f>
        <v>0</v>
      </c>
      <c r="AZ68" s="9">
        <f>Tabelle1[[#This Row],[Vitamin E '[mg/100g']]]*1.49</f>
        <v>0.89101999999999992</v>
      </c>
    </row>
    <row r="69" spans="1:52" hidden="1" x14ac:dyDescent="0.45">
      <c r="A69" s="14" t="s">
        <v>534</v>
      </c>
      <c r="B69" s="3" t="s">
        <v>997</v>
      </c>
      <c r="C69" s="4" t="s">
        <v>998</v>
      </c>
      <c r="D69" s="11">
        <v>139</v>
      </c>
      <c r="E69" s="11">
        <f>Tabelle1[[#This Row],[Energie '[kcal/100g']]]/239</f>
        <v>0.58158995815899583</v>
      </c>
      <c r="F69" s="11">
        <v>5.71</v>
      </c>
      <c r="G69" s="11">
        <f>Tabelle1[[#This Row],[Rohprotein '[g/100g']]]*0.85</f>
        <v>4.8534999999999995</v>
      </c>
      <c r="H69" s="11">
        <v>0.9</v>
      </c>
      <c r="I69" s="11">
        <f>Tabelle1[[#This Row],[TS]]-Tabelle1[[#This Row],[Rohprotein '[g/100g']]]-Tabelle1[[#This Row],[Rohfett '[g/100g']]]-Tabelle1[[#This Row],[Rohasche '[g/100g']]]-Tabelle1[[#This Row],[Rohfaser '[g/100g']]]</f>
        <v>26.240000000000006</v>
      </c>
      <c r="J69" s="11">
        <v>0</v>
      </c>
      <c r="K69" s="11">
        <v>0.27</v>
      </c>
      <c r="L69" s="11">
        <v>66.88</v>
      </c>
      <c r="M69" s="11">
        <f>100-Tabelle1[[#This Row],[Wasser '[g/100g']]]</f>
        <v>33.120000000000005</v>
      </c>
      <c r="N69" s="11">
        <v>9</v>
      </c>
      <c r="O69" s="11">
        <v>57</v>
      </c>
      <c r="P69" s="11">
        <v>10</v>
      </c>
      <c r="Q69" s="11">
        <v>3</v>
      </c>
      <c r="R69" s="11">
        <v>38</v>
      </c>
      <c r="S69" s="11"/>
      <c r="T69" s="11">
        <v>0.4</v>
      </c>
      <c r="U69" s="11">
        <v>0.48</v>
      </c>
      <c r="V69" s="11">
        <v>0</v>
      </c>
      <c r="W69" s="11">
        <v>64</v>
      </c>
      <c r="X69" s="11">
        <v>290</v>
      </c>
      <c r="Y69" s="11">
        <v>0.5</v>
      </c>
      <c r="Z69" s="11"/>
      <c r="AA69" s="11">
        <v>0.1</v>
      </c>
      <c r="AB69" s="11">
        <v>0.23</v>
      </c>
      <c r="AC69" s="11">
        <v>9.3000000000000007</v>
      </c>
      <c r="AD69" s="11">
        <v>6.2E-2</v>
      </c>
      <c r="AE69" s="11">
        <v>3.3000000000000002E-2</v>
      </c>
      <c r="AF69" s="11">
        <v>0.43</v>
      </c>
      <c r="AG69" s="11">
        <v>59</v>
      </c>
      <c r="AH69" s="11">
        <v>0.1</v>
      </c>
      <c r="AI69" s="11">
        <v>0</v>
      </c>
      <c r="AJ69" s="11">
        <v>0.2</v>
      </c>
      <c r="AK69" s="11">
        <v>5</v>
      </c>
      <c r="AL69" s="11">
        <v>1.5</v>
      </c>
      <c r="AM69" s="11">
        <v>0</v>
      </c>
      <c r="AN69" s="11">
        <v>0.01</v>
      </c>
      <c r="AO69" s="11">
        <v>0</v>
      </c>
      <c r="AP69" s="11">
        <v>2E-3</v>
      </c>
      <c r="AQ69" s="11">
        <v>0.27</v>
      </c>
      <c r="AR69" s="11">
        <v>0.26</v>
      </c>
      <c r="AS69" s="11">
        <v>0.219</v>
      </c>
      <c r="AT69" s="11">
        <v>0.13300000000000001</v>
      </c>
      <c r="AU69" s="11">
        <v>0.12</v>
      </c>
      <c r="AV69" s="11">
        <v>0.14499999999999999</v>
      </c>
      <c r="AW69" s="11">
        <v>0.1</v>
      </c>
      <c r="AX69" s="9">
        <f>Tabelle1[[#This Row],[Vitamin D3 '[µg/100g']]]*40</f>
        <v>4</v>
      </c>
      <c r="AY69" s="9">
        <f>Tabelle1[[#This Row],[Vitamin A '[µg/100g']]]*3.33</f>
        <v>30.969000000000005</v>
      </c>
      <c r="AZ69" s="9">
        <f>Tabelle1[[#This Row],[Vitamin E '[mg/100g']]]*1.49</f>
        <v>0.3427</v>
      </c>
    </row>
    <row r="70" spans="1:52" hidden="1" x14ac:dyDescent="0.45">
      <c r="A70" s="14" t="s">
        <v>534</v>
      </c>
      <c r="B70" s="5" t="s">
        <v>995</v>
      </c>
      <c r="C70" s="6" t="s">
        <v>996</v>
      </c>
      <c r="D70" s="13">
        <v>366</v>
      </c>
      <c r="E70" s="11">
        <f>Tabelle1[[#This Row],[Energie '[kcal/100g']]]/239</f>
        <v>1.5313807531380754</v>
      </c>
      <c r="F70" s="13">
        <v>14.51</v>
      </c>
      <c r="G70" s="11">
        <f>Tabelle1[[#This Row],[Rohprotein '[g/100g']]]*0.85</f>
        <v>12.333499999999999</v>
      </c>
      <c r="H70" s="13">
        <v>2.29</v>
      </c>
      <c r="I70" s="11">
        <f>Tabelle1[[#This Row],[TS]]-Tabelle1[[#This Row],[Rohprotein '[g/100g']]]-Tabelle1[[#This Row],[Rohfett '[g/100g']]]-Tabelle1[[#This Row],[Rohasche '[g/100g']]]-Tabelle1[[#This Row],[Rohfaser '[g/100g']]]</f>
        <v>73.059999999999988</v>
      </c>
      <c r="J70" s="11">
        <v>0</v>
      </c>
      <c r="K70" s="13">
        <v>0.69</v>
      </c>
      <c r="L70" s="13">
        <v>9.4499999999999993</v>
      </c>
      <c r="M70" s="13">
        <f>100-Tabelle1[[#This Row],[Wasser '[g/100g']]]</f>
        <v>90.55</v>
      </c>
      <c r="N70" s="13">
        <v>24</v>
      </c>
      <c r="O70" s="13">
        <v>153</v>
      </c>
      <c r="P70" s="13">
        <v>30</v>
      </c>
      <c r="Q70" s="13">
        <v>17</v>
      </c>
      <c r="R70" s="13">
        <v>162</v>
      </c>
      <c r="S70" s="13"/>
      <c r="T70" s="13">
        <v>1.3</v>
      </c>
      <c r="U70" s="13">
        <v>1.21</v>
      </c>
      <c r="V70" s="11">
        <v>0</v>
      </c>
      <c r="W70" s="13">
        <v>182</v>
      </c>
      <c r="X70" s="13">
        <v>740</v>
      </c>
      <c r="Y70" s="13">
        <v>5.2</v>
      </c>
      <c r="Z70" s="13"/>
      <c r="AA70" s="13">
        <v>0.2</v>
      </c>
      <c r="AB70" s="13">
        <v>0.58299999999999996</v>
      </c>
      <c r="AC70" s="13">
        <v>26.2</v>
      </c>
      <c r="AD70" s="13">
        <v>0.185</v>
      </c>
      <c r="AE70" s="13">
        <v>8.3000000000000004E-2</v>
      </c>
      <c r="AF70" s="13">
        <v>1.2</v>
      </c>
      <c r="AG70" s="13">
        <v>166</v>
      </c>
      <c r="AH70" s="13">
        <v>0.3</v>
      </c>
      <c r="AI70" s="13">
        <v>0</v>
      </c>
      <c r="AJ70" s="13">
        <v>2</v>
      </c>
      <c r="AK70" s="13">
        <v>17</v>
      </c>
      <c r="AL70" s="13">
        <v>3.7</v>
      </c>
      <c r="AM70" s="13">
        <v>0</v>
      </c>
      <c r="AN70" s="13">
        <v>0.04</v>
      </c>
      <c r="AO70" s="13">
        <v>0</v>
      </c>
      <c r="AP70" s="13">
        <v>6.0000000000000001E-3</v>
      </c>
      <c r="AQ70" s="13">
        <v>0.67</v>
      </c>
      <c r="AR70" s="13">
        <v>0.66</v>
      </c>
      <c r="AS70" s="13">
        <v>0.55600000000000005</v>
      </c>
      <c r="AT70" s="13">
        <v>0.33700000000000002</v>
      </c>
      <c r="AU70" s="13">
        <v>0.30399999999999999</v>
      </c>
      <c r="AV70" s="13">
        <v>0.36899999999999999</v>
      </c>
      <c r="AW70" s="13">
        <v>0.254</v>
      </c>
      <c r="AX70" s="9">
        <f>Tabelle1[[#This Row],[Vitamin D3 '[µg/100g']]]*40</f>
        <v>8</v>
      </c>
      <c r="AY70" s="9">
        <f>Tabelle1[[#This Row],[Vitamin A '[µg/100g']]]*3.33</f>
        <v>87.245999999999995</v>
      </c>
      <c r="AZ70" s="9">
        <f>Tabelle1[[#This Row],[Vitamin E '[mg/100g']]]*1.49</f>
        <v>0.86866999999999994</v>
      </c>
    </row>
    <row r="71" spans="1:52" hidden="1" x14ac:dyDescent="0.45">
      <c r="A71" s="14" t="s">
        <v>534</v>
      </c>
      <c r="B71" s="5" t="s">
        <v>993</v>
      </c>
      <c r="C71" s="6" t="s">
        <v>994</v>
      </c>
      <c r="D71" s="13">
        <v>149</v>
      </c>
      <c r="E71" s="11">
        <f>Tabelle1[[#This Row],[Energie '[kcal/100g']]]/239</f>
        <v>0.62343096234309625</v>
      </c>
      <c r="F71" s="13">
        <v>5.83</v>
      </c>
      <c r="G71" s="11">
        <f>Tabelle1[[#This Row],[Rohprotein '[g/100g']]]*0.85</f>
        <v>4.9554999999999998</v>
      </c>
      <c r="H71" s="13">
        <v>0.61</v>
      </c>
      <c r="I71" s="11">
        <f>Tabelle1[[#This Row],[TS]]-Tabelle1[[#This Row],[Rohprotein '[g/100g']]]-Tabelle1[[#This Row],[Rohfett '[g/100g']]]-Tabelle1[[#This Row],[Rohasche '[g/100g']]]-Tabelle1[[#This Row],[Rohfaser '[g/100g']]]</f>
        <v>29.650000000000002</v>
      </c>
      <c r="J71" s="11">
        <v>0</v>
      </c>
      <c r="K71" s="13">
        <v>0.27</v>
      </c>
      <c r="L71" s="13">
        <v>63.64</v>
      </c>
      <c r="M71" s="13">
        <f>100-Tabelle1[[#This Row],[Wasser '[g/100g']]]</f>
        <v>36.36</v>
      </c>
      <c r="N71" s="13">
        <v>8.1</v>
      </c>
      <c r="O71" s="13">
        <v>55.3</v>
      </c>
      <c r="P71" s="13">
        <v>10.6</v>
      </c>
      <c r="Q71" s="13">
        <v>0.3</v>
      </c>
      <c r="R71" s="13">
        <v>39.200000000000003</v>
      </c>
      <c r="S71" s="13"/>
      <c r="T71" s="13">
        <v>0.35930000000000001</v>
      </c>
      <c r="U71" s="13">
        <v>0.47599999999999998</v>
      </c>
      <c r="V71" s="11">
        <v>0</v>
      </c>
      <c r="W71" s="13">
        <v>69.900000000000006</v>
      </c>
      <c r="X71" s="13">
        <v>327.2</v>
      </c>
      <c r="Y71" s="13">
        <v>0.1</v>
      </c>
      <c r="Z71" s="13"/>
      <c r="AA71" s="13">
        <v>0</v>
      </c>
      <c r="AB71" s="13">
        <v>0.20300000000000001</v>
      </c>
      <c r="AC71" s="13">
        <v>0</v>
      </c>
      <c r="AD71" s="13">
        <v>6.7000000000000004E-2</v>
      </c>
      <c r="AE71" s="13">
        <v>1.7000000000000001E-2</v>
      </c>
      <c r="AF71" s="13">
        <v>0.48</v>
      </c>
      <c r="AG71" s="13">
        <v>63</v>
      </c>
      <c r="AH71" s="13">
        <v>0</v>
      </c>
      <c r="AI71" s="13">
        <v>0</v>
      </c>
      <c r="AJ71" s="13">
        <v>0.24199999999999999</v>
      </c>
      <c r="AK71" s="13">
        <v>4.0999999999999996</v>
      </c>
      <c r="AL71" s="13">
        <v>0.85</v>
      </c>
      <c r="AM71" s="13">
        <v>0</v>
      </c>
      <c r="AN71" s="13">
        <v>0.01</v>
      </c>
      <c r="AO71" s="13">
        <v>0</v>
      </c>
      <c r="AP71" s="13">
        <v>0</v>
      </c>
      <c r="AQ71" s="13">
        <v>0.24</v>
      </c>
      <c r="AR71" s="13">
        <v>0.24</v>
      </c>
      <c r="AS71" s="13">
        <v>0.21099999999999999</v>
      </c>
      <c r="AT71" s="13">
        <v>0.13500000000000001</v>
      </c>
      <c r="AU71" s="13">
        <v>0.121</v>
      </c>
      <c r="AV71" s="13">
        <v>0.125</v>
      </c>
      <c r="AW71" s="13">
        <v>9.2999999999999999E-2</v>
      </c>
      <c r="AX71" s="9">
        <f>Tabelle1[[#This Row],[Vitamin D3 '[µg/100g']]]*40</f>
        <v>0</v>
      </c>
      <c r="AY71" s="9">
        <f>Tabelle1[[#This Row],[Vitamin A '[µg/100g']]]*3.33</f>
        <v>0</v>
      </c>
      <c r="AZ71" s="9">
        <f>Tabelle1[[#This Row],[Vitamin E '[mg/100g']]]*1.49</f>
        <v>0.30247000000000002</v>
      </c>
    </row>
    <row r="72" spans="1:52" hidden="1" x14ac:dyDescent="0.45">
      <c r="A72" s="14" t="s">
        <v>534</v>
      </c>
      <c r="B72" s="3" t="s">
        <v>991</v>
      </c>
      <c r="C72" s="4" t="s">
        <v>992</v>
      </c>
      <c r="D72" s="11">
        <v>358</v>
      </c>
      <c r="E72" s="11">
        <f>Tabelle1[[#This Row],[Energie '[kcal/100g']]]/239</f>
        <v>1.497907949790795</v>
      </c>
      <c r="F72" s="11">
        <v>13.4</v>
      </c>
      <c r="G72" s="11">
        <f>Tabelle1[[#This Row],[Rohprotein '[g/100g']]]*0.85</f>
        <v>11.39</v>
      </c>
      <c r="H72" s="11">
        <v>1.4</v>
      </c>
      <c r="I72" s="11">
        <f>Tabelle1[[#This Row],[TS]]-Tabelle1[[#This Row],[Rohprotein '[g/100g']]]-Tabelle1[[#This Row],[Rohfett '[g/100g']]]-Tabelle1[[#This Row],[Rohasche '[g/100g']]]-Tabelle1[[#This Row],[Rohfaser '[g/100g']]]</f>
        <v>74.219999999999985</v>
      </c>
      <c r="J72" s="11">
        <v>0</v>
      </c>
      <c r="K72" s="11">
        <v>0.61</v>
      </c>
      <c r="L72" s="11">
        <v>10.37</v>
      </c>
      <c r="M72" s="11">
        <f>100-Tabelle1[[#This Row],[Wasser '[g/100g']]]</f>
        <v>89.63</v>
      </c>
      <c r="N72" s="11">
        <v>19.7</v>
      </c>
      <c r="O72" s="11">
        <v>133.80000000000001</v>
      </c>
      <c r="P72" s="11">
        <v>28.8</v>
      </c>
      <c r="Q72" s="11">
        <v>1.4</v>
      </c>
      <c r="R72" s="11">
        <v>150.4</v>
      </c>
      <c r="S72" s="11"/>
      <c r="T72" s="11">
        <v>1.1017999999999999</v>
      </c>
      <c r="U72" s="11">
        <v>1.0949</v>
      </c>
      <c r="V72" s="11">
        <v>0</v>
      </c>
      <c r="W72" s="11">
        <v>178.6</v>
      </c>
      <c r="X72" s="11">
        <v>752.6</v>
      </c>
      <c r="Y72" s="11">
        <v>0.94</v>
      </c>
      <c r="Z72" s="11"/>
      <c r="AA72" s="11">
        <v>0</v>
      </c>
      <c r="AB72" s="11">
        <v>0.46700000000000003</v>
      </c>
      <c r="AC72" s="11">
        <v>0</v>
      </c>
      <c r="AD72" s="11">
        <v>0.182</v>
      </c>
      <c r="AE72" s="11">
        <v>3.7999999999999999E-2</v>
      </c>
      <c r="AF72" s="11">
        <v>1.22</v>
      </c>
      <c r="AG72" s="11">
        <v>160</v>
      </c>
      <c r="AH72" s="11">
        <v>0</v>
      </c>
      <c r="AI72" s="11">
        <v>0</v>
      </c>
      <c r="AJ72" s="11">
        <v>0.55600000000000005</v>
      </c>
      <c r="AK72" s="11">
        <v>13.4</v>
      </c>
      <c r="AL72" s="11">
        <v>1.96</v>
      </c>
      <c r="AM72" s="11">
        <v>0</v>
      </c>
      <c r="AN72" s="11">
        <v>0.03</v>
      </c>
      <c r="AO72" s="11">
        <v>0</v>
      </c>
      <c r="AP72" s="11">
        <v>0</v>
      </c>
      <c r="AQ72" s="11">
        <v>0.56000000000000005</v>
      </c>
      <c r="AR72" s="11">
        <v>0.56000000000000005</v>
      </c>
      <c r="AS72" s="11">
        <v>0.48599999999999999</v>
      </c>
      <c r="AT72" s="11">
        <v>0.31</v>
      </c>
      <c r="AU72" s="11">
        <v>0.27800000000000002</v>
      </c>
      <c r="AV72" s="11">
        <v>0.28799999999999998</v>
      </c>
      <c r="AW72" s="11">
        <v>0.214</v>
      </c>
      <c r="AX72" s="9">
        <f>Tabelle1[[#This Row],[Vitamin D3 '[µg/100g']]]*40</f>
        <v>0</v>
      </c>
      <c r="AY72" s="9">
        <f>Tabelle1[[#This Row],[Vitamin A '[µg/100g']]]*3.33</f>
        <v>0</v>
      </c>
      <c r="AZ72" s="9">
        <f>Tabelle1[[#This Row],[Vitamin E '[mg/100g']]]*1.49</f>
        <v>0.69583000000000006</v>
      </c>
    </row>
    <row r="73" spans="1:52" hidden="1" x14ac:dyDescent="0.45">
      <c r="A73" s="14" t="s">
        <v>534</v>
      </c>
      <c r="B73" s="3" t="s">
        <v>1005</v>
      </c>
      <c r="C73" s="4" t="s">
        <v>1006</v>
      </c>
      <c r="D73" s="11">
        <v>125</v>
      </c>
      <c r="E73" s="11">
        <f>Tabelle1[[#This Row],[Energie '[kcal/100g']]]/239</f>
        <v>0.52301255230125521</v>
      </c>
      <c r="F73" s="11">
        <v>5.17</v>
      </c>
      <c r="G73" s="11">
        <f>Tabelle1[[#This Row],[Rohprotein '[g/100g']]]*0.85</f>
        <v>4.3944999999999999</v>
      </c>
      <c r="H73" s="11">
        <v>0.99</v>
      </c>
      <c r="I73" s="11">
        <f>Tabelle1[[#This Row],[TS]]-Tabelle1[[#This Row],[Rohprotein '[g/100g']]]-Tabelle1[[#This Row],[Rohfett '[g/100g']]]-Tabelle1[[#This Row],[Rohasche '[g/100g']]]-Tabelle1[[#This Row],[Rohfaser '[g/100g']]]</f>
        <v>24.080000000000005</v>
      </c>
      <c r="J73" s="11">
        <v>0</v>
      </c>
      <c r="K73" s="11">
        <v>0.27</v>
      </c>
      <c r="L73" s="11">
        <v>69.489999999999995</v>
      </c>
      <c r="M73" s="11">
        <f>100-Tabelle1[[#This Row],[Wasser '[g/100g']]]</f>
        <v>30.510000000000005</v>
      </c>
      <c r="N73" s="11">
        <v>14</v>
      </c>
      <c r="O73" s="11">
        <v>109</v>
      </c>
      <c r="P73" s="11">
        <v>30</v>
      </c>
      <c r="Q73" s="11">
        <v>3</v>
      </c>
      <c r="R73" s="11">
        <v>85</v>
      </c>
      <c r="S73" s="11"/>
      <c r="T73" s="11">
        <v>1</v>
      </c>
      <c r="U73" s="11">
        <v>0.9</v>
      </c>
      <c r="V73" s="11">
        <v>0</v>
      </c>
      <c r="W73" s="11">
        <v>110</v>
      </c>
      <c r="X73" s="11">
        <v>930</v>
      </c>
      <c r="Y73" s="11">
        <v>0.4</v>
      </c>
      <c r="Z73" s="11"/>
      <c r="AA73" s="11">
        <v>0.1</v>
      </c>
      <c r="AB73" s="11">
        <v>0.27600000000000002</v>
      </c>
      <c r="AC73" s="11">
        <v>8.6</v>
      </c>
      <c r="AD73" s="11">
        <v>8.2000000000000003E-2</v>
      </c>
      <c r="AE73" s="11">
        <v>3.3000000000000002E-2</v>
      </c>
      <c r="AF73" s="11">
        <v>1.1000000000000001</v>
      </c>
      <c r="AG73" s="11">
        <v>124</v>
      </c>
      <c r="AH73" s="11">
        <v>0.1</v>
      </c>
      <c r="AI73" s="11">
        <v>0</v>
      </c>
      <c r="AJ73" s="11">
        <v>0.4</v>
      </c>
      <c r="AK73" s="11">
        <v>8</v>
      </c>
      <c r="AL73" s="11">
        <v>2.5</v>
      </c>
      <c r="AM73" s="11">
        <v>0</v>
      </c>
      <c r="AN73" s="11">
        <v>2.4E-2</v>
      </c>
      <c r="AO73" s="11">
        <v>0</v>
      </c>
      <c r="AP73" s="11">
        <v>2E-3</v>
      </c>
      <c r="AQ73" s="11">
        <v>0.33700000000000002</v>
      </c>
      <c r="AR73" s="11">
        <v>0.33200000000000002</v>
      </c>
      <c r="AS73" s="11">
        <v>0.24399999999999999</v>
      </c>
      <c r="AT73" s="11">
        <v>0.112</v>
      </c>
      <c r="AU73" s="11">
        <v>0.11899999999999999</v>
      </c>
      <c r="AV73" s="11">
        <v>0.158</v>
      </c>
      <c r="AW73" s="11">
        <v>0.09</v>
      </c>
      <c r="AX73" s="9">
        <f>Tabelle1[[#This Row],[Vitamin D3 '[µg/100g']]]*40</f>
        <v>4</v>
      </c>
      <c r="AY73" s="9">
        <f>Tabelle1[[#This Row],[Vitamin A '[µg/100g']]]*3.33</f>
        <v>28.637999999999998</v>
      </c>
      <c r="AZ73" s="9">
        <f>Tabelle1[[#This Row],[Vitamin E '[mg/100g']]]*1.49</f>
        <v>0.41124000000000005</v>
      </c>
    </row>
    <row r="74" spans="1:52" hidden="1" x14ac:dyDescent="0.45">
      <c r="A74" s="14" t="s">
        <v>534</v>
      </c>
      <c r="B74" s="5" t="s">
        <v>1003</v>
      </c>
      <c r="C74" s="6" t="s">
        <v>1004</v>
      </c>
      <c r="D74" s="13">
        <v>353</v>
      </c>
      <c r="E74" s="11">
        <f>Tabelle1[[#This Row],[Energie '[kcal/100g']]]/239</f>
        <v>1.4769874476987448</v>
      </c>
      <c r="F74" s="13">
        <v>14.11</v>
      </c>
      <c r="G74" s="11">
        <f>Tabelle1[[#This Row],[Rohprotein '[g/100g']]]*0.85</f>
        <v>11.993499999999999</v>
      </c>
      <c r="H74" s="13">
        <v>2.69</v>
      </c>
      <c r="I74" s="11">
        <f>Tabelle1[[#This Row],[TS]]-Tabelle1[[#This Row],[Rohprotein '[g/100g']]]-Tabelle1[[#This Row],[Rohfett '[g/100g']]]-Tabelle1[[#This Row],[Rohasche '[g/100g']]]-Tabelle1[[#This Row],[Rohfaser '[g/100g']]]</f>
        <v>72.27</v>
      </c>
      <c r="J74" s="11">
        <v>0</v>
      </c>
      <c r="K74" s="13">
        <v>1.48</v>
      </c>
      <c r="L74" s="13">
        <v>9.4499999999999993</v>
      </c>
      <c r="M74" s="13">
        <f>100-Tabelle1[[#This Row],[Wasser '[g/100g']]]</f>
        <v>90.55</v>
      </c>
      <c r="N74" s="13">
        <v>39</v>
      </c>
      <c r="O74" s="13">
        <v>313</v>
      </c>
      <c r="P74" s="13">
        <v>96</v>
      </c>
      <c r="Q74" s="13">
        <v>17</v>
      </c>
      <c r="R74" s="13">
        <v>387</v>
      </c>
      <c r="S74" s="13"/>
      <c r="T74" s="13">
        <v>3.5</v>
      </c>
      <c r="U74" s="13">
        <v>2.4700000000000002</v>
      </c>
      <c r="V74" s="11">
        <v>0</v>
      </c>
      <c r="W74" s="13">
        <v>333</v>
      </c>
      <c r="X74" s="13">
        <v>2540</v>
      </c>
      <c r="Y74" s="13">
        <v>4.5</v>
      </c>
      <c r="Z74" s="13"/>
      <c r="AA74" s="13">
        <v>0.2</v>
      </c>
      <c r="AB74" s="13">
        <v>0.754</v>
      </c>
      <c r="AC74" s="13">
        <v>26.2</v>
      </c>
      <c r="AD74" s="13">
        <v>0.34300000000000003</v>
      </c>
      <c r="AE74" s="13">
        <v>0.127</v>
      </c>
      <c r="AF74" s="13">
        <v>4.5999999999999996</v>
      </c>
      <c r="AG74" s="13">
        <v>423</v>
      </c>
      <c r="AH74" s="13">
        <v>0.3</v>
      </c>
      <c r="AI74" s="13">
        <v>0</v>
      </c>
      <c r="AJ74" s="13">
        <v>2</v>
      </c>
      <c r="AK74" s="13">
        <v>32</v>
      </c>
      <c r="AL74" s="13">
        <v>8.4</v>
      </c>
      <c r="AM74" s="13">
        <v>0</v>
      </c>
      <c r="AN74" s="13">
        <v>6.7000000000000004E-2</v>
      </c>
      <c r="AO74" s="13">
        <v>0</v>
      </c>
      <c r="AP74" s="13">
        <v>6.0000000000000001E-3</v>
      </c>
      <c r="AQ74" s="13">
        <v>0.92100000000000004</v>
      </c>
      <c r="AR74" s="13">
        <v>0.90600000000000003</v>
      </c>
      <c r="AS74" s="13">
        <v>0.66500000000000004</v>
      </c>
      <c r="AT74" s="13">
        <v>0.30499999999999999</v>
      </c>
      <c r="AU74" s="13">
        <v>0.32400000000000001</v>
      </c>
      <c r="AV74" s="13">
        <v>0.43</v>
      </c>
      <c r="AW74" s="13">
        <v>0.247</v>
      </c>
      <c r="AX74" s="9">
        <f>Tabelle1[[#This Row],[Vitamin D3 '[µg/100g']]]*40</f>
        <v>8</v>
      </c>
      <c r="AY74" s="9">
        <f>Tabelle1[[#This Row],[Vitamin A '[µg/100g']]]*3.33</f>
        <v>87.245999999999995</v>
      </c>
      <c r="AZ74" s="9">
        <f>Tabelle1[[#This Row],[Vitamin E '[mg/100g']]]*1.49</f>
        <v>1.1234599999999999</v>
      </c>
    </row>
    <row r="75" spans="1:52" hidden="1" x14ac:dyDescent="0.45">
      <c r="A75" s="14" t="s">
        <v>534</v>
      </c>
      <c r="B75" s="3" t="s">
        <v>1001</v>
      </c>
      <c r="C75" s="4" t="s">
        <v>1002</v>
      </c>
      <c r="D75" s="11">
        <v>127</v>
      </c>
      <c r="E75" s="11">
        <f>Tabelle1[[#This Row],[Energie '[kcal/100g']]]/239</f>
        <v>0.53138075313807531</v>
      </c>
      <c r="F75" s="11">
        <v>5.26</v>
      </c>
      <c r="G75" s="11">
        <f>Tabelle1[[#This Row],[Rohprotein '[g/100g']]]*0.85</f>
        <v>4.4710000000000001</v>
      </c>
      <c r="H75" s="11">
        <v>0.9</v>
      </c>
      <c r="I75" s="11">
        <f>Tabelle1[[#This Row],[TS]]-Tabelle1[[#This Row],[Rohprotein '[g/100g']]]-Tabelle1[[#This Row],[Rohfett '[g/100g']]]-Tabelle1[[#This Row],[Rohasche '[g/100g']]]-Tabelle1[[#This Row],[Rohfaser '[g/100g']]]</f>
        <v>26.520000000000003</v>
      </c>
      <c r="J75" s="11">
        <v>0</v>
      </c>
      <c r="K75" s="11">
        <v>0.32</v>
      </c>
      <c r="L75" s="11">
        <v>67</v>
      </c>
      <c r="M75" s="11">
        <f>100-Tabelle1[[#This Row],[Wasser '[g/100g']]]</f>
        <v>33</v>
      </c>
      <c r="N75" s="11">
        <v>20.9</v>
      </c>
      <c r="O75" s="11">
        <v>120.6</v>
      </c>
      <c r="P75" s="11">
        <v>36.299999999999997</v>
      </c>
      <c r="Q75" s="11">
        <v>0.4</v>
      </c>
      <c r="R75" s="11">
        <v>51</v>
      </c>
      <c r="S75" s="11"/>
      <c r="T75" s="11">
        <v>1.0162</v>
      </c>
      <c r="U75" s="11">
        <v>1.2396</v>
      </c>
      <c r="V75" s="11">
        <v>0</v>
      </c>
      <c r="W75" s="11">
        <v>154.6</v>
      </c>
      <c r="X75" s="11">
        <v>1193.4000000000001</v>
      </c>
      <c r="Y75" s="11">
        <v>0.09</v>
      </c>
      <c r="Z75" s="11"/>
      <c r="AA75" s="11">
        <v>0</v>
      </c>
      <c r="AB75" s="11">
        <v>0.23400000000000001</v>
      </c>
      <c r="AC75" s="11">
        <v>0</v>
      </c>
      <c r="AD75" s="11">
        <v>8.6999999999999994E-2</v>
      </c>
      <c r="AE75" s="11">
        <v>1.2999999999999999E-2</v>
      </c>
      <c r="AF75" s="11">
        <v>1.18</v>
      </c>
      <c r="AG75" s="11">
        <v>49</v>
      </c>
      <c r="AH75" s="11">
        <v>0</v>
      </c>
      <c r="AI75" s="11">
        <v>0</v>
      </c>
      <c r="AJ75" s="11">
        <v>0.51500000000000001</v>
      </c>
      <c r="AK75" s="11">
        <v>6.4</v>
      </c>
      <c r="AL75" s="11">
        <v>2.06</v>
      </c>
      <c r="AM75" s="11">
        <v>0</v>
      </c>
      <c r="AN75" s="11">
        <v>2.1100000000000001E-2</v>
      </c>
      <c r="AO75" s="11">
        <v>0</v>
      </c>
      <c r="AP75" s="11">
        <v>0</v>
      </c>
      <c r="AQ75" s="11">
        <v>0.36</v>
      </c>
      <c r="AR75" s="11">
        <v>0.36</v>
      </c>
      <c r="AS75" s="11">
        <v>0.22700000000000001</v>
      </c>
      <c r="AT75" s="11">
        <v>0.122</v>
      </c>
      <c r="AU75" s="11">
        <v>0.125</v>
      </c>
      <c r="AV75" s="11">
        <v>0.14099999999999999</v>
      </c>
      <c r="AW75" s="11">
        <v>8.4000000000000005E-2</v>
      </c>
      <c r="AX75" s="9">
        <f>Tabelle1[[#This Row],[Vitamin D3 '[µg/100g']]]*40</f>
        <v>0</v>
      </c>
      <c r="AY75" s="9">
        <f>Tabelle1[[#This Row],[Vitamin A '[µg/100g']]]*3.33</f>
        <v>0</v>
      </c>
      <c r="AZ75" s="9">
        <f>Tabelle1[[#This Row],[Vitamin E '[mg/100g']]]*1.49</f>
        <v>0.34866000000000003</v>
      </c>
    </row>
    <row r="76" spans="1:52" hidden="1" x14ac:dyDescent="0.45">
      <c r="A76" s="14" t="s">
        <v>534</v>
      </c>
      <c r="B76" s="5" t="s">
        <v>999</v>
      </c>
      <c r="C76" s="6" t="s">
        <v>1000</v>
      </c>
      <c r="D76" s="13">
        <v>347</v>
      </c>
      <c r="E76" s="11">
        <f>Tabelle1[[#This Row],[Energie '[kcal/100g']]]/239</f>
        <v>1.4518828451882846</v>
      </c>
      <c r="F76" s="13">
        <v>13.88</v>
      </c>
      <c r="G76" s="11">
        <f>Tabelle1[[#This Row],[Rohprotein '[g/100g']]]*0.85</f>
        <v>11.798</v>
      </c>
      <c r="H76" s="13">
        <v>2.38</v>
      </c>
      <c r="I76" s="11">
        <f>Tabelle1[[#This Row],[TS]]-Tabelle1[[#This Row],[Rohprotein '[g/100g']]]-Tabelle1[[#This Row],[Rohfett '[g/100g']]]-Tabelle1[[#This Row],[Rohasche '[g/100g']]]-Tabelle1[[#This Row],[Rohfaser '[g/100g']]]</f>
        <v>73.030000000000015</v>
      </c>
      <c r="J76" s="11">
        <v>0</v>
      </c>
      <c r="K76" s="13">
        <v>1.71</v>
      </c>
      <c r="L76" s="13">
        <v>9</v>
      </c>
      <c r="M76" s="13">
        <f>100-Tabelle1[[#This Row],[Wasser '[g/100g']]]</f>
        <v>91</v>
      </c>
      <c r="N76" s="13">
        <v>58</v>
      </c>
      <c r="O76" s="13">
        <v>335.2</v>
      </c>
      <c r="P76" s="13">
        <v>112.7</v>
      </c>
      <c r="Q76" s="13">
        <v>2</v>
      </c>
      <c r="R76" s="13">
        <v>224.4</v>
      </c>
      <c r="S76" s="13"/>
      <c r="T76" s="13">
        <v>3.5771999999999999</v>
      </c>
      <c r="U76" s="13">
        <v>3.2725</v>
      </c>
      <c r="V76" s="11">
        <v>0</v>
      </c>
      <c r="W76" s="13">
        <v>453.4</v>
      </c>
      <c r="X76" s="13">
        <v>3150.7</v>
      </c>
      <c r="Y76" s="13">
        <v>0.97</v>
      </c>
      <c r="Z76" s="13"/>
      <c r="AA76" s="13">
        <v>0</v>
      </c>
      <c r="AB76" s="13">
        <v>0.61899999999999999</v>
      </c>
      <c r="AC76" s="13">
        <v>0</v>
      </c>
      <c r="AD76" s="13">
        <v>0.35499999999999998</v>
      </c>
      <c r="AE76" s="13">
        <v>4.8000000000000001E-2</v>
      </c>
      <c r="AF76" s="13">
        <v>4.78</v>
      </c>
      <c r="AG76" s="13">
        <v>163</v>
      </c>
      <c r="AH76" s="13">
        <v>0</v>
      </c>
      <c r="AI76" s="13">
        <v>0</v>
      </c>
      <c r="AJ76" s="13">
        <v>1.36</v>
      </c>
      <c r="AK76" s="13">
        <v>24.1</v>
      </c>
      <c r="AL76" s="13">
        <v>6.81</v>
      </c>
      <c r="AM76" s="13">
        <v>0</v>
      </c>
      <c r="AN76" s="13">
        <v>5.5599999999999997E-2</v>
      </c>
      <c r="AO76" s="13">
        <v>0</v>
      </c>
      <c r="AP76" s="13">
        <v>0</v>
      </c>
      <c r="AQ76" s="13">
        <v>0.95</v>
      </c>
      <c r="AR76" s="13">
        <v>0.95</v>
      </c>
      <c r="AS76" s="13">
        <v>0.59899999999999998</v>
      </c>
      <c r="AT76" s="13">
        <v>0.32100000000000001</v>
      </c>
      <c r="AU76" s="13">
        <v>0.32900000000000001</v>
      </c>
      <c r="AV76" s="13">
        <v>0.371</v>
      </c>
      <c r="AW76" s="13">
        <v>0.222</v>
      </c>
      <c r="AX76" s="9">
        <f>Tabelle1[[#This Row],[Vitamin D3 '[µg/100g']]]*40</f>
        <v>0</v>
      </c>
      <c r="AY76" s="9">
        <f>Tabelle1[[#This Row],[Vitamin A '[µg/100g']]]*3.33</f>
        <v>0</v>
      </c>
      <c r="AZ76" s="9">
        <f>Tabelle1[[#This Row],[Vitamin E '[mg/100g']]]*1.49</f>
        <v>0.92230999999999996</v>
      </c>
    </row>
    <row r="77" spans="1:52" hidden="1" x14ac:dyDescent="0.45">
      <c r="A77" t="s">
        <v>972</v>
      </c>
      <c r="B77" s="3" t="s">
        <v>953</v>
      </c>
      <c r="C77" s="4" t="s">
        <v>954</v>
      </c>
      <c r="D77" s="11">
        <v>900</v>
      </c>
      <c r="E77" s="11">
        <f>Tabelle1[[#This Row],[Energie '[kcal/100g']]]/239</f>
        <v>3.7656903765690375</v>
      </c>
      <c r="F77" s="11">
        <v>0</v>
      </c>
      <c r="G77" s="11">
        <f>Tabelle1[[#This Row],[Rohprotein '[g/100g']]]*0.85</f>
        <v>0</v>
      </c>
      <c r="H77" s="11">
        <v>100</v>
      </c>
      <c r="I77" s="11">
        <f>Tabelle1[[#This Row],[TS]]-Tabelle1[[#This Row],[Rohprotein '[g/100g']]]-Tabelle1[[#This Row],[Rohfett '[g/100g']]]-Tabelle1[[#This Row],[Rohasche '[g/100g']]]-Tabelle1[[#This Row],[Rohfaser '[g/100g']]]</f>
        <v>0</v>
      </c>
      <c r="J77" s="11">
        <v>0</v>
      </c>
      <c r="K77" s="13">
        <v>0</v>
      </c>
      <c r="L77" s="11">
        <v>0</v>
      </c>
      <c r="M77" s="11">
        <f>100-Tabelle1[[#This Row],[Wasser '[g/100g']]]</f>
        <v>100</v>
      </c>
      <c r="N77" s="11">
        <v>0.44170100000000001</v>
      </c>
      <c r="O77" s="11">
        <v>1.702</v>
      </c>
      <c r="P77" s="11">
        <v>0.44547100000000001</v>
      </c>
      <c r="Q77" s="11">
        <v>1.65</v>
      </c>
      <c r="R77" s="11">
        <v>0.67801500000000003</v>
      </c>
      <c r="S77" s="11"/>
      <c r="T77" s="11">
        <v>0.11557199999999999</v>
      </c>
      <c r="U77" s="11">
        <v>4.0109800000000001E-2</v>
      </c>
      <c r="V77" s="11">
        <v>0</v>
      </c>
      <c r="W77" s="11">
        <v>2.4990000000000001</v>
      </c>
      <c r="X77" s="11">
        <v>1.3640000000000001</v>
      </c>
      <c r="Y77" s="11">
        <v>0.01</v>
      </c>
      <c r="Z77" s="11"/>
      <c r="AA77" s="11">
        <v>0</v>
      </c>
      <c r="AB77" s="11">
        <v>38.700000000000003</v>
      </c>
      <c r="AC77" s="11">
        <v>21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7.4</v>
      </c>
      <c r="AK77" s="13">
        <v>0</v>
      </c>
      <c r="AL77" s="11">
        <v>0</v>
      </c>
      <c r="AM77" s="11">
        <v>0</v>
      </c>
      <c r="AN77" s="11">
        <v>0.47</v>
      </c>
      <c r="AO77" s="11">
        <v>0</v>
      </c>
      <c r="AP77" s="11">
        <v>0</v>
      </c>
      <c r="AQ77" s="11">
        <v>75.12</v>
      </c>
      <c r="AR77" s="11">
        <v>75.12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9">
        <f>Tabelle1[[#This Row],[Vitamin D3 '[µg/100g']]]*40</f>
        <v>0</v>
      </c>
      <c r="AY77" s="9">
        <f>Tabelle1[[#This Row],[Vitamin A '[µg/100g']]]*3.33</f>
        <v>69.930000000000007</v>
      </c>
      <c r="AZ77" s="9">
        <f>Tabelle1[[#This Row],[Vitamin E '[mg/100g']]]*1.49</f>
        <v>57.663000000000004</v>
      </c>
    </row>
    <row r="78" spans="1:52" hidden="1" x14ac:dyDescent="0.45">
      <c r="A78" s="14" t="s">
        <v>534</v>
      </c>
      <c r="B78" s="5" t="s">
        <v>979</v>
      </c>
      <c r="C78" s="6" t="s">
        <v>980</v>
      </c>
      <c r="D78" s="13">
        <v>130</v>
      </c>
      <c r="E78" s="11">
        <f>Tabelle1[[#This Row],[Energie '[kcal/100g']]]/239</f>
        <v>0.54393305439330542</v>
      </c>
      <c r="F78" s="13">
        <v>5.2</v>
      </c>
      <c r="G78" s="11">
        <f>Tabelle1[[#This Row],[Rohprotein '[g/100g']]]*0.85</f>
        <v>4.42</v>
      </c>
      <c r="H78" s="13">
        <v>0.91</v>
      </c>
      <c r="I78" s="11">
        <f>Tabelle1[[#This Row],[TS]]-Tabelle1[[#This Row],[Rohprotein '[g/100g']]]-Tabelle1[[#This Row],[Rohfett '[g/100g']]]-Tabelle1[[#This Row],[Rohasche '[g/100g']]]-Tabelle1[[#This Row],[Rohfaser '[g/100g']]]</f>
        <v>16.310000000000002</v>
      </c>
      <c r="J78" s="11">
        <v>0</v>
      </c>
      <c r="K78" s="13">
        <v>0.78</v>
      </c>
      <c r="L78" s="13">
        <v>76.8</v>
      </c>
      <c r="M78" s="13">
        <f>100-Tabelle1[[#This Row],[Wasser '[g/100g']]]</f>
        <v>23.200000000000003</v>
      </c>
      <c r="N78" s="13">
        <v>9</v>
      </c>
      <c r="O78" s="13">
        <v>57</v>
      </c>
      <c r="P78" s="13">
        <v>16</v>
      </c>
      <c r="Q78" s="13">
        <v>98</v>
      </c>
      <c r="R78" s="13">
        <v>53</v>
      </c>
      <c r="S78" s="13"/>
      <c r="T78" s="13">
        <v>0.8</v>
      </c>
      <c r="U78" s="13">
        <v>0.51200000000000001</v>
      </c>
      <c r="V78" s="11">
        <v>0</v>
      </c>
      <c r="W78" s="13">
        <v>69</v>
      </c>
      <c r="X78" s="13">
        <v>230</v>
      </c>
      <c r="Y78" s="13">
        <v>1</v>
      </c>
      <c r="Z78" s="13"/>
      <c r="AA78" s="13">
        <v>0.06</v>
      </c>
      <c r="AB78" s="13">
        <v>3.9E-2</v>
      </c>
      <c r="AC78" s="13">
        <v>25</v>
      </c>
      <c r="AD78" s="13">
        <v>6.0000000000000001E-3</v>
      </c>
      <c r="AE78" s="13">
        <v>4.0000000000000001E-3</v>
      </c>
      <c r="AF78" s="13">
        <v>0.4</v>
      </c>
      <c r="AG78" s="13">
        <v>43.74</v>
      </c>
      <c r="AH78" s="13">
        <v>0</v>
      </c>
      <c r="AI78" s="13">
        <v>0</v>
      </c>
      <c r="AJ78" s="13">
        <v>0.08</v>
      </c>
      <c r="AK78" s="13">
        <v>9</v>
      </c>
      <c r="AL78" s="13">
        <v>0</v>
      </c>
      <c r="AM78" s="13">
        <v>0</v>
      </c>
      <c r="AN78" s="13">
        <v>7.0000000000000001E-3</v>
      </c>
      <c r="AO78" s="13">
        <v>0</v>
      </c>
      <c r="AP78" s="13">
        <v>1E-3</v>
      </c>
      <c r="AQ78" s="13">
        <v>0.129</v>
      </c>
      <c r="AR78" s="13">
        <v>0.125</v>
      </c>
      <c r="AS78" s="13">
        <v>0.28000000000000003</v>
      </c>
      <c r="AT78" s="13">
        <v>0.122</v>
      </c>
      <c r="AU78" s="13">
        <v>0.18099999999999999</v>
      </c>
      <c r="AV78" s="13">
        <v>0.17699999999999999</v>
      </c>
      <c r="AW78" s="13">
        <v>3.9E-2</v>
      </c>
      <c r="AX78" s="9">
        <f>Tabelle1[[#This Row],[Vitamin D3 '[µg/100g']]]*40</f>
        <v>2.4</v>
      </c>
      <c r="AY78" s="9">
        <f>Tabelle1[[#This Row],[Vitamin A '[µg/100g']]]*3.33</f>
        <v>83.25</v>
      </c>
      <c r="AZ78" s="9">
        <f>Tabelle1[[#This Row],[Vitamin E '[mg/100g']]]*1.49</f>
        <v>5.8110000000000002E-2</v>
      </c>
    </row>
    <row r="79" spans="1:52" hidden="1" x14ac:dyDescent="0.45">
      <c r="A79" s="14" t="s">
        <v>534</v>
      </c>
      <c r="B79" s="3" t="s">
        <v>989</v>
      </c>
      <c r="C79" s="4" t="s">
        <v>990</v>
      </c>
      <c r="D79" s="11">
        <v>140</v>
      </c>
      <c r="E79" s="11">
        <f>Tabelle1[[#This Row],[Energie '[kcal/100g']]]/239</f>
        <v>0.58577405857740583</v>
      </c>
      <c r="F79" s="11">
        <v>3.173</v>
      </c>
      <c r="G79" s="11">
        <f>Tabelle1[[#This Row],[Rohprotein '[g/100g']]]*0.85</f>
        <v>2.6970499999999999</v>
      </c>
      <c r="H79" s="11">
        <v>1.417</v>
      </c>
      <c r="I79" s="11">
        <f>Tabelle1[[#This Row],[TS]]-Tabelle1[[#This Row],[Rohprotein '[g/100g']]]-Tabelle1[[#This Row],[Rohfett '[g/100g']]]-Tabelle1[[#This Row],[Rohasche '[g/100g']]]-Tabelle1[[#This Row],[Rohfaser '[g/100g']]]</f>
        <v>29.558000000000003</v>
      </c>
      <c r="J79" s="11">
        <v>0</v>
      </c>
      <c r="K79" s="11">
        <v>0.252</v>
      </c>
      <c r="L79" s="11">
        <v>65.599999999999994</v>
      </c>
      <c r="M79" s="11">
        <f>100-Tabelle1[[#This Row],[Wasser '[g/100g']]]</f>
        <v>34.400000000000006</v>
      </c>
      <c r="N79" s="11">
        <v>10</v>
      </c>
      <c r="O79" s="11">
        <v>57</v>
      </c>
      <c r="P79" s="11">
        <v>7</v>
      </c>
      <c r="Q79" s="11">
        <v>10</v>
      </c>
      <c r="R79" s="11">
        <v>20</v>
      </c>
      <c r="S79" s="11"/>
      <c r="T79" s="11">
        <v>0.4</v>
      </c>
      <c r="U79" s="11">
        <v>0.55000000000000004</v>
      </c>
      <c r="V79" s="11">
        <v>0</v>
      </c>
      <c r="W79" s="11">
        <v>40</v>
      </c>
      <c r="X79" s="11">
        <v>270</v>
      </c>
      <c r="Y79" s="11">
        <v>2</v>
      </c>
      <c r="Z79" s="11"/>
      <c r="AA79" s="11">
        <v>0.2</v>
      </c>
      <c r="AB79" s="11">
        <v>0.28100000000000003</v>
      </c>
      <c r="AC79" s="11">
        <v>30</v>
      </c>
      <c r="AD79" s="11">
        <v>2.8000000000000001E-2</v>
      </c>
      <c r="AE79" s="11">
        <v>5.8999999999999997E-2</v>
      </c>
      <c r="AF79" s="11">
        <v>0.22500000000000001</v>
      </c>
      <c r="AG79" s="11">
        <v>29</v>
      </c>
      <c r="AH79" s="11">
        <v>0.3</v>
      </c>
      <c r="AI79" s="11">
        <v>0</v>
      </c>
      <c r="AJ79" s="11">
        <v>1</v>
      </c>
      <c r="AK79" s="11">
        <v>4</v>
      </c>
      <c r="AL79" s="11">
        <v>4</v>
      </c>
      <c r="AM79" s="11">
        <v>0</v>
      </c>
      <c r="AN79" s="11">
        <v>1.7999999999999999E-2</v>
      </c>
      <c r="AO79" s="11">
        <v>0</v>
      </c>
      <c r="AP79" s="11">
        <v>7.0000000000000001E-3</v>
      </c>
      <c r="AQ79" s="11">
        <v>0.30499999999999999</v>
      </c>
      <c r="AR79" s="11">
        <v>0.28799999999999998</v>
      </c>
      <c r="AS79" s="11">
        <v>0.19</v>
      </c>
      <c r="AT79" s="11">
        <v>6.5000000000000002E-2</v>
      </c>
      <c r="AU79" s="11">
        <v>7.6999999999999999E-2</v>
      </c>
      <c r="AV79" s="11">
        <v>0.159</v>
      </c>
      <c r="AW79" s="11">
        <v>8.8999999999999996E-2</v>
      </c>
      <c r="AX79" s="9">
        <f>Tabelle1[[#This Row],[Vitamin D3 '[µg/100g']]]*40</f>
        <v>8</v>
      </c>
      <c r="AY79" s="9">
        <f>Tabelle1[[#This Row],[Vitamin A '[µg/100g']]]*3.33</f>
        <v>99.9</v>
      </c>
      <c r="AZ79" s="9">
        <f>Tabelle1[[#This Row],[Vitamin E '[mg/100g']]]*1.49</f>
        <v>0.41869000000000006</v>
      </c>
    </row>
    <row r="80" spans="1:52" hidden="1" x14ac:dyDescent="0.45">
      <c r="A80" s="14" t="s">
        <v>534</v>
      </c>
      <c r="B80" s="3" t="s">
        <v>977</v>
      </c>
      <c r="C80" s="4" t="s">
        <v>978</v>
      </c>
      <c r="D80" s="11">
        <v>342</v>
      </c>
      <c r="E80" s="11">
        <f>Tabelle1[[#This Row],[Energie '[kcal/100g']]]/239</f>
        <v>1.4309623430962344</v>
      </c>
      <c r="F80" s="11">
        <v>13.2</v>
      </c>
      <c r="G80" s="11">
        <f>Tabelle1[[#This Row],[Rohprotein '[g/100g']]]*0.85</f>
        <v>11.219999999999999</v>
      </c>
      <c r="H80" s="11">
        <v>2</v>
      </c>
      <c r="I80" s="11">
        <f>Tabelle1[[#This Row],[TS]]-Tabelle1[[#This Row],[Rohprotein '[g/100g']]]-Tabelle1[[#This Row],[Rohfett '[g/100g']]]-Tabelle1[[#This Row],[Rohasche '[g/100g']]]-Tabelle1[[#This Row],[Rohfaser '[g/100g']]]</f>
        <v>74.459999999999994</v>
      </c>
      <c r="J80" s="11">
        <v>0</v>
      </c>
      <c r="K80" s="11">
        <v>0.89</v>
      </c>
      <c r="L80" s="11">
        <v>9.4499999999999993</v>
      </c>
      <c r="M80" s="11">
        <f>100-Tabelle1[[#This Row],[Wasser '[g/100g']]]</f>
        <v>90.55</v>
      </c>
      <c r="N80" s="11">
        <v>73</v>
      </c>
      <c r="O80" s="11">
        <v>153</v>
      </c>
      <c r="P80" s="11">
        <v>49</v>
      </c>
      <c r="Q80" s="11">
        <v>500</v>
      </c>
      <c r="R80" s="11">
        <v>378</v>
      </c>
      <c r="S80" s="11"/>
      <c r="T80" s="11">
        <v>2.7</v>
      </c>
      <c r="U80" s="11">
        <v>1.3</v>
      </c>
      <c r="V80" s="11">
        <v>0</v>
      </c>
      <c r="W80" s="11">
        <v>195</v>
      </c>
      <c r="X80" s="11">
        <v>584</v>
      </c>
      <c r="Y80" s="11">
        <v>6</v>
      </c>
      <c r="Z80" s="11"/>
      <c r="AA80" s="11">
        <v>0.15</v>
      </c>
      <c r="AB80" s="11">
        <v>0.1</v>
      </c>
      <c r="AC80" s="11">
        <v>70</v>
      </c>
      <c r="AD80" s="11">
        <v>0.12</v>
      </c>
      <c r="AE80" s="11">
        <v>0.02</v>
      </c>
      <c r="AF80" s="11">
        <v>3.3</v>
      </c>
      <c r="AG80" s="11">
        <v>123.45</v>
      </c>
      <c r="AH80" s="11">
        <v>0</v>
      </c>
      <c r="AI80" s="11">
        <v>0</v>
      </c>
      <c r="AJ80" s="11">
        <v>0.21</v>
      </c>
      <c r="AK80" s="11">
        <v>19</v>
      </c>
      <c r="AL80" s="11">
        <v>1</v>
      </c>
      <c r="AM80" s="11">
        <v>0</v>
      </c>
      <c r="AN80" s="11">
        <v>1.7999999999999999E-2</v>
      </c>
      <c r="AO80" s="11">
        <v>0</v>
      </c>
      <c r="AP80" s="11">
        <v>2E-3</v>
      </c>
      <c r="AQ80" s="11">
        <v>0.32800000000000001</v>
      </c>
      <c r="AR80" s="11">
        <v>0.318</v>
      </c>
      <c r="AS80" s="11">
        <v>0.71</v>
      </c>
      <c r="AT80" s="11">
        <v>0.31</v>
      </c>
      <c r="AU80" s="11">
        <v>0.46</v>
      </c>
      <c r="AV80" s="11">
        <v>0.45</v>
      </c>
      <c r="AW80" s="11">
        <v>0.1</v>
      </c>
      <c r="AX80" s="9">
        <f>Tabelle1[[#This Row],[Vitamin D3 '[µg/100g']]]*40</f>
        <v>6</v>
      </c>
      <c r="AY80" s="9">
        <f>Tabelle1[[#This Row],[Vitamin A '[µg/100g']]]*3.33</f>
        <v>233.1</v>
      </c>
      <c r="AZ80" s="9">
        <f>Tabelle1[[#This Row],[Vitamin E '[mg/100g']]]*1.49</f>
        <v>0.14899999999999999</v>
      </c>
    </row>
    <row r="81" spans="1:52" hidden="1" x14ac:dyDescent="0.45">
      <c r="A81" t="s">
        <v>877</v>
      </c>
      <c r="B81" s="5" t="s">
        <v>725</v>
      </c>
      <c r="C81" s="6" t="s">
        <v>726</v>
      </c>
      <c r="D81" s="13">
        <v>15</v>
      </c>
      <c r="E81" s="11">
        <f>Tabelle1[[#This Row],[Energie '[kcal/100g']]]/239</f>
        <v>6.2761506276150625E-2</v>
      </c>
      <c r="F81" s="13">
        <v>0.8</v>
      </c>
      <c r="G81" s="11">
        <f>Tabelle1[[#This Row],[Rohprotein '[g/100g']]]*0.85</f>
        <v>0.68</v>
      </c>
      <c r="H81" s="13">
        <v>0.2</v>
      </c>
      <c r="I81" s="11">
        <f>Tabelle1[[#This Row],[TS]]-Tabelle1[[#This Row],[Rohprotein '[g/100g']]]-Tabelle1[[#This Row],[Rohfett '[g/100g']]]-Tabelle1[[#This Row],[Rohasche '[g/100g']]]-Tabelle1[[#This Row],[Rohfaser '[g/100g']]]</f>
        <v>2.5199999999999987</v>
      </c>
      <c r="J81" s="11">
        <v>0</v>
      </c>
      <c r="K81" s="13">
        <v>0.45</v>
      </c>
      <c r="L81" s="13">
        <v>96.03</v>
      </c>
      <c r="M81" s="13">
        <f>100-Tabelle1[[#This Row],[Wasser '[g/100g']]]</f>
        <v>3.9699999999999989</v>
      </c>
      <c r="N81" s="13">
        <v>19</v>
      </c>
      <c r="O81" s="13">
        <v>26</v>
      </c>
      <c r="P81" s="13">
        <v>7</v>
      </c>
      <c r="Q81" s="13">
        <v>9</v>
      </c>
      <c r="R81" s="13">
        <v>175</v>
      </c>
      <c r="S81" s="13"/>
      <c r="T81" s="13">
        <v>0.35</v>
      </c>
      <c r="U81" s="13">
        <v>0.16</v>
      </c>
      <c r="V81" s="11">
        <v>0</v>
      </c>
      <c r="W81" s="13">
        <v>32</v>
      </c>
      <c r="X81" s="13">
        <v>129</v>
      </c>
      <c r="Y81" s="13">
        <v>0</v>
      </c>
      <c r="Z81" s="13"/>
      <c r="AA81" s="13">
        <v>0</v>
      </c>
      <c r="AB81" s="13">
        <v>0.22</v>
      </c>
      <c r="AC81" s="13">
        <v>37</v>
      </c>
      <c r="AD81" s="13">
        <v>0.05</v>
      </c>
      <c r="AE81" s="13">
        <v>1.4999999999999999E-2</v>
      </c>
      <c r="AF81" s="13">
        <v>0.3</v>
      </c>
      <c r="AG81" s="13">
        <v>58</v>
      </c>
      <c r="AH81" s="13">
        <v>0</v>
      </c>
      <c r="AI81" s="13">
        <v>4.3</v>
      </c>
      <c r="AJ81" s="13">
        <v>33</v>
      </c>
      <c r="AK81" s="13">
        <v>38</v>
      </c>
      <c r="AL81" s="13">
        <v>2.46</v>
      </c>
      <c r="AM81" s="13">
        <v>0</v>
      </c>
      <c r="AN81" s="13">
        <v>0.03</v>
      </c>
      <c r="AO81" s="13">
        <v>0</v>
      </c>
      <c r="AP81" s="13">
        <v>0</v>
      </c>
      <c r="AQ81" s="13">
        <v>0.04</v>
      </c>
      <c r="AR81" s="13">
        <v>0.04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9">
        <f>Tabelle1[[#This Row],[Vitamin D3 '[µg/100g']]]*40</f>
        <v>0</v>
      </c>
      <c r="AY81" s="9">
        <f>Tabelle1[[#This Row],[Vitamin A '[µg/100g']]]*3.33</f>
        <v>123.21000000000001</v>
      </c>
      <c r="AZ81" s="9">
        <f>Tabelle1[[#This Row],[Vitamin E '[mg/100g']]]*1.49</f>
        <v>0.32779999999999998</v>
      </c>
    </row>
    <row r="82" spans="1:52" hidden="1" x14ac:dyDescent="0.45">
      <c r="A82" t="s">
        <v>58</v>
      </c>
      <c r="B82" s="5" t="s">
        <v>239</v>
      </c>
      <c r="C82" s="6" t="s">
        <v>240</v>
      </c>
      <c r="D82" s="13">
        <v>206</v>
      </c>
      <c r="E82" s="13">
        <f>Tabelle1[[#This Row],[Energie '[kcal/100g']]]/239</f>
        <v>0.86192468619246865</v>
      </c>
      <c r="F82" s="13">
        <v>27.433</v>
      </c>
      <c r="G82" s="13">
        <f>Tabelle1[[#This Row],[Rohprotein '[g/100g']]]*0.85</f>
        <v>23.318049999999999</v>
      </c>
      <c r="H82" s="13">
        <v>10.75</v>
      </c>
      <c r="I82" s="11">
        <f>Tabelle1[[#This Row],[TS]]-Tabelle1[[#This Row],[Rohprotein '[g/100g']]]-Tabelle1[[#This Row],[Rohfett '[g/100g']]]-Tabelle1[[#This Row],[Rohasche '[g/100g']]]-Tabelle1[[#This Row],[Rohfaser '[g/100g']]]</f>
        <v>5.9999999999999831E-2</v>
      </c>
      <c r="J82" s="11">
        <v>0</v>
      </c>
      <c r="K82" s="13">
        <v>1.248</v>
      </c>
      <c r="L82" s="13">
        <v>60.509</v>
      </c>
      <c r="M82" s="13">
        <f>100-Tabelle1[[#This Row],[Wasser '[g/100g']]]</f>
        <v>39.491</v>
      </c>
      <c r="N82" s="13">
        <v>22.8</v>
      </c>
      <c r="O82" s="13">
        <v>263.89999999999998</v>
      </c>
      <c r="P82" s="13">
        <v>28.8</v>
      </c>
      <c r="Q82" s="13">
        <v>50</v>
      </c>
      <c r="R82" s="13">
        <v>373</v>
      </c>
      <c r="S82" s="13"/>
      <c r="T82" s="13">
        <v>4.0519999999999996</v>
      </c>
      <c r="U82" s="13">
        <v>2.875</v>
      </c>
      <c r="V82" s="11">
        <v>0</v>
      </c>
      <c r="W82" s="13">
        <v>321</v>
      </c>
      <c r="X82" s="13">
        <v>78</v>
      </c>
      <c r="Y82" s="11">
        <v>0</v>
      </c>
      <c r="Z82" s="11"/>
      <c r="AA82" s="13">
        <v>0.2</v>
      </c>
      <c r="AB82" s="13">
        <v>0.53410000000000002</v>
      </c>
      <c r="AC82" s="13">
        <v>12000</v>
      </c>
      <c r="AD82" s="13">
        <v>0.30499999999999999</v>
      </c>
      <c r="AE82" s="13">
        <v>0.28100000000000003</v>
      </c>
      <c r="AF82" s="13">
        <v>4.375</v>
      </c>
      <c r="AG82" s="13">
        <v>540</v>
      </c>
      <c r="AH82" s="13">
        <v>0.71</v>
      </c>
      <c r="AI82" s="13">
        <v>6.5</v>
      </c>
      <c r="AJ82" s="13">
        <v>3.4</v>
      </c>
      <c r="AK82" s="13">
        <v>738</v>
      </c>
      <c r="AL82" s="13">
        <v>0.92</v>
      </c>
      <c r="AM82" s="13">
        <v>0</v>
      </c>
      <c r="AN82" s="13">
        <v>0.107</v>
      </c>
      <c r="AO82" s="13">
        <v>0</v>
      </c>
      <c r="AP82" s="13">
        <v>0</v>
      </c>
      <c r="AQ82" s="13">
        <v>1.2809999999999999</v>
      </c>
      <c r="AR82" s="13">
        <v>1.2809999999999999</v>
      </c>
      <c r="AS82" s="13">
        <v>1.667</v>
      </c>
      <c r="AT82" s="13">
        <v>0.42599999999999999</v>
      </c>
      <c r="AU82" s="13">
        <v>0.621</v>
      </c>
      <c r="AV82" s="13">
        <v>2.3639999999999999</v>
      </c>
      <c r="AW82" s="13">
        <v>0.68200000000000005</v>
      </c>
      <c r="AX82" s="9">
        <f>Tabelle1[[#This Row],[Vitamin D3 '[µg/100g']]]*40</f>
        <v>8</v>
      </c>
      <c r="AY82" s="9">
        <f>Tabelle1[[#This Row],[Vitamin A '[µg/100g']]]*3.33</f>
        <v>39960</v>
      </c>
      <c r="AZ82" s="9">
        <f>Tabelle1[[#This Row],[Vitamin E '[mg/100g']]]*1.49</f>
        <v>0.79580899999999999</v>
      </c>
    </row>
    <row r="83" spans="1:52" hidden="1" x14ac:dyDescent="0.45">
      <c r="A83" t="s">
        <v>58</v>
      </c>
      <c r="B83" s="3" t="s">
        <v>241</v>
      </c>
      <c r="C83" s="4" t="s">
        <v>242</v>
      </c>
      <c r="D83" s="11">
        <v>192</v>
      </c>
      <c r="E83" s="13">
        <f>Tabelle1[[#This Row],[Energie '[kcal/100g']]]/239</f>
        <v>0.80334728033472802</v>
      </c>
      <c r="F83" s="11">
        <v>24.050999999999998</v>
      </c>
      <c r="G83" s="13">
        <f>Tabelle1[[#This Row],[Rohprotein '[g/100g']]]*0.85</f>
        <v>20.443349999999999</v>
      </c>
      <c r="H83" s="11">
        <v>10.603</v>
      </c>
      <c r="I83" s="11">
        <f>Tabelle1[[#This Row],[TS]]-Tabelle1[[#This Row],[Rohprotein '[g/100g']]]-Tabelle1[[#This Row],[Rohfett '[g/100g']]]-Tabelle1[[#This Row],[Rohasche '[g/100g']]]-Tabelle1[[#This Row],[Rohfaser '[g/100g']]]</f>
        <v>5.9000000000008823E-2</v>
      </c>
      <c r="J83" s="11">
        <v>0</v>
      </c>
      <c r="K83" s="11">
        <v>1.095</v>
      </c>
      <c r="L83" s="11">
        <v>64.191999999999993</v>
      </c>
      <c r="M83" s="11">
        <f>100-Tabelle1[[#This Row],[Wasser '[g/100g']]]</f>
        <v>35.808000000000007</v>
      </c>
      <c r="N83" s="11">
        <v>20</v>
      </c>
      <c r="O83" s="11">
        <v>231.4</v>
      </c>
      <c r="P83" s="11">
        <v>25.3</v>
      </c>
      <c r="Q83" s="11">
        <v>44</v>
      </c>
      <c r="R83" s="11">
        <v>327</v>
      </c>
      <c r="S83" s="11"/>
      <c r="T83" s="11">
        <v>3.5529999999999999</v>
      </c>
      <c r="U83" s="11">
        <v>2.5209999999999999</v>
      </c>
      <c r="V83" s="11">
        <v>0</v>
      </c>
      <c r="W83" s="11">
        <v>282</v>
      </c>
      <c r="X83" s="11">
        <v>68</v>
      </c>
      <c r="Y83" s="11">
        <v>0</v>
      </c>
      <c r="Z83" s="11"/>
      <c r="AA83" s="11">
        <v>0.3</v>
      </c>
      <c r="AB83" s="11">
        <v>0.87790000000000001</v>
      </c>
      <c r="AC83" s="11">
        <v>544</v>
      </c>
      <c r="AD83" s="11">
        <v>0.28799999999999998</v>
      </c>
      <c r="AE83" s="11">
        <v>0.247</v>
      </c>
      <c r="AF83" s="11">
        <v>4.0750000000000002</v>
      </c>
      <c r="AG83" s="11">
        <v>470</v>
      </c>
      <c r="AH83" s="11">
        <v>0.71</v>
      </c>
      <c r="AI83" s="11">
        <v>5.7</v>
      </c>
      <c r="AJ83" s="11">
        <v>5.7</v>
      </c>
      <c r="AK83" s="11">
        <v>76</v>
      </c>
      <c r="AL83" s="11">
        <v>0.81</v>
      </c>
      <c r="AM83" s="11">
        <v>0</v>
      </c>
      <c r="AN83" s="11">
        <v>0.105</v>
      </c>
      <c r="AO83" s="11">
        <v>0</v>
      </c>
      <c r="AP83" s="13">
        <v>0</v>
      </c>
      <c r="AQ83" s="11">
        <v>1.264</v>
      </c>
      <c r="AR83" s="11">
        <v>1.264</v>
      </c>
      <c r="AS83" s="11">
        <v>1.462</v>
      </c>
      <c r="AT83" s="11">
        <v>0.373</v>
      </c>
      <c r="AU83" s="11">
        <v>0.54500000000000004</v>
      </c>
      <c r="AV83" s="11">
        <v>2.073</v>
      </c>
      <c r="AW83" s="11">
        <v>0.59799999999999998</v>
      </c>
      <c r="AX83" s="9">
        <f>Tabelle1[[#This Row],[Vitamin D3 '[µg/100g']]]*40</f>
        <v>12</v>
      </c>
      <c r="AY83" s="9">
        <f>Tabelle1[[#This Row],[Vitamin A '[µg/100g']]]*3.33</f>
        <v>1811.52</v>
      </c>
      <c r="AZ83" s="9">
        <f>Tabelle1[[#This Row],[Vitamin E '[mg/100g']]]*1.49</f>
        <v>1.308071</v>
      </c>
    </row>
    <row r="84" spans="1:52" hidden="1" x14ac:dyDescent="0.45">
      <c r="A84" t="s">
        <v>58</v>
      </c>
      <c r="B84" s="3" t="s">
        <v>243</v>
      </c>
      <c r="C84" s="4" t="s">
        <v>244</v>
      </c>
      <c r="D84" s="11">
        <v>203</v>
      </c>
      <c r="E84" s="13">
        <f>Tabelle1[[#This Row],[Energie '[kcal/100g']]]/239</f>
        <v>0.84937238493723854</v>
      </c>
      <c r="F84" s="11">
        <v>27.010999999999999</v>
      </c>
      <c r="G84" s="13">
        <f>Tabelle1[[#This Row],[Rohprotein '[g/100g']]]*0.85</f>
        <v>22.959349999999997</v>
      </c>
      <c r="H84" s="11">
        <v>10.585000000000001</v>
      </c>
      <c r="I84" s="11">
        <f>Tabelle1[[#This Row],[TS]]-Tabelle1[[#This Row],[Rohprotein '[g/100g']]]-Tabelle1[[#This Row],[Rohfett '[g/100g']]]-Tabelle1[[#This Row],[Rohasche '[g/100g']]]-Tabelle1[[#This Row],[Rohfaser '[g/100g']]]</f>
        <v>5.9999999999997833E-2</v>
      </c>
      <c r="J84" s="11">
        <v>0</v>
      </c>
      <c r="K84" s="11">
        <v>1.2290000000000001</v>
      </c>
      <c r="L84" s="11">
        <v>61.115000000000002</v>
      </c>
      <c r="M84" s="11">
        <f>100-Tabelle1[[#This Row],[Wasser '[g/100g']]]</f>
        <v>38.884999999999998</v>
      </c>
      <c r="N84" s="11">
        <v>22.5</v>
      </c>
      <c r="O84" s="11">
        <v>259.8</v>
      </c>
      <c r="P84" s="11">
        <v>28.4</v>
      </c>
      <c r="Q84" s="11">
        <v>50</v>
      </c>
      <c r="R84" s="11">
        <v>367</v>
      </c>
      <c r="S84" s="11"/>
      <c r="T84" s="11">
        <v>3.99</v>
      </c>
      <c r="U84" s="11">
        <v>2.831</v>
      </c>
      <c r="V84" s="11">
        <v>0</v>
      </c>
      <c r="W84" s="11">
        <v>316</v>
      </c>
      <c r="X84" s="11">
        <v>77</v>
      </c>
      <c r="Y84" s="11">
        <v>0</v>
      </c>
      <c r="Z84" s="11"/>
      <c r="AA84" s="11">
        <v>0.2</v>
      </c>
      <c r="AB84" s="11">
        <v>0.52580000000000005</v>
      </c>
      <c r="AC84" s="11">
        <v>26</v>
      </c>
      <c r="AD84" s="11">
        <v>0.3</v>
      </c>
      <c r="AE84" s="11">
        <v>0.27700000000000002</v>
      </c>
      <c r="AF84" s="11">
        <v>4.3079999999999998</v>
      </c>
      <c r="AG84" s="11">
        <v>530</v>
      </c>
      <c r="AH84" s="11">
        <v>0.7</v>
      </c>
      <c r="AI84" s="11">
        <v>6.4</v>
      </c>
      <c r="AJ84" s="11">
        <v>3.4</v>
      </c>
      <c r="AK84" s="11">
        <v>21</v>
      </c>
      <c r="AL84" s="11">
        <v>0.9</v>
      </c>
      <c r="AM84" s="11">
        <v>0</v>
      </c>
      <c r="AN84" s="11">
        <v>0.105</v>
      </c>
      <c r="AO84" s="11">
        <v>0</v>
      </c>
      <c r="AP84" s="13">
        <v>0</v>
      </c>
      <c r="AQ84" s="11">
        <v>1.262</v>
      </c>
      <c r="AR84" s="11">
        <v>1.262</v>
      </c>
      <c r="AS84" s="11">
        <v>1.6419999999999999</v>
      </c>
      <c r="AT84" s="11">
        <v>0.41899999999999998</v>
      </c>
      <c r="AU84" s="11">
        <v>0.61199999999999999</v>
      </c>
      <c r="AV84" s="11">
        <v>2.3279999999999998</v>
      </c>
      <c r="AW84" s="11">
        <v>0.67200000000000004</v>
      </c>
      <c r="AX84" s="9">
        <f>Tabelle1[[#This Row],[Vitamin D3 '[µg/100g']]]*40</f>
        <v>8</v>
      </c>
      <c r="AY84" s="9">
        <f>Tabelle1[[#This Row],[Vitamin A '[µg/100g']]]*3.33</f>
        <v>86.58</v>
      </c>
      <c r="AZ84" s="9">
        <f>Tabelle1[[#This Row],[Vitamin E '[mg/100g']]]*1.49</f>
        <v>0.78344200000000008</v>
      </c>
    </row>
    <row r="85" spans="1:52" hidden="1" x14ac:dyDescent="0.45">
      <c r="A85" t="s">
        <v>58</v>
      </c>
      <c r="B85" s="5" t="s">
        <v>245</v>
      </c>
      <c r="C85" s="6" t="s">
        <v>246</v>
      </c>
      <c r="D85" s="13">
        <v>264</v>
      </c>
      <c r="E85" s="13">
        <f>Tabelle1[[#This Row],[Energie '[kcal/100g']]]/239</f>
        <v>1.104602510460251</v>
      </c>
      <c r="F85" s="13">
        <v>33.125999999999998</v>
      </c>
      <c r="G85" s="13">
        <f>Tabelle1[[#This Row],[Rohprotein '[g/100g']]]*0.85</f>
        <v>28.157099999999996</v>
      </c>
      <c r="H85" s="13">
        <v>14.603999999999999</v>
      </c>
      <c r="I85" s="11">
        <f>Tabelle1[[#This Row],[TS]]-Tabelle1[[#This Row],[Rohprotein '[g/100g']]]-Tabelle1[[#This Row],[Rohfett '[g/100g']]]-Tabelle1[[#This Row],[Rohasche '[g/100g']]]-Tabelle1[[#This Row],[Rohfaser '[g/100g']]]</f>
        <v>6.0000000000004938E-2</v>
      </c>
      <c r="J85" s="11">
        <v>0</v>
      </c>
      <c r="K85" s="13">
        <v>1.508</v>
      </c>
      <c r="L85" s="13">
        <v>50.701999999999998</v>
      </c>
      <c r="M85" s="13">
        <f>100-Tabelle1[[#This Row],[Wasser '[g/100g']]]</f>
        <v>49.298000000000002</v>
      </c>
      <c r="N85" s="13">
        <v>27.5</v>
      </c>
      <c r="O85" s="13">
        <v>318.7</v>
      </c>
      <c r="P85" s="13">
        <v>34.799999999999997</v>
      </c>
      <c r="Q85" s="13">
        <v>61</v>
      </c>
      <c r="R85" s="13">
        <v>450</v>
      </c>
      <c r="S85" s="13"/>
      <c r="T85" s="13">
        <v>4.8929999999999998</v>
      </c>
      <c r="U85" s="13">
        <v>3.472</v>
      </c>
      <c r="V85" s="11">
        <v>0</v>
      </c>
      <c r="W85" s="13">
        <v>388</v>
      </c>
      <c r="X85" s="13">
        <v>94</v>
      </c>
      <c r="Y85" s="11">
        <v>0</v>
      </c>
      <c r="Z85" s="11"/>
      <c r="AA85" s="13">
        <v>0.4</v>
      </c>
      <c r="AB85" s="13">
        <v>1.2092000000000001</v>
      </c>
      <c r="AC85" s="13">
        <v>26</v>
      </c>
      <c r="AD85" s="13">
        <v>0.39600000000000002</v>
      </c>
      <c r="AE85" s="13">
        <v>0.34</v>
      </c>
      <c r="AF85" s="13">
        <v>5.6130000000000004</v>
      </c>
      <c r="AG85" s="13">
        <v>650</v>
      </c>
      <c r="AH85" s="13">
        <v>0.98</v>
      </c>
      <c r="AI85" s="13">
        <v>7.8</v>
      </c>
      <c r="AJ85" s="13">
        <v>7.8</v>
      </c>
      <c r="AK85" s="13">
        <v>21</v>
      </c>
      <c r="AL85" s="13">
        <v>1.1100000000000001</v>
      </c>
      <c r="AM85" s="13">
        <v>0</v>
      </c>
      <c r="AN85" s="13">
        <v>0.14499999999999999</v>
      </c>
      <c r="AO85" s="13">
        <v>0</v>
      </c>
      <c r="AP85" s="13">
        <v>0</v>
      </c>
      <c r="AQ85" s="13">
        <v>1.7410000000000001</v>
      </c>
      <c r="AR85" s="13">
        <v>1.7410000000000001</v>
      </c>
      <c r="AS85" s="13">
        <v>2.0129999999999999</v>
      </c>
      <c r="AT85" s="13">
        <v>0.51400000000000001</v>
      </c>
      <c r="AU85" s="13">
        <v>0.75</v>
      </c>
      <c r="AV85" s="13">
        <v>2.855</v>
      </c>
      <c r="AW85" s="13">
        <v>0.82399999999999995</v>
      </c>
      <c r="AX85" s="9">
        <f>Tabelle1[[#This Row],[Vitamin D3 '[µg/100g']]]*40</f>
        <v>16</v>
      </c>
      <c r="AY85" s="9">
        <f>Tabelle1[[#This Row],[Vitamin A '[µg/100g']]]*3.33</f>
        <v>86.58</v>
      </c>
      <c r="AZ85" s="9">
        <f>Tabelle1[[#This Row],[Vitamin E '[mg/100g']]]*1.49</f>
        <v>1.8017080000000001</v>
      </c>
    </row>
    <row r="86" spans="1:52" hidden="1" x14ac:dyDescent="0.45">
      <c r="A86" t="s">
        <v>58</v>
      </c>
      <c r="B86" s="3" t="s">
        <v>247</v>
      </c>
      <c r="C86" s="4" t="s">
        <v>248</v>
      </c>
      <c r="D86" s="11">
        <v>204</v>
      </c>
      <c r="E86" s="13">
        <f>Tabelle1[[#This Row],[Energie '[kcal/100g']]]/239</f>
        <v>0.85355648535564854</v>
      </c>
      <c r="F86" s="11">
        <v>24.681999999999999</v>
      </c>
      <c r="G86" s="13">
        <f>Tabelle1[[#This Row],[Rohprotein '[g/100g']]]*0.85</f>
        <v>20.979699999999998</v>
      </c>
      <c r="H86" s="11">
        <v>11.727</v>
      </c>
      <c r="I86" s="11">
        <f>Tabelle1[[#This Row],[TS]]-Tabelle1[[#This Row],[Rohprotein '[g/100g']]]-Tabelle1[[#This Row],[Rohfett '[g/100g']]]-Tabelle1[[#This Row],[Rohasche '[g/100g']]]-Tabelle1[[#This Row],[Rohfaser '[g/100g']]]</f>
        <v>5.9999999999999165E-2</v>
      </c>
      <c r="J86" s="11">
        <v>0</v>
      </c>
      <c r="K86" s="11">
        <v>0.85499999999999998</v>
      </c>
      <c r="L86" s="11">
        <v>62.676000000000002</v>
      </c>
      <c r="M86" s="11">
        <f>100-Tabelle1[[#This Row],[Wasser '[g/100g']]]</f>
        <v>37.323999999999998</v>
      </c>
      <c r="N86" s="11">
        <v>18.8</v>
      </c>
      <c r="O86" s="11">
        <v>210.7</v>
      </c>
      <c r="P86" s="11">
        <v>23</v>
      </c>
      <c r="Q86" s="11">
        <v>23</v>
      </c>
      <c r="R86" s="11">
        <v>201</v>
      </c>
      <c r="S86" s="11"/>
      <c r="T86" s="11">
        <v>3.3090000000000002</v>
      </c>
      <c r="U86" s="11">
        <v>2.7879999999999998</v>
      </c>
      <c r="V86" s="11">
        <v>0</v>
      </c>
      <c r="W86" s="11">
        <v>183</v>
      </c>
      <c r="X86" s="11">
        <v>76</v>
      </c>
      <c r="Y86" s="11">
        <v>0</v>
      </c>
      <c r="Z86" s="11"/>
      <c r="AA86" s="11">
        <v>0.2</v>
      </c>
      <c r="AB86" s="11">
        <v>0.71209999999999996</v>
      </c>
      <c r="AC86" s="11">
        <v>24</v>
      </c>
      <c r="AD86" s="11">
        <v>0.182</v>
      </c>
      <c r="AE86" s="11">
        <v>0.28799999999999998</v>
      </c>
      <c r="AF86" s="11">
        <v>3.1819999999999999</v>
      </c>
      <c r="AG86" s="11">
        <v>480</v>
      </c>
      <c r="AH86" s="11">
        <v>0.49</v>
      </c>
      <c r="AI86" s="11">
        <v>6.3</v>
      </c>
      <c r="AJ86" s="11">
        <v>4.5999999999999996</v>
      </c>
      <c r="AK86" s="11">
        <v>33</v>
      </c>
      <c r="AL86" s="11">
        <v>0.89</v>
      </c>
      <c r="AM86" s="11">
        <v>0</v>
      </c>
      <c r="AN86" s="11">
        <v>0.11700000000000001</v>
      </c>
      <c r="AO86" s="11">
        <v>4.0000000000000001E-3</v>
      </c>
      <c r="AP86" s="11">
        <v>1.7999999999999999E-2</v>
      </c>
      <c r="AQ86" s="11">
        <v>1.3979999999999999</v>
      </c>
      <c r="AR86" s="11">
        <v>1.3979999999999999</v>
      </c>
      <c r="AS86" s="11">
        <v>1.5</v>
      </c>
      <c r="AT86" s="11">
        <v>0.38300000000000001</v>
      </c>
      <c r="AU86" s="11">
        <v>0.55900000000000005</v>
      </c>
      <c r="AV86" s="11">
        <v>2.1269999999999998</v>
      </c>
      <c r="AW86" s="11">
        <v>0.61399999999999999</v>
      </c>
      <c r="AX86" s="9">
        <f>Tabelle1[[#This Row],[Vitamin D3 '[µg/100g']]]*40</f>
        <v>8</v>
      </c>
      <c r="AY86" s="9">
        <f>Tabelle1[[#This Row],[Vitamin A '[µg/100g']]]*3.33</f>
        <v>79.92</v>
      </c>
      <c r="AZ86" s="9">
        <f>Tabelle1[[#This Row],[Vitamin E '[mg/100g']]]*1.49</f>
        <v>1.061029</v>
      </c>
    </row>
    <row r="87" spans="1:52" hidden="1" x14ac:dyDescent="0.45">
      <c r="A87" t="s">
        <v>58</v>
      </c>
      <c r="B87" s="3" t="s">
        <v>249</v>
      </c>
      <c r="C87" s="4" t="s">
        <v>250</v>
      </c>
      <c r="D87" s="11">
        <v>213</v>
      </c>
      <c r="E87" s="13">
        <f>Tabelle1[[#This Row],[Energie '[kcal/100g']]]/239</f>
        <v>0.89121338912133896</v>
      </c>
      <c r="F87" s="11">
        <v>26.018999999999998</v>
      </c>
      <c r="G87" s="13">
        <f>Tabelle1[[#This Row],[Rohprotein '[g/100g']]]*0.85</f>
        <v>22.116149999999998</v>
      </c>
      <c r="H87" s="11">
        <v>12.093999999999999</v>
      </c>
      <c r="I87" s="11">
        <f>Tabelle1[[#This Row],[TS]]-Tabelle1[[#This Row],[Rohprotein '[g/100g']]]-Tabelle1[[#This Row],[Rohfett '[g/100g']]]-Tabelle1[[#This Row],[Rohasche '[g/100g']]]-Tabelle1[[#This Row],[Rohfaser '[g/100g']]]</f>
        <v>6.0000000000002718E-2</v>
      </c>
      <c r="J87" s="11">
        <v>0</v>
      </c>
      <c r="K87" s="11">
        <v>1.028</v>
      </c>
      <c r="L87" s="11">
        <v>60.798999999999999</v>
      </c>
      <c r="M87" s="11">
        <f>100-Tabelle1[[#This Row],[Wasser '[g/100g']]]</f>
        <v>39.201000000000001</v>
      </c>
      <c r="N87" s="11">
        <v>19.399999999999999</v>
      </c>
      <c r="O87" s="11">
        <v>217.3</v>
      </c>
      <c r="P87" s="11">
        <v>23.7</v>
      </c>
      <c r="Q87" s="11">
        <v>24</v>
      </c>
      <c r="R87" s="11">
        <v>207</v>
      </c>
      <c r="S87" s="11"/>
      <c r="T87" s="11">
        <v>3.4119999999999999</v>
      </c>
      <c r="U87" s="11">
        <v>2.875</v>
      </c>
      <c r="V87" s="11">
        <v>0</v>
      </c>
      <c r="W87" s="11">
        <v>189</v>
      </c>
      <c r="X87" s="11">
        <v>78</v>
      </c>
      <c r="Y87" s="11">
        <v>0</v>
      </c>
      <c r="Z87" s="11"/>
      <c r="AA87" s="11">
        <v>0.3</v>
      </c>
      <c r="AB87" s="11">
        <v>0.73429999999999995</v>
      </c>
      <c r="AC87" s="11">
        <v>16.2</v>
      </c>
      <c r="AD87" s="11">
        <v>0.188</v>
      </c>
      <c r="AE87" s="11">
        <v>0.29699999999999999</v>
      </c>
      <c r="AF87" s="11">
        <v>3.2810000000000001</v>
      </c>
      <c r="AG87" s="11">
        <v>500</v>
      </c>
      <c r="AH87" s="11">
        <v>0.51</v>
      </c>
      <c r="AI87" s="11">
        <v>6.2</v>
      </c>
      <c r="AJ87" s="11">
        <v>4.7</v>
      </c>
      <c r="AK87" s="11">
        <v>7.3</v>
      </c>
      <c r="AL87" s="11">
        <v>0.92</v>
      </c>
      <c r="AM87" s="11">
        <v>0</v>
      </c>
      <c r="AN87" s="11">
        <v>0.12</v>
      </c>
      <c r="AO87" s="11">
        <v>0</v>
      </c>
      <c r="AP87" s="11">
        <v>0</v>
      </c>
      <c r="AQ87" s="11">
        <v>1.4410000000000001</v>
      </c>
      <c r="AR87" s="11">
        <v>1.4410000000000001</v>
      </c>
      <c r="AS87" s="11">
        <v>1.581</v>
      </c>
      <c r="AT87" s="11">
        <v>0.40400000000000003</v>
      </c>
      <c r="AU87" s="11">
        <v>0.58899999999999997</v>
      </c>
      <c r="AV87" s="11">
        <v>2.242</v>
      </c>
      <c r="AW87" s="11">
        <v>0.64700000000000002</v>
      </c>
      <c r="AX87" s="9">
        <f>Tabelle1[[#This Row],[Vitamin D3 '[µg/100g']]]*40</f>
        <v>12</v>
      </c>
      <c r="AY87" s="9">
        <f>Tabelle1[[#This Row],[Vitamin A '[µg/100g']]]*3.33</f>
        <v>53.945999999999998</v>
      </c>
      <c r="AZ87" s="9">
        <f>Tabelle1[[#This Row],[Vitamin E '[mg/100g']]]*1.49</f>
        <v>1.0941069999999999</v>
      </c>
    </row>
    <row r="88" spans="1:52" hidden="1" x14ac:dyDescent="0.45">
      <c r="A88" t="s">
        <v>58</v>
      </c>
      <c r="B88" s="3" t="s">
        <v>251</v>
      </c>
      <c r="C88" s="4" t="s">
        <v>252</v>
      </c>
      <c r="D88" s="11">
        <v>227</v>
      </c>
      <c r="E88" s="13">
        <f>Tabelle1[[#This Row],[Energie '[kcal/100g']]]/239</f>
        <v>0.94979079497907948</v>
      </c>
      <c r="F88" s="11">
        <v>18.100000000000001</v>
      </c>
      <c r="G88" s="13">
        <f>Tabelle1[[#This Row],[Rohprotein '[g/100g']]]*0.85</f>
        <v>15.385000000000002</v>
      </c>
      <c r="H88" s="11">
        <v>17.2</v>
      </c>
      <c r="I88" s="11">
        <f>Tabelle1[[#This Row],[TS]]-Tabelle1[[#This Row],[Rohprotein '[g/100g']]]-Tabelle1[[#This Row],[Rohfett '[g/100g']]]-Tabelle1[[#This Row],[Rohasche '[g/100g']]]-Tabelle1[[#This Row],[Rohfaser '[g/100g']]]</f>
        <v>5.9999999999996501E-2</v>
      </c>
      <c r="J88" s="11">
        <v>0</v>
      </c>
      <c r="K88" s="11">
        <v>0.94</v>
      </c>
      <c r="L88" s="11">
        <v>63.7</v>
      </c>
      <c r="M88" s="11">
        <f>100-Tabelle1[[#This Row],[Wasser '[g/100g']]]</f>
        <v>36.299999999999997</v>
      </c>
      <c r="N88" s="11">
        <v>14.6</v>
      </c>
      <c r="O88" s="11">
        <v>198.7</v>
      </c>
      <c r="P88" s="11">
        <v>21.7</v>
      </c>
      <c r="Q88" s="11">
        <v>38</v>
      </c>
      <c r="R88" s="11">
        <v>265</v>
      </c>
      <c r="S88" s="11"/>
      <c r="T88" s="11">
        <v>2.73</v>
      </c>
      <c r="U88" s="11">
        <v>1.84</v>
      </c>
      <c r="V88" s="11">
        <v>0</v>
      </c>
      <c r="W88" s="11">
        <v>242</v>
      </c>
      <c r="X88" s="11">
        <v>50</v>
      </c>
      <c r="Y88" s="11">
        <v>0</v>
      </c>
      <c r="Z88" s="11"/>
      <c r="AA88" s="11">
        <v>0.3</v>
      </c>
      <c r="AB88" s="11">
        <v>0.85450000000000004</v>
      </c>
      <c r="AC88" s="11">
        <v>12</v>
      </c>
      <c r="AD88" s="11">
        <v>0.3</v>
      </c>
      <c r="AE88" s="11">
        <v>0.2</v>
      </c>
      <c r="AF88" s="11">
        <v>3.5</v>
      </c>
      <c r="AG88" s="11">
        <v>530</v>
      </c>
      <c r="AH88" s="11">
        <v>0.65</v>
      </c>
      <c r="AI88" s="11">
        <v>5.2</v>
      </c>
      <c r="AJ88" s="11">
        <v>5.5</v>
      </c>
      <c r="AK88" s="11">
        <v>31</v>
      </c>
      <c r="AL88" s="11">
        <v>0.84</v>
      </c>
      <c r="AM88" s="11">
        <v>0</v>
      </c>
      <c r="AN88" s="11">
        <v>0.17100000000000001</v>
      </c>
      <c r="AO88" s="11">
        <v>0</v>
      </c>
      <c r="AP88" s="11">
        <v>0</v>
      </c>
      <c r="AQ88" s="11">
        <v>2.0499999999999998</v>
      </c>
      <c r="AR88" s="11">
        <v>2.0499999999999998</v>
      </c>
      <c r="AS88" s="11">
        <v>1.1000000000000001</v>
      </c>
      <c r="AT88" s="11">
        <v>0.28100000000000003</v>
      </c>
      <c r="AU88" s="11">
        <v>0.41</v>
      </c>
      <c r="AV88" s="11">
        <v>1.56</v>
      </c>
      <c r="AW88" s="11">
        <v>0.45</v>
      </c>
      <c r="AX88" s="9">
        <f>Tabelle1[[#This Row],[Vitamin D3 '[µg/100g']]]*40</f>
        <v>12</v>
      </c>
      <c r="AY88" s="9">
        <f>Tabelle1[[#This Row],[Vitamin A '[µg/100g']]]*3.33</f>
        <v>39.96</v>
      </c>
      <c r="AZ88" s="9">
        <f>Tabelle1[[#This Row],[Vitamin E '[mg/100g']]]*1.49</f>
        <v>1.2732050000000001</v>
      </c>
    </row>
    <row r="89" spans="1:52" hidden="1" x14ac:dyDescent="0.45">
      <c r="A89" t="s">
        <v>58</v>
      </c>
      <c r="B89" s="5" t="s">
        <v>253</v>
      </c>
      <c r="C89" s="6" t="s">
        <v>254</v>
      </c>
      <c r="D89" s="13">
        <v>144</v>
      </c>
      <c r="E89" s="13">
        <f>Tabelle1[[#This Row],[Energie '[kcal/100g']]]/239</f>
        <v>0.60251046025104604</v>
      </c>
      <c r="F89" s="13">
        <v>28.8</v>
      </c>
      <c r="G89" s="13">
        <f>Tabelle1[[#This Row],[Rohprotein '[g/100g']]]*0.85</f>
        <v>24.48</v>
      </c>
      <c r="H89" s="13">
        <v>3.2</v>
      </c>
      <c r="I89" s="11">
        <f>Tabelle1[[#This Row],[TS]]-Tabelle1[[#This Row],[Rohprotein '[g/100g']]]-Tabelle1[[#This Row],[Rohfett '[g/100g']]]-Tabelle1[[#This Row],[Rohasche '[g/100g']]]-Tabelle1[[#This Row],[Rohfaser '[g/100g']]]</f>
        <v>0.49000000000000488</v>
      </c>
      <c r="J89" s="11">
        <v>0</v>
      </c>
      <c r="K89" s="13">
        <v>1.41</v>
      </c>
      <c r="L89" s="13">
        <v>66.099999999999994</v>
      </c>
      <c r="M89" s="13">
        <f>100-Tabelle1[[#This Row],[Wasser '[g/100g']]]</f>
        <v>33.900000000000006</v>
      </c>
      <c r="N89" s="13">
        <v>19</v>
      </c>
      <c r="O89" s="13">
        <v>268</v>
      </c>
      <c r="P89" s="13">
        <v>27</v>
      </c>
      <c r="Q89" s="13">
        <v>120</v>
      </c>
      <c r="R89" s="13">
        <v>402</v>
      </c>
      <c r="S89" s="13"/>
      <c r="T89" s="13">
        <v>3</v>
      </c>
      <c r="U89" s="13">
        <v>2.7</v>
      </c>
      <c r="V89" s="11">
        <v>0</v>
      </c>
      <c r="W89" s="13">
        <v>320</v>
      </c>
      <c r="X89" s="13">
        <v>30</v>
      </c>
      <c r="Y89" s="13">
        <v>1.4</v>
      </c>
      <c r="Z89" s="13"/>
      <c r="AA89" s="13">
        <v>0.34</v>
      </c>
      <c r="AB89" s="13">
        <v>0.2</v>
      </c>
      <c r="AC89" s="13">
        <v>4500</v>
      </c>
      <c r="AD89" s="13">
        <v>0.37</v>
      </c>
      <c r="AE89" s="13">
        <v>0.63</v>
      </c>
      <c r="AF89" s="13">
        <v>6.6</v>
      </c>
      <c r="AG89" s="13">
        <v>350</v>
      </c>
      <c r="AH89" s="13">
        <v>2</v>
      </c>
      <c r="AI89" s="13">
        <v>4.9000000000000004</v>
      </c>
      <c r="AJ89" s="13">
        <v>3.4</v>
      </c>
      <c r="AK89" s="13">
        <v>472</v>
      </c>
      <c r="AL89" s="13">
        <v>7</v>
      </c>
      <c r="AM89" s="13">
        <v>0</v>
      </c>
      <c r="AN89" s="13">
        <v>8.8999999999999996E-2</v>
      </c>
      <c r="AO89" s="13">
        <v>0</v>
      </c>
      <c r="AP89" s="13">
        <v>0</v>
      </c>
      <c r="AQ89" s="13">
        <v>0.39400000000000002</v>
      </c>
      <c r="AR89" s="13">
        <v>0.374</v>
      </c>
      <c r="AS89" s="13">
        <v>1.77</v>
      </c>
      <c r="AT89" s="13">
        <v>0.42599999999999999</v>
      </c>
      <c r="AU89" s="13">
        <v>0.73199999999999998</v>
      </c>
      <c r="AV89" s="13">
        <v>2.36</v>
      </c>
      <c r="AW89" s="13">
        <v>0.749</v>
      </c>
      <c r="AX89" s="9">
        <f>Tabelle1[[#This Row],[Vitamin D3 '[µg/100g']]]*40</f>
        <v>13.600000000000001</v>
      </c>
      <c r="AY89" s="9">
        <f>Tabelle1[[#This Row],[Vitamin A '[µg/100g']]]*3.33</f>
        <v>14985</v>
      </c>
      <c r="AZ89" s="9">
        <f>Tabelle1[[#This Row],[Vitamin E '[mg/100g']]]*1.49</f>
        <v>0.29799999999999999</v>
      </c>
    </row>
    <row r="90" spans="1:52" hidden="1" x14ac:dyDescent="0.45">
      <c r="A90" t="s">
        <v>58</v>
      </c>
      <c r="B90" s="5" t="s">
        <v>255</v>
      </c>
      <c r="C90" s="6" t="s">
        <v>256</v>
      </c>
      <c r="D90" s="13">
        <v>178</v>
      </c>
      <c r="E90" s="13">
        <f>Tabelle1[[#This Row],[Energie '[kcal/100g']]]/239</f>
        <v>0.74476987447698739</v>
      </c>
      <c r="F90" s="13">
        <v>34.799999999999997</v>
      </c>
      <c r="G90" s="13">
        <f>Tabelle1[[#This Row],[Rohprotein '[g/100g']]]*0.85</f>
        <v>29.58</v>
      </c>
      <c r="H90" s="13">
        <v>4.3</v>
      </c>
      <c r="I90" s="11">
        <f>Tabelle1[[#This Row],[TS]]-Tabelle1[[#This Row],[Rohprotein '[g/100g']]]-Tabelle1[[#This Row],[Rohfett '[g/100g']]]-Tabelle1[[#This Row],[Rohasche '[g/100g']]]-Tabelle1[[#This Row],[Rohfaser '[g/100g']]]</f>
        <v>0.50000000000000022</v>
      </c>
      <c r="J90" s="11">
        <v>0</v>
      </c>
      <c r="K90" s="13">
        <v>1.7</v>
      </c>
      <c r="L90" s="13">
        <v>58.7</v>
      </c>
      <c r="M90" s="13">
        <f>100-Tabelle1[[#This Row],[Wasser '[g/100g']]]</f>
        <v>41.3</v>
      </c>
      <c r="N90" s="13">
        <v>23</v>
      </c>
      <c r="O90" s="13">
        <v>324</v>
      </c>
      <c r="P90" s="13">
        <v>32</v>
      </c>
      <c r="Q90" s="13">
        <v>144</v>
      </c>
      <c r="R90" s="13">
        <v>486</v>
      </c>
      <c r="S90" s="13"/>
      <c r="T90" s="13">
        <v>3.6</v>
      </c>
      <c r="U90" s="13">
        <v>3.2</v>
      </c>
      <c r="V90" s="11">
        <v>0</v>
      </c>
      <c r="W90" s="13">
        <v>380</v>
      </c>
      <c r="X90" s="13">
        <v>36</v>
      </c>
      <c r="Y90" s="13">
        <v>1.7</v>
      </c>
      <c r="Z90" s="13"/>
      <c r="AA90" s="13">
        <v>0.78</v>
      </c>
      <c r="AB90" s="13">
        <v>0.6</v>
      </c>
      <c r="AC90" s="13">
        <v>74</v>
      </c>
      <c r="AD90" s="13">
        <v>0.48</v>
      </c>
      <c r="AE90" s="13">
        <v>0.76</v>
      </c>
      <c r="AF90" s="13">
        <v>8.5</v>
      </c>
      <c r="AG90" s="13">
        <v>420</v>
      </c>
      <c r="AH90" s="13">
        <v>3</v>
      </c>
      <c r="AI90" s="13">
        <v>5.9</v>
      </c>
      <c r="AJ90" s="13">
        <v>7.8</v>
      </c>
      <c r="AK90" s="13">
        <v>21</v>
      </c>
      <c r="AL90" s="13">
        <v>8</v>
      </c>
      <c r="AM90" s="13">
        <v>0</v>
      </c>
      <c r="AN90" s="13">
        <v>0.121</v>
      </c>
      <c r="AO90" s="13">
        <v>0</v>
      </c>
      <c r="AP90" s="13">
        <v>0.02</v>
      </c>
      <c r="AQ90" s="13">
        <v>0.53700000000000003</v>
      </c>
      <c r="AR90" s="13">
        <v>0.50900000000000001</v>
      </c>
      <c r="AS90" s="13">
        <v>2.14</v>
      </c>
      <c r="AT90" s="13">
        <v>0.51400000000000001</v>
      </c>
      <c r="AU90" s="13">
        <v>0.88400000000000001</v>
      </c>
      <c r="AV90" s="13">
        <v>2.86</v>
      </c>
      <c r="AW90" s="13">
        <v>0.90400000000000003</v>
      </c>
      <c r="AX90" s="9">
        <f>Tabelle1[[#This Row],[Vitamin D3 '[µg/100g']]]*40</f>
        <v>31.200000000000003</v>
      </c>
      <c r="AY90" s="9">
        <f>Tabelle1[[#This Row],[Vitamin A '[µg/100g']]]*3.33</f>
        <v>246.42000000000002</v>
      </c>
      <c r="AZ90" s="9">
        <f>Tabelle1[[#This Row],[Vitamin E '[mg/100g']]]*1.49</f>
        <v>0.89400000000000002</v>
      </c>
    </row>
    <row r="91" spans="1:52" hidden="1" x14ac:dyDescent="0.45">
      <c r="A91" t="s">
        <v>58</v>
      </c>
      <c r="B91" s="3" t="s">
        <v>257</v>
      </c>
      <c r="C91" s="4" t="s">
        <v>258</v>
      </c>
      <c r="D91" s="11">
        <v>135</v>
      </c>
      <c r="E91" s="13">
        <f>Tabelle1[[#This Row],[Energie '[kcal/100g']]]/239</f>
        <v>0.56485355648535562</v>
      </c>
      <c r="F91" s="11">
        <v>25.9</v>
      </c>
      <c r="G91" s="13">
        <f>Tabelle1[[#This Row],[Rohprotein '[g/100g']]]*0.85</f>
        <v>22.014999999999997</v>
      </c>
      <c r="H91" s="11">
        <v>3.5</v>
      </c>
      <c r="I91" s="11">
        <f>Tabelle1[[#This Row],[TS]]-Tabelle1[[#This Row],[Rohprotein '[g/100g']]]-Tabelle1[[#This Row],[Rohfett '[g/100g']]]-Tabelle1[[#This Row],[Rohasche '[g/100g']]]-Tabelle1[[#This Row],[Rohfaser '[g/100g']]]</f>
        <v>0.54000000000000714</v>
      </c>
      <c r="J91" s="11">
        <v>0</v>
      </c>
      <c r="K91" s="11">
        <v>0.96</v>
      </c>
      <c r="L91" s="11">
        <v>69.099999999999994</v>
      </c>
      <c r="M91" s="11">
        <f>100-Tabelle1[[#This Row],[Wasser '[g/100g']]]</f>
        <v>30.900000000000006</v>
      </c>
      <c r="N91" s="11">
        <v>15</v>
      </c>
      <c r="O91" s="11">
        <v>214</v>
      </c>
      <c r="P91" s="11">
        <v>21</v>
      </c>
      <c r="Q91" s="11">
        <v>55</v>
      </c>
      <c r="R91" s="11">
        <v>217</v>
      </c>
      <c r="S91" s="11"/>
      <c r="T91" s="11">
        <v>2.4</v>
      </c>
      <c r="U91" s="11">
        <v>2.6</v>
      </c>
      <c r="V91" s="11">
        <v>0</v>
      </c>
      <c r="W91" s="11">
        <v>180</v>
      </c>
      <c r="X91" s="11">
        <v>29</v>
      </c>
      <c r="Y91" s="11">
        <v>1</v>
      </c>
      <c r="Z91" s="11"/>
      <c r="AA91" s="11">
        <v>0.46</v>
      </c>
      <c r="AB91" s="11">
        <v>0.3</v>
      </c>
      <c r="AC91" s="11">
        <v>15882</v>
      </c>
      <c r="AD91" s="11">
        <v>0.22</v>
      </c>
      <c r="AE91" s="11">
        <v>0.65</v>
      </c>
      <c r="AF91" s="11">
        <v>4.8</v>
      </c>
      <c r="AG91" s="11">
        <v>310</v>
      </c>
      <c r="AH91" s="11">
        <v>2</v>
      </c>
      <c r="AI91" s="11">
        <v>4.7</v>
      </c>
      <c r="AJ91" s="11">
        <v>4.5999999999999996</v>
      </c>
      <c r="AK91" s="11">
        <v>922</v>
      </c>
      <c r="AL91" s="11">
        <v>6</v>
      </c>
      <c r="AM91" s="11">
        <v>0</v>
      </c>
      <c r="AN91" s="11">
        <v>9.8000000000000004E-2</v>
      </c>
      <c r="AO91" s="11">
        <v>0</v>
      </c>
      <c r="AP91" s="11">
        <v>0</v>
      </c>
      <c r="AQ91" s="11">
        <v>0.43099999999999999</v>
      </c>
      <c r="AR91" s="11">
        <v>0.40799999999999997</v>
      </c>
      <c r="AS91" s="11">
        <v>1.6</v>
      </c>
      <c r="AT91" s="11">
        <v>0.38300000000000001</v>
      </c>
      <c r="AU91" s="11">
        <v>0.65900000000000003</v>
      </c>
      <c r="AV91" s="11">
        <v>2.13</v>
      </c>
      <c r="AW91" s="11">
        <v>0.67400000000000004</v>
      </c>
      <c r="AX91" s="9">
        <f>Tabelle1[[#This Row],[Vitamin D3 '[µg/100g']]]*40</f>
        <v>18.400000000000002</v>
      </c>
      <c r="AY91" s="9">
        <f>Tabelle1[[#This Row],[Vitamin A '[µg/100g']]]*3.33</f>
        <v>52887.06</v>
      </c>
      <c r="AZ91" s="9">
        <f>Tabelle1[[#This Row],[Vitamin E '[mg/100g']]]*1.49</f>
        <v>0.44700000000000001</v>
      </c>
    </row>
    <row r="92" spans="1:52" hidden="1" x14ac:dyDescent="0.45">
      <c r="A92" t="s">
        <v>58</v>
      </c>
      <c r="B92" s="3" t="s">
        <v>259</v>
      </c>
      <c r="C92" s="4" t="s">
        <v>260</v>
      </c>
      <c r="D92" s="11">
        <v>142</v>
      </c>
      <c r="E92" s="13">
        <f>Tabelle1[[#This Row],[Energie '[kcal/100g']]]/239</f>
        <v>0.59414225941422594</v>
      </c>
      <c r="F92" s="11">
        <v>27.3</v>
      </c>
      <c r="G92" s="13">
        <f>Tabelle1[[#This Row],[Rohprotein '[g/100g']]]*0.85</f>
        <v>23.204999999999998</v>
      </c>
      <c r="H92" s="11">
        <v>3.6</v>
      </c>
      <c r="I92" s="11">
        <f>Tabelle1[[#This Row],[TS]]-Tabelle1[[#This Row],[Rohprotein '[g/100g']]]-Tabelle1[[#This Row],[Rohfett '[g/100g']]]-Tabelle1[[#This Row],[Rohasche '[g/100g']]]-Tabelle1[[#This Row],[Rohfaser '[g/100g']]]</f>
        <v>0.5399999999999936</v>
      </c>
      <c r="J92" s="11">
        <v>0</v>
      </c>
      <c r="K92" s="11">
        <v>1.1599999999999999</v>
      </c>
      <c r="L92" s="11">
        <v>67.400000000000006</v>
      </c>
      <c r="M92" s="11">
        <f>100-Tabelle1[[#This Row],[Wasser '[g/100g']]]</f>
        <v>32.599999999999994</v>
      </c>
      <c r="N92" s="11">
        <v>16</v>
      </c>
      <c r="O92" s="11">
        <v>221</v>
      </c>
      <c r="P92" s="11">
        <v>22</v>
      </c>
      <c r="Q92" s="11">
        <v>56</v>
      </c>
      <c r="R92" s="11">
        <v>223</v>
      </c>
      <c r="S92" s="11"/>
      <c r="T92" s="11">
        <v>2.5</v>
      </c>
      <c r="U92" s="11">
        <v>2.7</v>
      </c>
      <c r="V92" s="11">
        <v>0</v>
      </c>
      <c r="W92" s="11">
        <v>190</v>
      </c>
      <c r="X92" s="11">
        <v>30</v>
      </c>
      <c r="Y92" s="11">
        <v>1.1000000000000001</v>
      </c>
      <c r="Z92" s="11"/>
      <c r="AA92" s="11">
        <v>0.47</v>
      </c>
      <c r="AB92" s="11">
        <v>0.3</v>
      </c>
      <c r="AC92" s="11">
        <v>3150</v>
      </c>
      <c r="AD92" s="11">
        <v>0.22</v>
      </c>
      <c r="AE92" s="11">
        <v>0.67</v>
      </c>
      <c r="AF92" s="11">
        <v>5</v>
      </c>
      <c r="AG92" s="11">
        <v>320</v>
      </c>
      <c r="AH92" s="11">
        <v>2</v>
      </c>
      <c r="AI92" s="11">
        <v>4.5999999999999996</v>
      </c>
      <c r="AJ92" s="11">
        <v>4.7</v>
      </c>
      <c r="AK92" s="11">
        <v>350</v>
      </c>
      <c r="AL92" s="11">
        <v>7</v>
      </c>
      <c r="AM92" s="11">
        <v>0</v>
      </c>
      <c r="AN92" s="11">
        <v>0.10100000000000001</v>
      </c>
      <c r="AO92" s="11">
        <v>0</v>
      </c>
      <c r="AP92" s="11">
        <v>0</v>
      </c>
      <c r="AQ92" s="11">
        <v>0.44400000000000001</v>
      </c>
      <c r="AR92" s="11">
        <v>0.42099999999999999</v>
      </c>
      <c r="AS92" s="11">
        <v>1.68</v>
      </c>
      <c r="AT92" s="11">
        <v>0.40400000000000003</v>
      </c>
      <c r="AU92" s="11">
        <v>0.69399999999999995</v>
      </c>
      <c r="AV92" s="11">
        <v>2.2400000000000002</v>
      </c>
      <c r="AW92" s="11">
        <v>0.71</v>
      </c>
      <c r="AX92" s="9">
        <f>Tabelle1[[#This Row],[Vitamin D3 '[µg/100g']]]*40</f>
        <v>18.799999999999997</v>
      </c>
      <c r="AY92" s="9">
        <f>Tabelle1[[#This Row],[Vitamin A '[µg/100g']]]*3.33</f>
        <v>10489.5</v>
      </c>
      <c r="AZ92" s="9">
        <f>Tabelle1[[#This Row],[Vitamin E '[mg/100g']]]*1.49</f>
        <v>0.44700000000000001</v>
      </c>
    </row>
    <row r="93" spans="1:52" hidden="1" x14ac:dyDescent="0.45">
      <c r="A93" t="s">
        <v>58</v>
      </c>
      <c r="B93" s="5" t="s">
        <v>261</v>
      </c>
      <c r="C93" s="6" t="s">
        <v>262</v>
      </c>
      <c r="D93" s="13">
        <v>122</v>
      </c>
      <c r="E93" s="13">
        <f>Tabelle1[[#This Row],[Energie '[kcal/100g']]]/239</f>
        <v>0.5104602510460251</v>
      </c>
      <c r="F93" s="13">
        <v>19</v>
      </c>
      <c r="G93" s="13">
        <f>Tabelle1[[#This Row],[Rohprotein '[g/100g']]]*0.85</f>
        <v>16.149999999999999</v>
      </c>
      <c r="H93" s="13">
        <v>5.0999999999999996</v>
      </c>
      <c r="I93" s="11">
        <f>Tabelle1[[#This Row],[TS]]-Tabelle1[[#This Row],[Rohprotein '[g/100g']]]-Tabelle1[[#This Row],[Rohfett '[g/100g']]]-Tabelle1[[#This Row],[Rohasche '[g/100g']]]-Tabelle1[[#This Row],[Rohfaser '[g/100g']]]</f>
        <v>0.54000000000000314</v>
      </c>
      <c r="J93" s="11">
        <v>0</v>
      </c>
      <c r="K93" s="13">
        <v>1.06</v>
      </c>
      <c r="L93" s="13">
        <v>74.3</v>
      </c>
      <c r="M93" s="13">
        <f>100-Tabelle1[[#This Row],[Wasser '[g/100g']]]</f>
        <v>25.700000000000003</v>
      </c>
      <c r="N93" s="13">
        <v>12</v>
      </c>
      <c r="O93" s="13">
        <v>202</v>
      </c>
      <c r="P93" s="13">
        <v>20</v>
      </c>
      <c r="Q93" s="13">
        <v>90</v>
      </c>
      <c r="R93" s="13">
        <v>286</v>
      </c>
      <c r="S93" s="13"/>
      <c r="T93" s="13">
        <v>2</v>
      </c>
      <c r="U93" s="13">
        <v>1.7</v>
      </c>
      <c r="V93" s="11">
        <v>0</v>
      </c>
      <c r="W93" s="13">
        <v>240</v>
      </c>
      <c r="X93" s="13">
        <v>19</v>
      </c>
      <c r="Y93" s="13">
        <v>1.2</v>
      </c>
      <c r="Z93" s="13"/>
      <c r="AA93" s="13">
        <v>0.55000000000000004</v>
      </c>
      <c r="AB93" s="13">
        <v>0.4</v>
      </c>
      <c r="AC93" s="13">
        <v>65</v>
      </c>
      <c r="AD93" s="13">
        <v>0.36</v>
      </c>
      <c r="AE93" s="13">
        <v>0.45</v>
      </c>
      <c r="AF93" s="13">
        <v>5.3</v>
      </c>
      <c r="AG93" s="13">
        <v>340</v>
      </c>
      <c r="AH93" s="13">
        <v>2</v>
      </c>
      <c r="AI93" s="13">
        <v>3.9</v>
      </c>
      <c r="AJ93" s="13">
        <v>5.5</v>
      </c>
      <c r="AK93" s="13">
        <v>4</v>
      </c>
      <c r="AL93" s="13">
        <v>6</v>
      </c>
      <c r="AM93" s="13">
        <v>0</v>
      </c>
      <c r="AN93" s="13">
        <v>0.14299999999999999</v>
      </c>
      <c r="AO93" s="13">
        <v>0</v>
      </c>
      <c r="AP93" s="13">
        <v>0</v>
      </c>
      <c r="AQ93" s="13">
        <v>0.63200000000000001</v>
      </c>
      <c r="AR93" s="13">
        <v>0.59899999999999998</v>
      </c>
      <c r="AS93" s="13">
        <v>1.17</v>
      </c>
      <c r="AT93" s="13">
        <v>0.28100000000000003</v>
      </c>
      <c r="AU93" s="13">
        <v>0.48299999999999998</v>
      </c>
      <c r="AV93" s="13">
        <v>1.56</v>
      </c>
      <c r="AW93" s="13">
        <v>0.49399999999999999</v>
      </c>
      <c r="AX93" s="9">
        <f>Tabelle1[[#This Row],[Vitamin D3 '[µg/100g']]]*40</f>
        <v>22</v>
      </c>
      <c r="AY93" s="9">
        <f>Tabelle1[[#This Row],[Vitamin A '[µg/100g']]]*3.33</f>
        <v>216.45000000000002</v>
      </c>
      <c r="AZ93" s="9">
        <f>Tabelle1[[#This Row],[Vitamin E '[mg/100g']]]*1.49</f>
        <v>0.59599999999999997</v>
      </c>
    </row>
    <row r="94" spans="1:52" hidden="1" x14ac:dyDescent="0.45">
      <c r="A94" t="s">
        <v>1151</v>
      </c>
      <c r="B94" s="5" t="s">
        <v>1021</v>
      </c>
      <c r="C94" s="6" t="s">
        <v>1022</v>
      </c>
      <c r="D94" s="13">
        <v>173</v>
      </c>
      <c r="E94" s="11">
        <f>Tabelle1[[#This Row],[Energie '[kcal/100g']]]/239</f>
        <v>0.72384937238493718</v>
      </c>
      <c r="F94" s="13">
        <v>26.1</v>
      </c>
      <c r="G94" s="11">
        <f>Tabelle1[[#This Row],[Rohprotein '[g/100g']]]*0.85</f>
        <v>22.185000000000002</v>
      </c>
      <c r="H94" s="13">
        <v>6.82</v>
      </c>
      <c r="I94" s="11">
        <f>Tabelle1[[#This Row],[TS]]-Tabelle1[[#This Row],[Rohprotein '[g/100g']]]-Tabelle1[[#This Row],[Rohfett '[g/100g']]]-Tabelle1[[#This Row],[Rohasche '[g/100g']]]-Tabelle1[[#This Row],[Rohfaser '[g/100g']]]</f>
        <v>4.1199999999999983</v>
      </c>
      <c r="J94" s="11">
        <v>0</v>
      </c>
      <c r="K94" s="13">
        <v>1.46</v>
      </c>
      <c r="L94" s="13">
        <v>61.5</v>
      </c>
      <c r="M94" s="13">
        <f>100-Tabelle1[[#This Row],[Wasser '[g/100g']]]</f>
        <v>38.5</v>
      </c>
      <c r="N94" s="13">
        <v>16</v>
      </c>
      <c r="O94" s="13">
        <v>316</v>
      </c>
      <c r="P94" s="13">
        <v>28</v>
      </c>
      <c r="Q94" s="13">
        <v>135</v>
      </c>
      <c r="R94" s="13">
        <v>259</v>
      </c>
      <c r="S94" s="13"/>
      <c r="T94" s="13">
        <v>42.6</v>
      </c>
      <c r="U94" s="13">
        <v>3.84</v>
      </c>
      <c r="V94" s="11">
        <v>0</v>
      </c>
      <c r="W94" s="13">
        <v>7010</v>
      </c>
      <c r="X94" s="13">
        <v>379</v>
      </c>
      <c r="Y94" s="13">
        <v>0</v>
      </c>
      <c r="Z94" s="13"/>
      <c r="AA94" s="13">
        <v>0.95</v>
      </c>
      <c r="AB94" s="13">
        <v>2.4</v>
      </c>
      <c r="AC94" s="13">
        <v>2.6</v>
      </c>
      <c r="AD94" s="13">
        <v>0.70199999999999996</v>
      </c>
      <c r="AE94" s="13">
        <v>1.246</v>
      </c>
      <c r="AF94" s="13">
        <v>8.1</v>
      </c>
      <c r="AG94" s="13">
        <v>890</v>
      </c>
      <c r="AH94" s="13">
        <v>60</v>
      </c>
      <c r="AI94" s="13">
        <v>5</v>
      </c>
      <c r="AJ94" s="13">
        <v>48.9</v>
      </c>
      <c r="AK94" s="13">
        <v>0.89</v>
      </c>
      <c r="AL94" s="13">
        <v>77.760000000000005</v>
      </c>
      <c r="AM94" s="13">
        <v>0</v>
      </c>
      <c r="AN94" s="13">
        <v>0</v>
      </c>
      <c r="AO94" s="13">
        <v>0</v>
      </c>
      <c r="AP94" s="13">
        <v>0</v>
      </c>
      <c r="AQ94" s="11">
        <v>0</v>
      </c>
      <c r="AR94" s="11">
        <v>0</v>
      </c>
      <c r="AS94" s="13">
        <v>1.61</v>
      </c>
      <c r="AT94" s="13">
        <v>0.35199999999999998</v>
      </c>
      <c r="AU94" s="13">
        <v>0.69599999999999995</v>
      </c>
      <c r="AV94" s="13">
        <v>1.98</v>
      </c>
      <c r="AW94" s="13">
        <v>0.62</v>
      </c>
      <c r="AX94" s="9">
        <f>Tabelle1[[#This Row],[Vitamin D3 '[µg/100g']]]*40</f>
        <v>38</v>
      </c>
      <c r="AY94" s="9">
        <f>Tabelle1[[#This Row],[Vitamin A '[µg/100g']]]*3.33</f>
        <v>8.6580000000000013</v>
      </c>
      <c r="AZ94" s="9">
        <f>Tabelle1[[#This Row],[Vitamin E '[mg/100g']]]*1.49</f>
        <v>3.5760000000000001</v>
      </c>
    </row>
    <row r="95" spans="1:52" hidden="1" x14ac:dyDescent="0.45">
      <c r="A95" t="s">
        <v>1151</v>
      </c>
      <c r="B95" s="3" t="s">
        <v>1023</v>
      </c>
      <c r="C95" s="4" t="s">
        <v>1024</v>
      </c>
      <c r="D95" s="11">
        <v>121</v>
      </c>
      <c r="E95" s="11">
        <f>Tabelle1[[#This Row],[Energie '[kcal/100g']]]/239</f>
        <v>0.50627615062761511</v>
      </c>
      <c r="F95" s="11">
        <v>18.7</v>
      </c>
      <c r="G95" s="11">
        <f>Tabelle1[[#This Row],[Rohprotein '[g/100g']]]*0.85</f>
        <v>15.895</v>
      </c>
      <c r="H95" s="11">
        <v>4.6399999999999997</v>
      </c>
      <c r="I95" s="11">
        <f>Tabelle1[[#This Row],[TS]]-Tabelle1[[#This Row],[Rohprotein '[g/100g']]]-Tabelle1[[#This Row],[Rohfett '[g/100g']]]-Tabelle1[[#This Row],[Rohasche '[g/100g']]]-Tabelle1[[#This Row],[Rohfaser '[g/100g']]]</f>
        <v>3.5400000000000036</v>
      </c>
      <c r="J95" s="11">
        <v>0</v>
      </c>
      <c r="K95" s="11">
        <v>1.32</v>
      </c>
      <c r="L95" s="11">
        <v>71.8</v>
      </c>
      <c r="M95" s="11">
        <f>100-Tabelle1[[#This Row],[Wasser '[g/100g']]]</f>
        <v>28.200000000000003</v>
      </c>
      <c r="N95" s="11">
        <v>11</v>
      </c>
      <c r="O95" s="11">
        <v>269</v>
      </c>
      <c r="P95" s="11">
        <v>22</v>
      </c>
      <c r="Q95" s="11">
        <v>108</v>
      </c>
      <c r="R95" s="11">
        <v>235</v>
      </c>
      <c r="S95" s="11"/>
      <c r="T95" s="11">
        <v>30.5</v>
      </c>
      <c r="U95" s="11">
        <v>3.07</v>
      </c>
      <c r="V95" s="11">
        <v>0</v>
      </c>
      <c r="W95" s="11">
        <v>5960</v>
      </c>
      <c r="X95" s="11">
        <v>258</v>
      </c>
      <c r="Y95" s="13">
        <v>0</v>
      </c>
      <c r="Z95" s="13"/>
      <c r="AA95" s="11">
        <v>0.68</v>
      </c>
      <c r="AB95" s="11">
        <v>1.63</v>
      </c>
      <c r="AC95" s="11">
        <v>55</v>
      </c>
      <c r="AD95" s="11">
        <v>0.56200000000000006</v>
      </c>
      <c r="AE95" s="11">
        <v>0.89200000000000002</v>
      </c>
      <c r="AF95" s="11">
        <v>6.5</v>
      </c>
      <c r="AG95" s="11">
        <v>760</v>
      </c>
      <c r="AH95" s="11">
        <v>54</v>
      </c>
      <c r="AI95" s="11">
        <v>4.5</v>
      </c>
      <c r="AJ95" s="11">
        <v>33.200000000000003</v>
      </c>
      <c r="AK95" s="11">
        <v>11</v>
      </c>
      <c r="AL95" s="11">
        <v>62.21</v>
      </c>
      <c r="AM95" s="11">
        <v>0</v>
      </c>
      <c r="AN95" s="11">
        <v>0</v>
      </c>
      <c r="AO95" s="11">
        <v>7.5999999999999998E-2</v>
      </c>
      <c r="AP95" s="11">
        <v>9.6000000000000002E-2</v>
      </c>
      <c r="AQ95" s="11">
        <v>0</v>
      </c>
      <c r="AR95" s="11">
        <v>0</v>
      </c>
      <c r="AS95" s="11">
        <v>1.1499999999999999</v>
      </c>
      <c r="AT95" s="11">
        <v>0.252</v>
      </c>
      <c r="AU95" s="11">
        <v>0.498</v>
      </c>
      <c r="AV95" s="11">
        <v>1.42</v>
      </c>
      <c r="AW95" s="11">
        <v>0.44400000000000001</v>
      </c>
      <c r="AX95" s="9">
        <f>Tabelle1[[#This Row],[Vitamin D3 '[µg/100g']]]*40</f>
        <v>27.200000000000003</v>
      </c>
      <c r="AY95" s="9">
        <f>Tabelle1[[#This Row],[Vitamin A '[µg/100g']]]*3.33</f>
        <v>183.15</v>
      </c>
      <c r="AZ95" s="9">
        <f>Tabelle1[[#This Row],[Vitamin E '[mg/100g']]]*1.49</f>
        <v>2.4286999999999996</v>
      </c>
    </row>
    <row r="96" spans="1:52" hidden="1" x14ac:dyDescent="0.45">
      <c r="A96" t="s">
        <v>58</v>
      </c>
      <c r="B96" s="5" t="s">
        <v>263</v>
      </c>
      <c r="C96" s="6" t="s">
        <v>264</v>
      </c>
      <c r="D96" s="13">
        <v>194</v>
      </c>
      <c r="E96" s="13">
        <f>Tabelle1[[#This Row],[Energie '[kcal/100g']]]/239</f>
        <v>0.81171548117154813</v>
      </c>
      <c r="F96" s="13">
        <v>26.02</v>
      </c>
      <c r="G96" s="13">
        <f>Tabelle1[[#This Row],[Rohprotein '[g/100g']]]*0.85</f>
        <v>22.116999999999997</v>
      </c>
      <c r="H96" s="13">
        <v>9.98</v>
      </c>
      <c r="I96" s="11">
        <f>Tabelle1[[#This Row],[TS]]-Tabelle1[[#This Row],[Rohprotein '[g/100g']]]-Tabelle1[[#This Row],[Rohfett '[g/100g']]]-Tabelle1[[#This Row],[Rohasche '[g/100g']]]-Tabelle1[[#This Row],[Rohfaser '[g/100g']]]</f>
        <v>-6.4099999999999948</v>
      </c>
      <c r="J96" s="11">
        <v>0</v>
      </c>
      <c r="K96" s="13">
        <v>1.31</v>
      </c>
      <c r="L96" s="13">
        <v>69.099999999999994</v>
      </c>
      <c r="M96" s="13">
        <f>100-Tabelle1[[#This Row],[Wasser '[g/100g']]]</f>
        <v>30.900000000000006</v>
      </c>
      <c r="N96" s="13">
        <v>8.1</v>
      </c>
      <c r="O96" s="13">
        <v>223.9</v>
      </c>
      <c r="P96" s="13">
        <v>27.4</v>
      </c>
      <c r="Q96" s="13">
        <v>137</v>
      </c>
      <c r="R96" s="13">
        <v>438.6</v>
      </c>
      <c r="S96" s="13"/>
      <c r="T96" s="13">
        <v>1.0005999999999999</v>
      </c>
      <c r="U96" s="13">
        <v>2.04</v>
      </c>
      <c r="V96" s="11">
        <v>0</v>
      </c>
      <c r="W96" s="13">
        <v>55.9</v>
      </c>
      <c r="X96" s="13">
        <v>18.899999999999999</v>
      </c>
      <c r="Y96" s="13">
        <v>0</v>
      </c>
      <c r="Z96" s="13"/>
      <c r="AA96" s="13">
        <v>0.22</v>
      </c>
      <c r="AB96" s="13">
        <v>0.4</v>
      </c>
      <c r="AC96" s="13">
        <v>15</v>
      </c>
      <c r="AD96" s="13">
        <v>0.16589000000000001</v>
      </c>
      <c r="AE96" s="13">
        <v>0.23955000000000001</v>
      </c>
      <c r="AF96" s="13">
        <v>11.5</v>
      </c>
      <c r="AG96" s="13">
        <v>249</v>
      </c>
      <c r="AH96" s="13">
        <v>0.15</v>
      </c>
      <c r="AI96" s="13">
        <v>0</v>
      </c>
      <c r="AJ96" s="13">
        <v>12.6</v>
      </c>
      <c r="AK96" s="13">
        <v>26</v>
      </c>
      <c r="AL96" s="13">
        <v>1.59</v>
      </c>
      <c r="AM96" s="13">
        <v>0</v>
      </c>
      <c r="AN96" s="13">
        <v>0.1</v>
      </c>
      <c r="AO96" s="13">
        <v>2E-3</v>
      </c>
      <c r="AP96" s="13">
        <v>1.0999999999999999E-2</v>
      </c>
      <c r="AQ96" s="13">
        <v>1.19</v>
      </c>
      <c r="AR96" s="13">
        <v>1.19</v>
      </c>
      <c r="AS96" s="13">
        <v>1.68</v>
      </c>
      <c r="AT96" s="13">
        <v>0.41</v>
      </c>
      <c r="AU96" s="13">
        <v>0.68</v>
      </c>
      <c r="AV96" s="13">
        <v>2.2000000000000002</v>
      </c>
      <c r="AW96" s="13">
        <v>0.7</v>
      </c>
      <c r="AX96" s="9">
        <f>Tabelle1[[#This Row],[Vitamin D3 '[µg/100g']]]*40</f>
        <v>8.8000000000000007</v>
      </c>
      <c r="AY96" s="9">
        <f>Tabelle1[[#This Row],[Vitamin A '[µg/100g']]]*3.33</f>
        <v>49.95</v>
      </c>
      <c r="AZ96" s="9">
        <f>Tabelle1[[#This Row],[Vitamin E '[mg/100g']]]*1.49</f>
        <v>0.59599999999999997</v>
      </c>
    </row>
    <row r="97" spans="1:52" hidden="1" x14ac:dyDescent="0.45">
      <c r="A97" t="s">
        <v>58</v>
      </c>
      <c r="B97" s="5" t="s">
        <v>265</v>
      </c>
      <c r="C97" s="6" t="s">
        <v>266</v>
      </c>
      <c r="D97" s="13">
        <v>199</v>
      </c>
      <c r="E97" s="13">
        <f>Tabelle1[[#This Row],[Energie '[kcal/100g']]]/239</f>
        <v>0.83263598326359833</v>
      </c>
      <c r="F97" s="13">
        <v>25.23</v>
      </c>
      <c r="G97" s="13">
        <f>Tabelle1[[#This Row],[Rohprotein '[g/100g']]]*0.85</f>
        <v>21.445499999999999</v>
      </c>
      <c r="H97" s="13">
        <v>10.88</v>
      </c>
      <c r="I97" s="11">
        <f>Tabelle1[[#This Row],[TS]]-Tabelle1[[#This Row],[Rohprotein '[g/100g']]]-Tabelle1[[#This Row],[Rohfett '[g/100g']]]-Tabelle1[[#This Row],[Rohasche '[g/100g']]]-Tabelle1[[#This Row],[Rohfaser '[g/100g']]]</f>
        <v>-6.3900000000000015</v>
      </c>
      <c r="J97" s="11">
        <v>0</v>
      </c>
      <c r="K97" s="13">
        <v>1.28</v>
      </c>
      <c r="L97" s="13">
        <v>69</v>
      </c>
      <c r="M97" s="13">
        <f>100-Tabelle1[[#This Row],[Wasser '[g/100g']]]</f>
        <v>31</v>
      </c>
      <c r="N97" s="13">
        <v>7.9</v>
      </c>
      <c r="O97" s="13">
        <v>217.1</v>
      </c>
      <c r="P97" s="13">
        <v>26.5</v>
      </c>
      <c r="Q97" s="13">
        <v>133</v>
      </c>
      <c r="R97" s="13">
        <v>425.3</v>
      </c>
      <c r="S97" s="13"/>
      <c r="T97" s="13">
        <v>0.97030000000000005</v>
      </c>
      <c r="U97" s="13">
        <v>1.9782</v>
      </c>
      <c r="V97" s="11">
        <v>0</v>
      </c>
      <c r="W97" s="13">
        <v>54.2</v>
      </c>
      <c r="X97" s="13">
        <v>18.3</v>
      </c>
      <c r="Y97" s="13">
        <v>0</v>
      </c>
      <c r="Z97" s="13"/>
      <c r="AA97" s="13">
        <v>0.4</v>
      </c>
      <c r="AB97" s="13">
        <v>0.73</v>
      </c>
      <c r="AC97" s="13">
        <v>16</v>
      </c>
      <c r="AD97" s="13">
        <v>0.17324000000000001</v>
      </c>
      <c r="AE97" s="13">
        <v>0.23230000000000001</v>
      </c>
      <c r="AF97" s="13">
        <v>11.8</v>
      </c>
      <c r="AG97" s="13">
        <v>241</v>
      </c>
      <c r="AH97" s="13">
        <v>0.17</v>
      </c>
      <c r="AI97" s="13">
        <v>0</v>
      </c>
      <c r="AJ97" s="13">
        <v>22.9</v>
      </c>
      <c r="AK97" s="13">
        <v>16</v>
      </c>
      <c r="AL97" s="13">
        <v>1.54</v>
      </c>
      <c r="AM97" s="13">
        <v>0</v>
      </c>
      <c r="AN97" s="13">
        <v>0.11</v>
      </c>
      <c r="AO97" s="13">
        <v>0</v>
      </c>
      <c r="AP97" s="13">
        <v>0</v>
      </c>
      <c r="AQ97" s="13">
        <v>1.3</v>
      </c>
      <c r="AR97" s="13">
        <v>1.3</v>
      </c>
      <c r="AS97" s="13">
        <v>1.63</v>
      </c>
      <c r="AT97" s="13">
        <v>0.4</v>
      </c>
      <c r="AU97" s="13">
        <v>0.66</v>
      </c>
      <c r="AV97" s="13">
        <v>2.13</v>
      </c>
      <c r="AW97" s="13">
        <v>0.68</v>
      </c>
      <c r="AX97" s="9">
        <f>Tabelle1[[#This Row],[Vitamin D3 '[µg/100g']]]*40</f>
        <v>16</v>
      </c>
      <c r="AY97" s="9">
        <f>Tabelle1[[#This Row],[Vitamin A '[µg/100g']]]*3.33</f>
        <v>53.28</v>
      </c>
      <c r="AZ97" s="9">
        <f>Tabelle1[[#This Row],[Vitamin E '[mg/100g']]]*1.49</f>
        <v>1.0876999999999999</v>
      </c>
    </row>
    <row r="98" spans="1:52" hidden="1" x14ac:dyDescent="0.45">
      <c r="A98" t="s">
        <v>58</v>
      </c>
      <c r="B98" s="3" t="s">
        <v>267</v>
      </c>
      <c r="C98" s="4" t="s">
        <v>268</v>
      </c>
      <c r="D98" s="11">
        <v>200</v>
      </c>
      <c r="E98" s="13">
        <f>Tabelle1[[#This Row],[Energie '[kcal/100g']]]/239</f>
        <v>0.83682008368200833</v>
      </c>
      <c r="F98" s="11">
        <v>24.68</v>
      </c>
      <c r="G98" s="13">
        <f>Tabelle1[[#This Row],[Rohprotein '[g/100g']]]*0.85</f>
        <v>20.977999999999998</v>
      </c>
      <c r="H98" s="11">
        <v>11.22</v>
      </c>
      <c r="I98" s="11">
        <f>Tabelle1[[#This Row],[TS]]-Tabelle1[[#This Row],[Rohprotein '[g/100g']]]-Tabelle1[[#This Row],[Rohfett '[g/100g']]]-Tabelle1[[#This Row],[Rohasche '[g/100g']]]-Tabelle1[[#This Row],[Rohfaser '[g/100g']]]</f>
        <v>-6.3800000000000061</v>
      </c>
      <c r="J98" s="11">
        <v>0</v>
      </c>
      <c r="K98" s="11">
        <v>1.08</v>
      </c>
      <c r="L98" s="11">
        <v>69.400000000000006</v>
      </c>
      <c r="M98" s="11">
        <f>100-Tabelle1[[#This Row],[Wasser '[g/100g']]]</f>
        <v>30.599999999999994</v>
      </c>
      <c r="N98" s="11">
        <v>6.9</v>
      </c>
      <c r="O98" s="11">
        <v>184.4</v>
      </c>
      <c r="P98" s="11">
        <v>22.5</v>
      </c>
      <c r="Q98" s="11">
        <v>64</v>
      </c>
      <c r="R98" s="11">
        <v>243.7</v>
      </c>
      <c r="S98" s="11"/>
      <c r="T98" s="11">
        <v>0.84260000000000002</v>
      </c>
      <c r="U98" s="11">
        <v>2.04</v>
      </c>
      <c r="V98" s="11">
        <v>0</v>
      </c>
      <c r="W98" s="11">
        <v>32.9</v>
      </c>
      <c r="X98" s="11">
        <v>18.899999999999999</v>
      </c>
      <c r="Y98" s="13">
        <v>0</v>
      </c>
      <c r="Z98" s="13"/>
      <c r="AA98" s="11">
        <v>0.3</v>
      </c>
      <c r="AB98" s="11">
        <v>0.55000000000000004</v>
      </c>
      <c r="AC98" s="11">
        <v>21</v>
      </c>
      <c r="AD98" s="11">
        <v>0.10209</v>
      </c>
      <c r="AE98" s="11">
        <v>0.25285999999999997</v>
      </c>
      <c r="AF98" s="11">
        <v>8.6</v>
      </c>
      <c r="AG98" s="11">
        <v>230</v>
      </c>
      <c r="AH98" s="11">
        <v>0.11</v>
      </c>
      <c r="AI98" s="11">
        <v>0</v>
      </c>
      <c r="AJ98" s="11">
        <v>17.399999999999999</v>
      </c>
      <c r="AK98" s="11">
        <v>26</v>
      </c>
      <c r="AL98" s="11">
        <v>1.59</v>
      </c>
      <c r="AM98" s="11">
        <v>0</v>
      </c>
      <c r="AN98" s="11">
        <v>0.11</v>
      </c>
      <c r="AO98" s="11">
        <v>3.0000000000000001E-3</v>
      </c>
      <c r="AP98" s="11">
        <v>1.2999999999999999E-2</v>
      </c>
      <c r="AQ98" s="11">
        <v>1.34</v>
      </c>
      <c r="AR98" s="11">
        <v>1.34</v>
      </c>
      <c r="AS98" s="11">
        <v>1.6</v>
      </c>
      <c r="AT98" s="11">
        <v>0.39</v>
      </c>
      <c r="AU98" s="11">
        <v>0.65</v>
      </c>
      <c r="AV98" s="11">
        <v>2.08</v>
      </c>
      <c r="AW98" s="11">
        <v>0.66</v>
      </c>
      <c r="AX98" s="9">
        <f>Tabelle1[[#This Row],[Vitamin D3 '[µg/100g']]]*40</f>
        <v>12</v>
      </c>
      <c r="AY98" s="9">
        <f>Tabelle1[[#This Row],[Vitamin A '[µg/100g']]]*3.33</f>
        <v>69.930000000000007</v>
      </c>
      <c r="AZ98" s="9">
        <f>Tabelle1[[#This Row],[Vitamin E '[mg/100g']]]*1.49</f>
        <v>0.81950000000000001</v>
      </c>
    </row>
    <row r="99" spans="1:52" hidden="1" x14ac:dyDescent="0.45">
      <c r="A99" t="s">
        <v>58</v>
      </c>
      <c r="B99" s="5" t="s">
        <v>269</v>
      </c>
      <c r="C99" s="6" t="s">
        <v>270</v>
      </c>
      <c r="D99" s="13">
        <v>212</v>
      </c>
      <c r="E99" s="13">
        <f>Tabelle1[[#This Row],[Energie '[kcal/100g']]]/239</f>
        <v>0.88702928870292885</v>
      </c>
      <c r="F99" s="13">
        <v>17.170000000000002</v>
      </c>
      <c r="G99" s="13">
        <f>Tabelle1[[#This Row],[Rohprotein '[g/100g']]]*0.85</f>
        <v>14.594500000000002</v>
      </c>
      <c r="H99" s="13">
        <v>15.96</v>
      </c>
      <c r="I99" s="11">
        <f>Tabelle1[[#This Row],[TS]]-Tabelle1[[#This Row],[Rohprotein '[g/100g']]]-Tabelle1[[#This Row],[Rohfett '[g/100g']]]-Tabelle1[[#This Row],[Rohasche '[g/100g']]]-Tabelle1[[#This Row],[Rohfaser '[g/100g']]]</f>
        <v>-6.42</v>
      </c>
      <c r="J99" s="11">
        <v>0</v>
      </c>
      <c r="K99" s="13">
        <v>0.99</v>
      </c>
      <c r="L99" s="13">
        <v>72.3</v>
      </c>
      <c r="M99" s="13">
        <f>100-Tabelle1[[#This Row],[Wasser '[g/100g']]]</f>
        <v>27.700000000000003</v>
      </c>
      <c r="N99" s="13">
        <v>5.2</v>
      </c>
      <c r="O99" s="13">
        <v>168.6</v>
      </c>
      <c r="P99" s="13">
        <v>20.6</v>
      </c>
      <c r="Q99" s="13">
        <v>103</v>
      </c>
      <c r="R99" s="13">
        <v>311.89999999999998</v>
      </c>
      <c r="S99" s="13"/>
      <c r="T99" s="13">
        <v>0.67410000000000003</v>
      </c>
      <c r="U99" s="13">
        <v>1.3056000000000001</v>
      </c>
      <c r="V99" s="11">
        <v>0</v>
      </c>
      <c r="W99" s="13">
        <v>42.1</v>
      </c>
      <c r="X99" s="13">
        <v>12.1</v>
      </c>
      <c r="Y99" s="13">
        <v>0</v>
      </c>
      <c r="Z99" s="13"/>
      <c r="AA99" s="13">
        <v>0.35</v>
      </c>
      <c r="AB99" s="13">
        <v>0.64</v>
      </c>
      <c r="AC99" s="13">
        <v>16.2</v>
      </c>
      <c r="AD99" s="13">
        <v>0.16334000000000001</v>
      </c>
      <c r="AE99" s="13">
        <v>0.17035</v>
      </c>
      <c r="AF99" s="13">
        <v>9.1999999999999993</v>
      </c>
      <c r="AG99" s="13">
        <v>245</v>
      </c>
      <c r="AH99" s="13">
        <v>0.14000000000000001</v>
      </c>
      <c r="AI99" s="13">
        <v>0</v>
      </c>
      <c r="AJ99" s="13">
        <v>20.2</v>
      </c>
      <c r="AK99" s="13">
        <v>7.3</v>
      </c>
      <c r="AL99" s="13">
        <v>1.45</v>
      </c>
      <c r="AM99" s="13">
        <v>0</v>
      </c>
      <c r="AN99" s="13">
        <v>0.16</v>
      </c>
      <c r="AO99" s="11">
        <v>3.0000000000000001E-3</v>
      </c>
      <c r="AP99" s="13">
        <v>0</v>
      </c>
      <c r="AQ99" s="13">
        <v>1.9</v>
      </c>
      <c r="AR99" s="13">
        <v>1.9</v>
      </c>
      <c r="AS99" s="13">
        <v>1.1100000000000001</v>
      </c>
      <c r="AT99" s="13">
        <v>0.27</v>
      </c>
      <c r="AU99" s="13">
        <v>0.45</v>
      </c>
      <c r="AV99" s="13">
        <v>1.45</v>
      </c>
      <c r="AW99" s="13">
        <v>0.46</v>
      </c>
      <c r="AX99" s="9">
        <f>Tabelle1[[#This Row],[Vitamin D3 '[µg/100g']]]*40</f>
        <v>14</v>
      </c>
      <c r="AY99" s="9">
        <f>Tabelle1[[#This Row],[Vitamin A '[µg/100g']]]*3.33</f>
        <v>53.945999999999998</v>
      </c>
      <c r="AZ99" s="9">
        <f>Tabelle1[[#This Row],[Vitamin E '[mg/100g']]]*1.49</f>
        <v>0.9536</v>
      </c>
    </row>
    <row r="100" spans="1:52" hidden="1" x14ac:dyDescent="0.45">
      <c r="A100" t="s">
        <v>694</v>
      </c>
      <c r="B100" s="3" t="s">
        <v>642</v>
      </c>
      <c r="C100" s="4" t="s">
        <v>643</v>
      </c>
      <c r="D100" s="11">
        <v>182</v>
      </c>
      <c r="E100" s="11">
        <f>Tabelle1[[#This Row],[Energie '[kcal/100g']]]/239</f>
        <v>0.7615062761506276</v>
      </c>
      <c r="F100" s="11">
        <v>12.8</v>
      </c>
      <c r="G100" s="11">
        <f>Tabelle1[[#This Row],[Rohprotein '[g/100g']]]*0.85</f>
        <v>10.88</v>
      </c>
      <c r="H100" s="11">
        <v>14.4</v>
      </c>
      <c r="I100" s="11">
        <f>Tabelle1[[#This Row],[TS]]-Tabelle1[[#This Row],[Rohprotein '[g/100g']]]-Tabelle1[[#This Row],[Rohfett '[g/100g']]]-Tabelle1[[#This Row],[Rohasche '[g/100g']]]-Tabelle1[[#This Row],[Rohfaser '[g/100g']]]</f>
        <v>0.89999999999999325</v>
      </c>
      <c r="J100" s="11">
        <v>0</v>
      </c>
      <c r="K100" s="11">
        <v>1</v>
      </c>
      <c r="L100" s="11">
        <v>70.900000000000006</v>
      </c>
      <c r="M100" s="11">
        <f>100-Tabelle1[[#This Row],[Wasser '[g/100g']]]</f>
        <v>29.099999999999994</v>
      </c>
      <c r="N100" s="11">
        <v>63</v>
      </c>
      <c r="O100" s="11">
        <v>178</v>
      </c>
      <c r="P100" s="11">
        <v>16</v>
      </c>
      <c r="Q100" s="11">
        <v>100</v>
      </c>
      <c r="R100" s="11">
        <v>150</v>
      </c>
      <c r="S100" s="11"/>
      <c r="T100" s="11">
        <v>2.7</v>
      </c>
      <c r="U100" s="11">
        <v>1.33</v>
      </c>
      <c r="V100" s="11">
        <v>0</v>
      </c>
      <c r="W100" s="11">
        <v>62</v>
      </c>
      <c r="X100" s="11">
        <v>37</v>
      </c>
      <c r="Y100" s="11">
        <v>41.3</v>
      </c>
      <c r="Z100" s="11"/>
      <c r="AA100" s="11">
        <v>5</v>
      </c>
      <c r="AB100" s="11">
        <v>1.23</v>
      </c>
      <c r="AC100" s="11">
        <v>685</v>
      </c>
      <c r="AD100" s="11">
        <v>0.13600000000000001</v>
      </c>
      <c r="AE100" s="11">
        <v>0.47699999999999998</v>
      </c>
      <c r="AF100" s="11">
        <v>0.12</v>
      </c>
      <c r="AG100" s="11">
        <v>208</v>
      </c>
      <c r="AH100" s="11">
        <v>4.5</v>
      </c>
      <c r="AI100" s="11">
        <v>0</v>
      </c>
      <c r="AJ100" s="11">
        <v>8</v>
      </c>
      <c r="AK100" s="11">
        <v>150</v>
      </c>
      <c r="AL100" s="11">
        <v>15.6</v>
      </c>
      <c r="AM100" s="11">
        <v>0</v>
      </c>
      <c r="AN100" s="11">
        <v>0.105</v>
      </c>
      <c r="AO100" s="11">
        <v>0</v>
      </c>
      <c r="AP100" s="11">
        <v>0.21</v>
      </c>
      <c r="AQ100" s="11">
        <v>0.92</v>
      </c>
      <c r="AR100" s="11">
        <v>0.58499999999999996</v>
      </c>
      <c r="AS100" s="11">
        <v>0.76500000000000001</v>
      </c>
      <c r="AT100" s="11">
        <v>0.28499999999999998</v>
      </c>
      <c r="AU100" s="11">
        <v>0.32</v>
      </c>
      <c r="AV100" s="11">
        <v>0.95099999999999996</v>
      </c>
      <c r="AW100" s="11">
        <v>0.57599999999999996</v>
      </c>
      <c r="AX100" s="9">
        <f>Tabelle1[[#This Row],[Vitamin D3 '[µg/100g']]]*40</f>
        <v>200</v>
      </c>
      <c r="AY100" s="9">
        <f>Tabelle1[[#This Row],[Vitamin A '[µg/100g']]]*3.33</f>
        <v>2281.0500000000002</v>
      </c>
      <c r="AZ100" s="9">
        <f>Tabelle1[[#This Row],[Vitamin E '[mg/100g']]]*1.49</f>
        <v>1.8327</v>
      </c>
    </row>
    <row r="101" spans="1:52" hidden="1" x14ac:dyDescent="0.45">
      <c r="A101" t="s">
        <v>694</v>
      </c>
      <c r="B101" s="5" t="s">
        <v>644</v>
      </c>
      <c r="C101" s="6" t="s">
        <v>645</v>
      </c>
      <c r="D101" s="13">
        <v>182</v>
      </c>
      <c r="E101" s="11">
        <f>Tabelle1[[#This Row],[Energie '[kcal/100g']]]/239</f>
        <v>0.7615062761506276</v>
      </c>
      <c r="F101" s="13">
        <v>12.8</v>
      </c>
      <c r="G101" s="11">
        <f>Tabelle1[[#This Row],[Rohprotein '[g/100g']]]*0.85</f>
        <v>10.88</v>
      </c>
      <c r="H101" s="13">
        <v>14.4</v>
      </c>
      <c r="I101" s="11">
        <f>Tabelle1[[#This Row],[TS]]-Tabelle1[[#This Row],[Rohprotein '[g/100g']]]-Tabelle1[[#This Row],[Rohfett '[g/100g']]]-Tabelle1[[#This Row],[Rohasche '[g/100g']]]-Tabelle1[[#This Row],[Rohfaser '[g/100g']]]</f>
        <v>0.89999999999999325</v>
      </c>
      <c r="J101" s="11">
        <v>0</v>
      </c>
      <c r="K101" s="13">
        <v>1</v>
      </c>
      <c r="L101" s="13">
        <v>70.900000000000006</v>
      </c>
      <c r="M101" s="13">
        <f>100-Tabelle1[[#This Row],[Wasser '[g/100g']]]</f>
        <v>29.099999999999994</v>
      </c>
      <c r="N101" s="13">
        <v>63</v>
      </c>
      <c r="O101" s="13">
        <v>178</v>
      </c>
      <c r="P101" s="13">
        <v>16</v>
      </c>
      <c r="Q101" s="13">
        <v>100</v>
      </c>
      <c r="R101" s="13">
        <v>150</v>
      </c>
      <c r="S101" s="13"/>
      <c r="T101" s="13">
        <v>2.7</v>
      </c>
      <c r="U101" s="13">
        <v>1.33</v>
      </c>
      <c r="V101" s="11">
        <v>0</v>
      </c>
      <c r="W101" s="13">
        <v>62</v>
      </c>
      <c r="X101" s="13">
        <v>38</v>
      </c>
      <c r="Y101" s="13">
        <v>43.5</v>
      </c>
      <c r="Z101" s="13"/>
      <c r="AA101" s="13">
        <v>5</v>
      </c>
      <c r="AB101" s="13">
        <v>1.23</v>
      </c>
      <c r="AC101" s="13">
        <v>1060</v>
      </c>
      <c r="AD101" s="13">
        <v>0.16</v>
      </c>
      <c r="AE101" s="13">
        <v>0.53</v>
      </c>
      <c r="AF101" s="13">
        <v>0.13</v>
      </c>
      <c r="AG101" s="13">
        <v>236</v>
      </c>
      <c r="AH101" s="13">
        <v>5.0999999999999996</v>
      </c>
      <c r="AI101" s="13">
        <v>0</v>
      </c>
      <c r="AJ101" s="13">
        <v>8</v>
      </c>
      <c r="AK101" s="13">
        <v>213</v>
      </c>
      <c r="AL101" s="13">
        <v>19.5</v>
      </c>
      <c r="AM101" s="13">
        <v>0</v>
      </c>
      <c r="AN101" s="13">
        <v>0.105</v>
      </c>
      <c r="AO101" s="13">
        <v>0</v>
      </c>
      <c r="AP101" s="13">
        <v>0.3</v>
      </c>
      <c r="AQ101" s="13">
        <v>0.92</v>
      </c>
      <c r="AR101" s="13">
        <v>0.58499999999999996</v>
      </c>
      <c r="AS101" s="13">
        <v>0.76500000000000001</v>
      </c>
      <c r="AT101" s="13">
        <v>0.28499999999999998</v>
      </c>
      <c r="AU101" s="13">
        <v>0.32</v>
      </c>
      <c r="AV101" s="13">
        <v>0.95099999999999996</v>
      </c>
      <c r="AW101" s="13">
        <v>0.57599999999999996</v>
      </c>
      <c r="AX101" s="9">
        <f>Tabelle1[[#This Row],[Vitamin D3 '[µg/100g']]]*40</f>
        <v>200</v>
      </c>
      <c r="AY101" s="9">
        <f>Tabelle1[[#This Row],[Vitamin A '[µg/100g']]]*3.33</f>
        <v>3529.8</v>
      </c>
      <c r="AZ101" s="9">
        <f>Tabelle1[[#This Row],[Vitamin E '[mg/100g']]]*1.49</f>
        <v>1.8327</v>
      </c>
    </row>
    <row r="102" spans="1:52" hidden="1" x14ac:dyDescent="0.45">
      <c r="A102" t="s">
        <v>916</v>
      </c>
      <c r="B102" s="5" t="s">
        <v>904</v>
      </c>
      <c r="C102" s="6" t="s">
        <v>905</v>
      </c>
      <c r="D102" s="13">
        <v>38</v>
      </c>
      <c r="E102" s="11">
        <f>Tabelle1[[#This Row],[Energie '[kcal/100g']]]/239</f>
        <v>0.15899581589958159</v>
      </c>
      <c r="F102" s="13">
        <v>0.82</v>
      </c>
      <c r="G102" s="11">
        <f>Tabelle1[[#This Row],[Rohprotein '[g/100g']]]*0.85</f>
        <v>0.69699999999999995</v>
      </c>
      <c r="H102" s="13">
        <v>0.4</v>
      </c>
      <c r="I102" s="11">
        <f>Tabelle1[[#This Row],[TS]]-Tabelle1[[#This Row],[Rohprotein '[g/100g']]]-Tabelle1[[#This Row],[Rohfett '[g/100g']]]-Tabelle1[[#This Row],[Rohasche '[g/100g']]]-Tabelle1[[#This Row],[Rohfaser '[g/100g']]]</f>
        <v>8.2550000000000043</v>
      </c>
      <c r="J102" s="11">
        <v>0</v>
      </c>
      <c r="K102" s="13">
        <v>0.42499999999999999</v>
      </c>
      <c r="L102" s="13">
        <v>90.1</v>
      </c>
      <c r="M102" s="13">
        <f>100-Tabelle1[[#This Row],[Wasser '[g/100g']]]</f>
        <v>9.9000000000000057</v>
      </c>
      <c r="N102" s="13">
        <v>16</v>
      </c>
      <c r="O102" s="13">
        <v>25.375</v>
      </c>
      <c r="P102" s="13">
        <v>13</v>
      </c>
      <c r="Q102" s="13">
        <v>1</v>
      </c>
      <c r="R102" s="13">
        <v>183</v>
      </c>
      <c r="S102" s="13"/>
      <c r="T102" s="13">
        <v>0.45900000000000002</v>
      </c>
      <c r="U102" s="13">
        <v>0.11</v>
      </c>
      <c r="V102" s="11">
        <v>0</v>
      </c>
      <c r="W102" s="13">
        <v>46</v>
      </c>
      <c r="X102" s="13">
        <v>350</v>
      </c>
      <c r="Y102" s="13">
        <v>1</v>
      </c>
      <c r="Z102" s="13"/>
      <c r="AA102" s="13">
        <v>0</v>
      </c>
      <c r="AB102" s="13">
        <v>0.27500000000000002</v>
      </c>
      <c r="AC102" s="13">
        <v>2</v>
      </c>
      <c r="AD102" s="13">
        <v>0.02</v>
      </c>
      <c r="AE102" s="13">
        <v>0.02</v>
      </c>
      <c r="AF102" s="13">
        <v>0.6</v>
      </c>
      <c r="AG102" s="13">
        <v>24.69</v>
      </c>
      <c r="AH102" s="13">
        <v>0</v>
      </c>
      <c r="AI102" s="13">
        <v>56.863999999999997</v>
      </c>
      <c r="AJ102" s="13">
        <v>3.9</v>
      </c>
      <c r="AK102" s="13">
        <v>68</v>
      </c>
      <c r="AL102" s="13">
        <v>1.2</v>
      </c>
      <c r="AM102" s="13">
        <v>0</v>
      </c>
      <c r="AN102" s="13">
        <v>0.1045</v>
      </c>
      <c r="AO102" s="13">
        <v>0</v>
      </c>
      <c r="AP102" s="13">
        <v>0</v>
      </c>
      <c r="AQ102" s="13">
        <v>0.13300000000000001</v>
      </c>
      <c r="AR102" s="13">
        <v>0.13300000000000001</v>
      </c>
      <c r="AS102" s="13">
        <v>3.6999999999999998E-2</v>
      </c>
      <c r="AT102" s="13">
        <v>7.0000000000000001E-3</v>
      </c>
      <c r="AU102" s="13">
        <v>1.6E-2</v>
      </c>
      <c r="AV102" s="13">
        <v>3.4000000000000002E-2</v>
      </c>
      <c r="AW102" s="13">
        <v>1E-3</v>
      </c>
      <c r="AX102" s="9">
        <f>Tabelle1[[#This Row],[Vitamin D3 '[µg/100g']]]*40</f>
        <v>0</v>
      </c>
      <c r="AY102" s="9">
        <f>Tabelle1[[#This Row],[Vitamin A '[µg/100g']]]*3.33</f>
        <v>6.66</v>
      </c>
      <c r="AZ102" s="9">
        <f>Tabelle1[[#This Row],[Vitamin E '[mg/100g']]]*1.49</f>
        <v>0.40975</v>
      </c>
    </row>
    <row r="103" spans="1:52" hidden="1" x14ac:dyDescent="0.45">
      <c r="A103" t="s">
        <v>877</v>
      </c>
      <c r="B103" s="5" t="s">
        <v>727</v>
      </c>
      <c r="C103" s="6" t="s">
        <v>728</v>
      </c>
      <c r="D103" s="13">
        <v>18</v>
      </c>
      <c r="E103" s="11">
        <f>Tabelle1[[#This Row],[Energie '[kcal/100g']]]/239</f>
        <v>7.5313807531380755E-2</v>
      </c>
      <c r="F103" s="13">
        <v>1.9</v>
      </c>
      <c r="G103" s="11">
        <f>Tabelle1[[#This Row],[Rohprotein '[g/100g']]]*0.85</f>
        <v>1.615</v>
      </c>
      <c r="H103" s="13">
        <v>0.36</v>
      </c>
      <c r="I103" s="11">
        <f>Tabelle1[[#This Row],[TS]]-Tabelle1[[#This Row],[Rohprotein '[g/100g']]]-Tabelle1[[#This Row],[Rohfett '[g/100g']]]-Tabelle1[[#This Row],[Rohasche '[g/100g']]]-Tabelle1[[#This Row],[Rohfaser '[g/100g']]]</f>
        <v>4.2729999999999979</v>
      </c>
      <c r="J103" s="11">
        <v>0</v>
      </c>
      <c r="K103" s="13">
        <v>0.8</v>
      </c>
      <c r="L103" s="13">
        <v>92.667000000000002</v>
      </c>
      <c r="M103" s="13">
        <f>100-Tabelle1[[#This Row],[Wasser '[g/100g']]]</f>
        <v>7.3329999999999984</v>
      </c>
      <c r="N103" s="13">
        <v>59.2</v>
      </c>
      <c r="O103" s="13">
        <v>49</v>
      </c>
      <c r="P103" s="13">
        <v>39.5</v>
      </c>
      <c r="Q103" s="13">
        <v>10.06</v>
      </c>
      <c r="R103" s="13">
        <v>441</v>
      </c>
      <c r="S103" s="13"/>
      <c r="T103" s="13">
        <v>1.84</v>
      </c>
      <c r="U103" s="13">
        <v>0.32</v>
      </c>
      <c r="V103" s="11">
        <v>0</v>
      </c>
      <c r="W103" s="13">
        <v>126</v>
      </c>
      <c r="X103" s="13">
        <v>500</v>
      </c>
      <c r="Y103" s="13">
        <v>0</v>
      </c>
      <c r="Z103" s="13"/>
      <c r="AA103" s="13">
        <v>0</v>
      </c>
      <c r="AB103" s="13">
        <v>0.45800000000000002</v>
      </c>
      <c r="AC103" s="13">
        <v>534</v>
      </c>
      <c r="AD103" s="13">
        <v>6.5000000000000002E-2</v>
      </c>
      <c r="AE103" s="13">
        <v>0.08</v>
      </c>
      <c r="AF103" s="13">
        <v>0.38</v>
      </c>
      <c r="AG103" s="13">
        <v>250</v>
      </c>
      <c r="AH103" s="13">
        <v>0</v>
      </c>
      <c r="AI103" s="13">
        <v>35</v>
      </c>
      <c r="AJ103" s="13">
        <v>116</v>
      </c>
      <c r="AK103" s="13">
        <v>108</v>
      </c>
      <c r="AL103" s="13">
        <v>0</v>
      </c>
      <c r="AM103" s="13">
        <v>0</v>
      </c>
      <c r="AN103" s="13">
        <v>0.14499999999999999</v>
      </c>
      <c r="AO103" s="13">
        <v>0</v>
      </c>
      <c r="AP103" s="13">
        <v>0</v>
      </c>
      <c r="AQ103" s="13">
        <v>0.03</v>
      </c>
      <c r="AR103" s="13">
        <v>0.03</v>
      </c>
      <c r="AS103" s="13">
        <v>8.7999999999999995E-2</v>
      </c>
      <c r="AT103" s="13" t="s">
        <v>47</v>
      </c>
      <c r="AU103" s="13">
        <v>3.5000000000000003E-2</v>
      </c>
      <c r="AV103" s="13">
        <v>0.11</v>
      </c>
      <c r="AW103" s="13">
        <v>1.0999999999999999E-2</v>
      </c>
      <c r="AX103" s="9">
        <f>Tabelle1[[#This Row],[Vitamin D3 '[µg/100g']]]*40</f>
        <v>0</v>
      </c>
      <c r="AY103" s="9">
        <f>Tabelle1[[#This Row],[Vitamin A '[µg/100g']]]*3.33</f>
        <v>1778.22</v>
      </c>
      <c r="AZ103" s="9">
        <f>Tabelle1[[#This Row],[Vitamin E '[mg/100g']]]*1.49</f>
        <v>0.68242000000000003</v>
      </c>
    </row>
    <row r="104" spans="1:52" hidden="1" x14ac:dyDescent="0.45">
      <c r="A104" t="s">
        <v>961</v>
      </c>
      <c r="B104" s="5" t="s">
        <v>949</v>
      </c>
      <c r="C104" s="6" t="s">
        <v>950</v>
      </c>
      <c r="D104" s="13">
        <v>900</v>
      </c>
      <c r="E104" s="11">
        <f>Tabelle1[[#This Row],[Energie '[kcal/100g']]]/239</f>
        <v>3.7656903765690375</v>
      </c>
      <c r="F104" s="13">
        <v>0</v>
      </c>
      <c r="G104" s="11">
        <f>Tabelle1[[#This Row],[Rohprotein '[g/100g']]]*0.85</f>
        <v>0</v>
      </c>
      <c r="H104" s="13">
        <v>100</v>
      </c>
      <c r="I104" s="11">
        <f>Tabelle1[[#This Row],[TS]]-Tabelle1[[#This Row],[Rohprotein '[g/100g']]]-Tabelle1[[#This Row],[Rohfett '[g/100g']]]-Tabelle1[[#This Row],[Rohasche '[g/100g']]]-Tabelle1[[#This Row],[Rohfaser '[g/100g']]]</f>
        <v>0</v>
      </c>
      <c r="J104" s="11">
        <v>0</v>
      </c>
      <c r="K104" s="13">
        <v>0</v>
      </c>
      <c r="L104" s="13">
        <v>0</v>
      </c>
      <c r="M104" s="13">
        <f>100-Tabelle1[[#This Row],[Wasser '[g/100g']]]</f>
        <v>100</v>
      </c>
      <c r="N104" s="13">
        <v>0.57999999999999996</v>
      </c>
      <c r="O104" s="13">
        <v>0</v>
      </c>
      <c r="P104" s="13">
        <v>0</v>
      </c>
      <c r="Q104" s="13">
        <v>0.01</v>
      </c>
      <c r="R104" s="13">
        <v>0</v>
      </c>
      <c r="S104" s="13"/>
      <c r="T104" s="13">
        <v>3.6999999999999998E-2</v>
      </c>
      <c r="U104" s="13">
        <v>0.03</v>
      </c>
      <c r="V104" s="11">
        <v>0</v>
      </c>
      <c r="W104" s="13">
        <v>4</v>
      </c>
      <c r="X104" s="13">
        <v>1</v>
      </c>
      <c r="Y104" s="13">
        <v>400</v>
      </c>
      <c r="Z104" s="13"/>
      <c r="AA104" s="13">
        <v>111</v>
      </c>
      <c r="AB104" s="13">
        <v>28.833300000000001</v>
      </c>
      <c r="AC104" s="13">
        <v>19775</v>
      </c>
      <c r="AD104" s="13">
        <v>0</v>
      </c>
      <c r="AE104" s="13">
        <v>0</v>
      </c>
      <c r="AF104" s="13">
        <v>0</v>
      </c>
      <c r="AG104" s="13">
        <v>0</v>
      </c>
      <c r="AH104" s="13">
        <v>0</v>
      </c>
      <c r="AI104" s="13">
        <v>0</v>
      </c>
      <c r="AJ104" s="13">
        <v>1.1000000000000001</v>
      </c>
      <c r="AK104" s="13">
        <v>198</v>
      </c>
      <c r="AL104" s="11">
        <v>0</v>
      </c>
      <c r="AM104" s="13">
        <v>0</v>
      </c>
      <c r="AN104" s="13">
        <v>29.219000000000001</v>
      </c>
      <c r="AO104" s="13">
        <v>1.4E-2</v>
      </c>
      <c r="AP104" s="13">
        <v>1E-3</v>
      </c>
      <c r="AQ104" s="13">
        <v>4.3929999999999998</v>
      </c>
      <c r="AR104" s="13">
        <v>3.7229999999999999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9">
        <f>Tabelle1[[#This Row],[Vitamin D3 '[µg/100g']]]*40</f>
        <v>4440</v>
      </c>
      <c r="AY104" s="9">
        <f>Tabelle1[[#This Row],[Vitamin A '[µg/100g']]]*3.33</f>
        <v>65850.75</v>
      </c>
      <c r="AZ104" s="9">
        <f>Tabelle1[[#This Row],[Vitamin E '[mg/100g']]]*1.49</f>
        <v>42.961617000000004</v>
      </c>
    </row>
    <row r="105" spans="1:52" hidden="1" x14ac:dyDescent="0.45">
      <c r="A105" t="s">
        <v>1165</v>
      </c>
      <c r="B105" s="3"/>
      <c r="C105" s="4" t="s">
        <v>1169</v>
      </c>
      <c r="D105" s="11">
        <v>192</v>
      </c>
      <c r="E105" s="11">
        <f>Tabelle1[[#This Row],[Energie '[kcal/100g']]]/239</f>
        <v>0.80334728033472802</v>
      </c>
      <c r="F105" s="11">
        <v>1</v>
      </c>
      <c r="G105" s="11">
        <f>Tabelle1[[#This Row],[Rohprotein '[g/100g']]]*0.85</f>
        <v>0.85</v>
      </c>
      <c r="H105" s="11">
        <v>0.5</v>
      </c>
      <c r="I105" s="11">
        <f>Tabelle1[[#This Row],[TS]]-Tabelle1[[#This Row],[Rohprotein '[g/100g']]]-Tabelle1[[#This Row],[Rohfett '[g/100g']]]-Tabelle1[[#This Row],[Rohasche '[g/100g']]]-Tabelle1[[#This Row],[Rohfaser '[g/100g']]]</f>
        <v>98.5</v>
      </c>
      <c r="J105" s="11"/>
      <c r="K105" s="11">
        <v>0</v>
      </c>
      <c r="L105" s="11">
        <v>0</v>
      </c>
      <c r="M105" s="11">
        <f>100-Tabelle1[[#This Row],[Wasser '[g/100g']]]</f>
        <v>100</v>
      </c>
      <c r="N105" s="11">
        <v>0</v>
      </c>
      <c r="O105" s="11">
        <v>0</v>
      </c>
      <c r="P105" s="11">
        <v>0</v>
      </c>
      <c r="Q105" s="11">
        <v>0.12</v>
      </c>
      <c r="R105" s="11">
        <v>0</v>
      </c>
      <c r="S105" s="11"/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/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0</v>
      </c>
      <c r="AW105" s="11">
        <v>0</v>
      </c>
      <c r="AX105" s="9">
        <f>Tabelle1[[#This Row],[Vitamin D3 '[µg/100g']]]*40</f>
        <v>0</v>
      </c>
      <c r="AY105" s="9">
        <f>Tabelle1[[#This Row],[Vitamin A '[µg/100g']]]*3.33</f>
        <v>0</v>
      </c>
      <c r="AZ105" s="9">
        <f>Tabelle1[[#This Row],[Vitamin E '[mg/100g']]]*1.49</f>
        <v>0</v>
      </c>
    </row>
    <row r="106" spans="1:52" hidden="1" x14ac:dyDescent="0.45">
      <c r="A106" t="s">
        <v>641</v>
      </c>
      <c r="B106" s="5" t="s">
        <v>551</v>
      </c>
      <c r="C106" s="6" t="s">
        <v>552</v>
      </c>
      <c r="D106" s="13">
        <v>229</v>
      </c>
      <c r="E106" s="11">
        <f>Tabelle1[[#This Row],[Energie '[kcal/100g']]]/239</f>
        <v>0.95815899581589958</v>
      </c>
      <c r="F106" s="13">
        <v>17.940000000000001</v>
      </c>
      <c r="G106" s="11">
        <f>Tabelle1[[#This Row],[Rohprotein '[g/100g']]]*0.85</f>
        <v>15.249000000000001</v>
      </c>
      <c r="H106" s="13">
        <v>16.420000000000002</v>
      </c>
      <c r="I106" s="11">
        <f>Tabelle1[[#This Row],[TS]]-Tabelle1[[#This Row],[Rohprotein '[g/100g']]]-Tabelle1[[#This Row],[Rohfett '[g/100g']]]-Tabelle1[[#This Row],[Rohasche '[g/100g']]]-Tabelle1[[#This Row],[Rohfaser '[g/100g']]]</f>
        <v>2.0499999999999998</v>
      </c>
      <c r="J106" s="11">
        <v>0</v>
      </c>
      <c r="K106" s="13">
        <v>1.79</v>
      </c>
      <c r="L106" s="13">
        <v>61.8</v>
      </c>
      <c r="M106" s="13">
        <f>100-Tabelle1[[#This Row],[Wasser '[g/100g']]]</f>
        <v>38.200000000000003</v>
      </c>
      <c r="N106" s="13">
        <v>148</v>
      </c>
      <c r="O106" s="13">
        <v>150.5</v>
      </c>
      <c r="P106" s="13">
        <v>12.6</v>
      </c>
      <c r="Q106" s="13">
        <v>419.5</v>
      </c>
      <c r="R106" s="13">
        <v>104</v>
      </c>
      <c r="S106" s="13"/>
      <c r="T106" s="13">
        <v>9.5000000000000001E-2</v>
      </c>
      <c r="U106" s="13">
        <v>0.64</v>
      </c>
      <c r="V106" s="11">
        <v>0</v>
      </c>
      <c r="W106" s="13">
        <v>40.5</v>
      </c>
      <c r="X106" s="13">
        <v>11.5</v>
      </c>
      <c r="Y106" s="13">
        <v>18</v>
      </c>
      <c r="Z106" s="13"/>
      <c r="AA106" s="13">
        <v>0.23</v>
      </c>
      <c r="AB106" s="13">
        <v>0.27</v>
      </c>
      <c r="AC106" s="13">
        <v>140</v>
      </c>
      <c r="AD106" s="13">
        <v>0.05</v>
      </c>
      <c r="AE106" s="13">
        <v>0.23</v>
      </c>
      <c r="AF106" s="13">
        <v>0.16</v>
      </c>
      <c r="AG106" s="13">
        <v>53</v>
      </c>
      <c r="AH106" s="13">
        <v>0.68</v>
      </c>
      <c r="AI106" s="13">
        <v>0</v>
      </c>
      <c r="AJ106" s="13">
        <v>1.8</v>
      </c>
      <c r="AK106" s="13">
        <v>7</v>
      </c>
      <c r="AL106" s="13">
        <v>1.8</v>
      </c>
      <c r="AM106" s="13">
        <v>1.74</v>
      </c>
      <c r="AN106" s="13">
        <v>7.0000000000000007E-2</v>
      </c>
      <c r="AO106" s="11">
        <v>0</v>
      </c>
      <c r="AP106" s="13">
        <v>0</v>
      </c>
      <c r="AQ106" s="13">
        <v>0.32</v>
      </c>
      <c r="AR106" s="13">
        <v>0.32</v>
      </c>
      <c r="AS106" s="13">
        <v>0.39</v>
      </c>
      <c r="AT106" s="13">
        <v>0.1</v>
      </c>
      <c r="AU106" s="13">
        <v>0.34</v>
      </c>
      <c r="AV106" s="13">
        <v>1.02</v>
      </c>
      <c r="AW106" s="13">
        <v>0.31</v>
      </c>
      <c r="AX106" s="9">
        <f>Tabelle1[[#This Row],[Vitamin D3 '[µg/100g']]]*40</f>
        <v>9.2000000000000011</v>
      </c>
      <c r="AY106" s="9">
        <f>Tabelle1[[#This Row],[Vitamin A '[µg/100g']]]*3.33</f>
        <v>466.2</v>
      </c>
      <c r="AZ106" s="9">
        <f>Tabelle1[[#This Row],[Vitamin E '[mg/100g']]]*1.49</f>
        <v>0.40230000000000005</v>
      </c>
    </row>
    <row r="107" spans="1:52" hidden="1" x14ac:dyDescent="0.45">
      <c r="A107" t="s">
        <v>641</v>
      </c>
      <c r="B107" s="3" t="s">
        <v>553</v>
      </c>
      <c r="C107" s="4" t="s">
        <v>554</v>
      </c>
      <c r="D107" s="11">
        <v>230</v>
      </c>
      <c r="E107" s="11">
        <f>Tabelle1[[#This Row],[Energie '[kcal/100g']]]/239</f>
        <v>0.96234309623430958</v>
      </c>
      <c r="F107" s="11">
        <v>17.940000000000001</v>
      </c>
      <c r="G107" s="11">
        <f>Tabelle1[[#This Row],[Rohprotein '[g/100g']]]*0.85</f>
        <v>15.249000000000001</v>
      </c>
      <c r="H107" s="11">
        <v>16.420000000000002</v>
      </c>
      <c r="I107" s="11">
        <f>Tabelle1[[#This Row],[TS]]-Tabelle1[[#This Row],[Rohprotein '[g/100g']]]-Tabelle1[[#This Row],[Rohfett '[g/100g']]]-Tabelle1[[#This Row],[Rohasche '[g/100g']]]-Tabelle1[[#This Row],[Rohfaser '[g/100g']]]</f>
        <v>2.0499999999999998</v>
      </c>
      <c r="J107" s="11">
        <v>0</v>
      </c>
      <c r="K107" s="11">
        <v>1.79</v>
      </c>
      <c r="L107" s="11">
        <v>61.8</v>
      </c>
      <c r="M107" s="11">
        <f>100-Tabelle1[[#This Row],[Wasser '[g/100g']]]</f>
        <v>38.200000000000003</v>
      </c>
      <c r="N107" s="11">
        <v>148</v>
      </c>
      <c r="O107" s="11">
        <v>150.5</v>
      </c>
      <c r="P107" s="11">
        <v>12.6</v>
      </c>
      <c r="Q107" s="11">
        <v>419.5</v>
      </c>
      <c r="R107" s="11">
        <v>104</v>
      </c>
      <c r="S107" s="11"/>
      <c r="T107" s="11">
        <v>9.5000000000000001E-2</v>
      </c>
      <c r="U107" s="11">
        <v>0.64</v>
      </c>
      <c r="V107" s="11">
        <v>0</v>
      </c>
      <c r="W107" s="11">
        <v>40.5</v>
      </c>
      <c r="X107" s="11">
        <v>11.5</v>
      </c>
      <c r="Y107" s="11">
        <v>18</v>
      </c>
      <c r="Z107" s="11"/>
      <c r="AA107" s="11">
        <v>0</v>
      </c>
      <c r="AB107" s="11">
        <v>0.27</v>
      </c>
      <c r="AC107" s="11">
        <v>235</v>
      </c>
      <c r="AD107" s="11">
        <v>0.05</v>
      </c>
      <c r="AE107" s="11">
        <v>0.23</v>
      </c>
      <c r="AF107" s="11">
        <v>0.16</v>
      </c>
      <c r="AG107" s="11">
        <v>53</v>
      </c>
      <c r="AH107" s="11">
        <v>0.68</v>
      </c>
      <c r="AI107" s="11">
        <v>0</v>
      </c>
      <c r="AJ107" s="11">
        <v>1.8</v>
      </c>
      <c r="AK107" s="11">
        <v>21</v>
      </c>
      <c r="AL107" s="11">
        <v>1.8</v>
      </c>
      <c r="AM107" s="11">
        <v>1.74</v>
      </c>
      <c r="AN107" s="11">
        <v>7.8799999999999995E-2</v>
      </c>
      <c r="AO107" s="11">
        <v>0</v>
      </c>
      <c r="AP107" s="13">
        <v>0</v>
      </c>
      <c r="AQ107" s="11">
        <v>0.36659999999999998</v>
      </c>
      <c r="AR107" s="11">
        <v>0.36659999999999998</v>
      </c>
      <c r="AS107" s="11">
        <v>0.38600000000000001</v>
      </c>
      <c r="AT107" s="11">
        <v>0.10199999999999999</v>
      </c>
      <c r="AU107" s="11">
        <v>0.34</v>
      </c>
      <c r="AV107" s="11">
        <v>1.0149999999999999</v>
      </c>
      <c r="AW107" s="11">
        <v>0.30599999999999999</v>
      </c>
      <c r="AX107" s="9">
        <f>Tabelle1[[#This Row],[Vitamin D3 '[µg/100g']]]*40</f>
        <v>0</v>
      </c>
      <c r="AY107" s="9">
        <f>Tabelle1[[#This Row],[Vitamin A '[µg/100g']]]*3.33</f>
        <v>782.55000000000007</v>
      </c>
      <c r="AZ107" s="9">
        <f>Tabelle1[[#This Row],[Vitamin E '[mg/100g']]]*1.49</f>
        <v>0.40230000000000005</v>
      </c>
    </row>
    <row r="108" spans="1:52" hidden="1" x14ac:dyDescent="0.45">
      <c r="A108" t="s">
        <v>641</v>
      </c>
      <c r="B108" s="3" t="s">
        <v>555</v>
      </c>
      <c r="C108" s="4" t="s">
        <v>556</v>
      </c>
      <c r="D108" s="11">
        <v>64</v>
      </c>
      <c r="E108" s="11">
        <f>Tabelle1[[#This Row],[Energie '[kcal/100g']]]/239</f>
        <v>0.26778242677824265</v>
      </c>
      <c r="F108" s="11">
        <v>11.9</v>
      </c>
      <c r="G108" s="11">
        <f>Tabelle1[[#This Row],[Rohprotein '[g/100g']]]*0.85</f>
        <v>10.115</v>
      </c>
      <c r="H108" s="11">
        <v>0.2</v>
      </c>
      <c r="I108" s="11">
        <f>Tabelle1[[#This Row],[TS]]-Tabelle1[[#This Row],[Rohprotein '[g/100g']]]-Tabelle1[[#This Row],[Rohfett '[g/100g']]]-Tabelle1[[#This Row],[Rohasche '[g/100g']]]-Tabelle1[[#This Row],[Rohfaser '[g/100g']]]</f>
        <v>3.1999999999999993</v>
      </c>
      <c r="J108" s="11">
        <v>0</v>
      </c>
      <c r="K108" s="11">
        <v>1.2</v>
      </c>
      <c r="L108" s="11">
        <v>83.5</v>
      </c>
      <c r="M108" s="11">
        <f>100-Tabelle1[[#This Row],[Wasser '[g/100g']]]</f>
        <v>16.5</v>
      </c>
      <c r="N108" s="11">
        <v>100</v>
      </c>
      <c r="O108" s="11">
        <v>170</v>
      </c>
      <c r="P108" s="11">
        <v>10</v>
      </c>
      <c r="Q108" s="11">
        <v>200</v>
      </c>
      <c r="R108" s="11">
        <v>120</v>
      </c>
      <c r="S108" s="11"/>
      <c r="T108" s="11">
        <v>7.0000000000000007E-2</v>
      </c>
      <c r="U108" s="11">
        <v>0.5</v>
      </c>
      <c r="V108" s="11">
        <v>0</v>
      </c>
      <c r="W108" s="11">
        <v>26</v>
      </c>
      <c r="X108" s="11">
        <v>4</v>
      </c>
      <c r="Y108" s="11">
        <v>14</v>
      </c>
      <c r="Z108" s="11"/>
      <c r="AA108" s="11">
        <v>0</v>
      </c>
      <c r="AB108" s="11">
        <v>0</v>
      </c>
      <c r="AC108" s="11">
        <v>1.8</v>
      </c>
      <c r="AD108" s="11">
        <v>0.03</v>
      </c>
      <c r="AE108" s="11">
        <v>0.23</v>
      </c>
      <c r="AF108" s="11">
        <v>0.1</v>
      </c>
      <c r="AG108" s="11">
        <v>40</v>
      </c>
      <c r="AH108" s="11">
        <v>0.7</v>
      </c>
      <c r="AI108" s="11">
        <v>4.2469999999999999</v>
      </c>
      <c r="AJ108" s="11">
        <v>2.7</v>
      </c>
      <c r="AK108" s="11">
        <v>26</v>
      </c>
      <c r="AL108" s="11">
        <v>4.5</v>
      </c>
      <c r="AM108" s="11">
        <v>3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0.5</v>
      </c>
      <c r="AT108" s="11">
        <v>0.1</v>
      </c>
      <c r="AU108" s="11">
        <v>0.4</v>
      </c>
      <c r="AV108" s="11">
        <v>1.1000000000000001</v>
      </c>
      <c r="AW108" s="11">
        <v>0.3</v>
      </c>
      <c r="AX108" s="9">
        <f>Tabelle1[[#This Row],[Vitamin D3 '[µg/100g']]]*40</f>
        <v>0</v>
      </c>
      <c r="AY108" s="9">
        <f>Tabelle1[[#This Row],[Vitamin A '[µg/100g']]]*3.33</f>
        <v>5.9940000000000007</v>
      </c>
      <c r="AZ108" s="9">
        <f>Tabelle1[[#This Row],[Vitamin E '[mg/100g']]]*1.49</f>
        <v>0</v>
      </c>
    </row>
    <row r="109" spans="1:52" hidden="1" x14ac:dyDescent="0.45">
      <c r="A109" t="s">
        <v>641</v>
      </c>
      <c r="B109" s="3" t="s">
        <v>557</v>
      </c>
      <c r="C109" s="4" t="s">
        <v>558</v>
      </c>
      <c r="D109" s="11">
        <v>86</v>
      </c>
      <c r="E109" s="11">
        <f>Tabelle1[[#This Row],[Energie '[kcal/100g']]]/239</f>
        <v>0.35983263598326359</v>
      </c>
      <c r="F109" s="11">
        <v>11.6</v>
      </c>
      <c r="G109" s="11">
        <f>Tabelle1[[#This Row],[Rohprotein '[g/100g']]]*0.85</f>
        <v>9.86</v>
      </c>
      <c r="H109" s="11">
        <v>2.8</v>
      </c>
      <c r="I109" s="11">
        <f>Tabelle1[[#This Row],[TS]]-Tabelle1[[#This Row],[Rohprotein '[g/100g']]]-Tabelle1[[#This Row],[Rohfett '[g/100g']]]-Tabelle1[[#This Row],[Rohasche '[g/100g']]]-Tabelle1[[#This Row],[Rohfaser '[g/100g']]]</f>
        <v>2.9999999999999947</v>
      </c>
      <c r="J109" s="11">
        <v>0</v>
      </c>
      <c r="K109" s="11">
        <v>1.2</v>
      </c>
      <c r="L109" s="11">
        <v>81.400000000000006</v>
      </c>
      <c r="M109" s="11">
        <f>100-Tabelle1[[#This Row],[Wasser '[g/100g']]]</f>
        <v>18.599999999999994</v>
      </c>
      <c r="N109" s="11">
        <v>100</v>
      </c>
      <c r="O109" s="11">
        <v>170</v>
      </c>
      <c r="P109" s="11">
        <v>10</v>
      </c>
      <c r="Q109" s="11">
        <v>200</v>
      </c>
      <c r="R109" s="11">
        <v>120</v>
      </c>
      <c r="S109" s="11"/>
      <c r="T109" s="11">
        <v>7.0000000000000007E-2</v>
      </c>
      <c r="U109" s="11">
        <v>0.5</v>
      </c>
      <c r="V109" s="11">
        <v>0</v>
      </c>
      <c r="W109" s="11">
        <v>26</v>
      </c>
      <c r="X109" s="11">
        <v>3.9</v>
      </c>
      <c r="Y109" s="11">
        <v>14</v>
      </c>
      <c r="Z109" s="11"/>
      <c r="AA109" s="11">
        <v>0</v>
      </c>
      <c r="AB109" s="11">
        <v>0</v>
      </c>
      <c r="AC109" s="11">
        <v>115</v>
      </c>
      <c r="AD109" s="11">
        <v>0.03</v>
      </c>
      <c r="AE109" s="11">
        <v>0.23</v>
      </c>
      <c r="AF109" s="11">
        <v>0.1</v>
      </c>
      <c r="AG109" s="11">
        <v>40</v>
      </c>
      <c r="AH109" s="11">
        <v>0.7</v>
      </c>
      <c r="AI109" s="11">
        <v>4.1369999999999996</v>
      </c>
      <c r="AJ109" s="11">
        <v>37.6</v>
      </c>
      <c r="AK109" s="11">
        <v>51.1</v>
      </c>
      <c r="AL109" s="11">
        <v>4.4000000000000004</v>
      </c>
      <c r="AM109" s="11">
        <v>3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0.5</v>
      </c>
      <c r="AT109" s="11">
        <v>0.1</v>
      </c>
      <c r="AU109" s="11">
        <v>0.3</v>
      </c>
      <c r="AV109" s="11">
        <v>1</v>
      </c>
      <c r="AW109" s="11">
        <v>0.3</v>
      </c>
      <c r="AX109" s="9">
        <f>Tabelle1[[#This Row],[Vitamin D3 '[µg/100g']]]*40</f>
        <v>0</v>
      </c>
      <c r="AY109" s="9">
        <f>Tabelle1[[#This Row],[Vitamin A '[µg/100g']]]*3.33</f>
        <v>382.95</v>
      </c>
      <c r="AZ109" s="9">
        <f>Tabelle1[[#This Row],[Vitamin E '[mg/100g']]]*1.49</f>
        <v>0</v>
      </c>
    </row>
    <row r="110" spans="1:52" hidden="1" x14ac:dyDescent="0.45">
      <c r="A110" t="s">
        <v>641</v>
      </c>
      <c r="B110" s="3" t="s">
        <v>559</v>
      </c>
      <c r="C110" s="4" t="s">
        <v>560</v>
      </c>
      <c r="D110" s="11">
        <v>165</v>
      </c>
      <c r="E110" s="11">
        <f>Tabelle1[[#This Row],[Energie '[kcal/100g']]]/239</f>
        <v>0.69037656903765687</v>
      </c>
      <c r="F110" s="11">
        <v>12.4</v>
      </c>
      <c r="G110" s="11">
        <f>Tabelle1[[#This Row],[Rohprotein '[g/100g']]]*0.85</f>
        <v>10.54</v>
      </c>
      <c r="H110" s="11">
        <v>11</v>
      </c>
      <c r="I110" s="11">
        <f>Tabelle1[[#This Row],[TS]]-Tabelle1[[#This Row],[Rohprotein '[g/100g']]]-Tabelle1[[#This Row],[Rohfett '[g/100g']]]-Tabelle1[[#This Row],[Rohasche '[g/100g']]]-Tabelle1[[#This Row],[Rohfaser '[g/100g']]]</f>
        <v>2.8450000000000015</v>
      </c>
      <c r="J110" s="11">
        <v>0</v>
      </c>
      <c r="K110" s="11">
        <v>0.8</v>
      </c>
      <c r="L110" s="11">
        <v>72.954999999999998</v>
      </c>
      <c r="M110" s="11">
        <f>100-Tabelle1[[#This Row],[Wasser '[g/100g']]]</f>
        <v>27.045000000000002</v>
      </c>
      <c r="N110" s="11">
        <v>88</v>
      </c>
      <c r="O110" s="11">
        <v>139</v>
      </c>
      <c r="P110" s="11">
        <v>7</v>
      </c>
      <c r="Q110" s="11">
        <v>214</v>
      </c>
      <c r="R110" s="11">
        <v>82</v>
      </c>
      <c r="S110" s="11"/>
      <c r="T110" s="11">
        <v>0.27900000000000003</v>
      </c>
      <c r="U110" s="11">
        <v>0.46500000000000002</v>
      </c>
      <c r="V110" s="11">
        <v>0</v>
      </c>
      <c r="W110" s="11">
        <v>20.399999999999999</v>
      </c>
      <c r="X110" s="11">
        <v>6</v>
      </c>
      <c r="Y110" s="11">
        <v>14</v>
      </c>
      <c r="Z110" s="11"/>
      <c r="AA110" s="11">
        <v>0.23</v>
      </c>
      <c r="AB110" s="11">
        <v>0.17899999999999999</v>
      </c>
      <c r="AC110" s="11">
        <v>200</v>
      </c>
      <c r="AD110" s="11">
        <v>2.7E-2</v>
      </c>
      <c r="AE110" s="11">
        <v>0.23200000000000001</v>
      </c>
      <c r="AF110" s="11">
        <v>0.10199999999999999</v>
      </c>
      <c r="AG110" s="11">
        <v>56</v>
      </c>
      <c r="AH110" s="11">
        <v>2</v>
      </c>
      <c r="AI110" s="11">
        <v>3.9079999999999999</v>
      </c>
      <c r="AJ110" s="11">
        <v>88</v>
      </c>
      <c r="AK110" s="11">
        <v>28.4</v>
      </c>
      <c r="AL110" s="11">
        <v>5.9</v>
      </c>
      <c r="AM110" s="11">
        <v>3.0670000000000002</v>
      </c>
      <c r="AN110" s="11">
        <v>0.1</v>
      </c>
      <c r="AO110" s="11">
        <v>0</v>
      </c>
      <c r="AP110" s="11">
        <v>0</v>
      </c>
      <c r="AQ110" s="11">
        <v>0.2</v>
      </c>
      <c r="AR110" s="11">
        <v>0.2</v>
      </c>
      <c r="AS110" s="11">
        <v>0.5</v>
      </c>
      <c r="AT110" s="11">
        <v>0.1</v>
      </c>
      <c r="AU110" s="11">
        <v>0.4</v>
      </c>
      <c r="AV110" s="11">
        <v>1.1000000000000001</v>
      </c>
      <c r="AW110" s="11">
        <v>0.3</v>
      </c>
      <c r="AX110" s="9">
        <f>Tabelle1[[#This Row],[Vitamin D3 '[µg/100g']]]*40</f>
        <v>9.2000000000000011</v>
      </c>
      <c r="AY110" s="9">
        <f>Tabelle1[[#This Row],[Vitamin A '[µg/100g']]]*3.33</f>
        <v>666</v>
      </c>
      <c r="AZ110" s="9">
        <f>Tabelle1[[#This Row],[Vitamin E '[mg/100g']]]*1.49</f>
        <v>0.26671</v>
      </c>
    </row>
    <row r="111" spans="1:52" hidden="1" x14ac:dyDescent="0.45">
      <c r="A111" t="s">
        <v>641</v>
      </c>
      <c r="B111" s="5" t="s">
        <v>561</v>
      </c>
      <c r="C111" s="6" t="s">
        <v>562</v>
      </c>
      <c r="D111" s="13">
        <v>173</v>
      </c>
      <c r="E111" s="11">
        <f>Tabelle1[[#This Row],[Energie '[kcal/100g']]]/239</f>
        <v>0.72384937238493718</v>
      </c>
      <c r="F111" s="13">
        <v>12.2</v>
      </c>
      <c r="G111" s="11">
        <f>Tabelle1[[#This Row],[Rohprotein '[g/100g']]]*0.85</f>
        <v>10.37</v>
      </c>
      <c r="H111" s="13">
        <v>12</v>
      </c>
      <c r="I111" s="11">
        <f>Tabelle1[[#This Row],[TS]]-Tabelle1[[#This Row],[Rohprotein '[g/100g']]]-Tabelle1[[#This Row],[Rohfett '[g/100g']]]-Tabelle1[[#This Row],[Rohasche '[g/100g']]]-Tabelle1[[#This Row],[Rohfaser '[g/100g']]]</f>
        <v>2.8749999999999956</v>
      </c>
      <c r="J111" s="11">
        <v>0</v>
      </c>
      <c r="K111" s="13">
        <v>0.79</v>
      </c>
      <c r="L111" s="13">
        <v>72.135000000000005</v>
      </c>
      <c r="M111" s="13">
        <f>100-Tabelle1[[#This Row],[Wasser '[g/100g']]]</f>
        <v>27.864999999999995</v>
      </c>
      <c r="N111" s="13">
        <v>87</v>
      </c>
      <c r="O111" s="13">
        <v>138</v>
      </c>
      <c r="P111" s="13">
        <v>7</v>
      </c>
      <c r="Q111" s="13">
        <v>211</v>
      </c>
      <c r="R111" s="13">
        <v>81</v>
      </c>
      <c r="S111" s="13"/>
      <c r="T111" s="13">
        <v>0.27600000000000002</v>
      </c>
      <c r="U111" s="13">
        <v>0.45900000000000002</v>
      </c>
      <c r="V111" s="11">
        <v>0</v>
      </c>
      <c r="W111" s="13">
        <v>20.2</v>
      </c>
      <c r="X111" s="13">
        <v>6</v>
      </c>
      <c r="Y111" s="13">
        <v>14</v>
      </c>
      <c r="Z111" s="13"/>
      <c r="AA111" s="13">
        <v>0.25</v>
      </c>
      <c r="AB111" s="13">
        <v>0.19500000000000001</v>
      </c>
      <c r="AC111" s="13">
        <v>63</v>
      </c>
      <c r="AD111" s="13">
        <v>2.7E-2</v>
      </c>
      <c r="AE111" s="13">
        <v>0.23</v>
      </c>
      <c r="AF111" s="13">
        <v>0.10100000000000001</v>
      </c>
      <c r="AG111" s="13">
        <v>55</v>
      </c>
      <c r="AH111" s="13">
        <v>2</v>
      </c>
      <c r="AI111" s="13">
        <v>3.8639999999999999</v>
      </c>
      <c r="AJ111" s="13">
        <v>96</v>
      </c>
      <c r="AK111" s="13">
        <v>14</v>
      </c>
      <c r="AL111" s="13">
        <v>5.9</v>
      </c>
      <c r="AM111" s="13">
        <v>3.032</v>
      </c>
      <c r="AN111" s="13">
        <v>0.1</v>
      </c>
      <c r="AO111" s="13">
        <v>0</v>
      </c>
      <c r="AP111" s="13">
        <v>0</v>
      </c>
      <c r="AQ111" s="13">
        <v>0.2</v>
      </c>
      <c r="AR111" s="13">
        <v>0.2</v>
      </c>
      <c r="AS111" s="13">
        <v>0.5</v>
      </c>
      <c r="AT111" s="13">
        <v>0.1</v>
      </c>
      <c r="AU111" s="13">
        <v>0.4</v>
      </c>
      <c r="AV111" s="13">
        <v>1.1000000000000001</v>
      </c>
      <c r="AW111" s="13">
        <v>0.3</v>
      </c>
      <c r="AX111" s="9">
        <f>Tabelle1[[#This Row],[Vitamin D3 '[µg/100g']]]*40</f>
        <v>10</v>
      </c>
      <c r="AY111" s="9">
        <f>Tabelle1[[#This Row],[Vitamin A '[µg/100g']]]*3.33</f>
        <v>209.79</v>
      </c>
      <c r="AZ111" s="9">
        <f>Tabelle1[[#This Row],[Vitamin E '[mg/100g']]]*1.49</f>
        <v>0.29055000000000003</v>
      </c>
    </row>
    <row r="112" spans="1:52" hidden="1" x14ac:dyDescent="0.45">
      <c r="A112" t="s">
        <v>641</v>
      </c>
      <c r="B112" s="5" t="s">
        <v>563</v>
      </c>
      <c r="C112" s="6" t="s">
        <v>564</v>
      </c>
      <c r="D112" s="13">
        <v>202</v>
      </c>
      <c r="E112" s="11">
        <f>Tabelle1[[#This Row],[Energie '[kcal/100g']]]/239</f>
        <v>0.84518828451882844</v>
      </c>
      <c r="F112" s="13">
        <v>9.74</v>
      </c>
      <c r="G112" s="11">
        <f>Tabelle1[[#This Row],[Rohprotein '[g/100g']]]*0.85</f>
        <v>8.2789999999999999</v>
      </c>
      <c r="H112" s="13">
        <v>16.61</v>
      </c>
      <c r="I112" s="11">
        <f>Tabelle1[[#This Row],[TS]]-Tabelle1[[#This Row],[Rohprotein '[g/100g']]]-Tabelle1[[#This Row],[Rohfett '[g/100g']]]-Tabelle1[[#This Row],[Rohasche '[g/100g']]]-Tabelle1[[#This Row],[Rohfaser '[g/100g']]]</f>
        <v>3.4199999999999928</v>
      </c>
      <c r="J112" s="11">
        <v>0</v>
      </c>
      <c r="K112" s="13">
        <v>1.33</v>
      </c>
      <c r="L112" s="13">
        <v>68.900000000000006</v>
      </c>
      <c r="M112" s="13">
        <f>100-Tabelle1[[#This Row],[Wasser '[g/100g']]]</f>
        <v>31.099999999999994</v>
      </c>
      <c r="N112" s="13">
        <v>87.2</v>
      </c>
      <c r="O112" s="13">
        <v>132</v>
      </c>
      <c r="P112" s="13">
        <v>8.42</v>
      </c>
      <c r="Q112" s="13">
        <v>320</v>
      </c>
      <c r="R112" s="13">
        <v>112</v>
      </c>
      <c r="S112" s="13"/>
      <c r="T112" s="13">
        <v>0.1</v>
      </c>
      <c r="U112" s="13">
        <v>0.51500000000000001</v>
      </c>
      <c r="V112" s="11">
        <v>0</v>
      </c>
      <c r="W112" s="13">
        <v>10</v>
      </c>
      <c r="X112" s="13">
        <v>6.83</v>
      </c>
      <c r="Y112" s="13">
        <v>18</v>
      </c>
      <c r="Z112" s="13"/>
      <c r="AA112" s="13">
        <v>0</v>
      </c>
      <c r="AB112" s="13">
        <v>0.437</v>
      </c>
      <c r="AC112" s="13">
        <v>169</v>
      </c>
      <c r="AD112" s="13">
        <v>0.03</v>
      </c>
      <c r="AE112" s="13">
        <v>0.32</v>
      </c>
      <c r="AF112" s="13">
        <v>0.27</v>
      </c>
      <c r="AG112" s="13">
        <v>30</v>
      </c>
      <c r="AH112" s="13">
        <v>0.49</v>
      </c>
      <c r="AI112" s="13">
        <v>0</v>
      </c>
      <c r="AJ112" s="13">
        <v>12.3</v>
      </c>
      <c r="AK112" s="13">
        <v>16.7</v>
      </c>
      <c r="AL112" s="13">
        <v>1.85</v>
      </c>
      <c r="AM112" s="13">
        <v>2.73</v>
      </c>
      <c r="AN112" s="13">
        <v>9.0999999999999998E-2</v>
      </c>
      <c r="AO112" s="13">
        <v>0.01</v>
      </c>
      <c r="AP112" s="13">
        <v>2E-3</v>
      </c>
      <c r="AQ112" s="13">
        <v>0.33300000000000002</v>
      </c>
      <c r="AR112" s="13">
        <v>0.28699999999999998</v>
      </c>
      <c r="AS112" s="13">
        <v>0.38</v>
      </c>
      <c r="AT112" s="13">
        <v>0.1</v>
      </c>
      <c r="AU112" s="13">
        <v>0.28999999999999998</v>
      </c>
      <c r="AV112" s="13">
        <v>0.86</v>
      </c>
      <c r="AW112" s="13">
        <v>0.26</v>
      </c>
      <c r="AX112" s="9">
        <f>Tabelle1[[#This Row],[Vitamin D3 '[µg/100g']]]*40</f>
        <v>0</v>
      </c>
      <c r="AY112" s="9">
        <f>Tabelle1[[#This Row],[Vitamin A '[µg/100g']]]*3.33</f>
        <v>562.77</v>
      </c>
      <c r="AZ112" s="9">
        <f>Tabelle1[[#This Row],[Vitamin E '[mg/100g']]]*1.49</f>
        <v>0.65112999999999999</v>
      </c>
    </row>
    <row r="113" spans="1:52" hidden="1" x14ac:dyDescent="0.45">
      <c r="A113" t="s">
        <v>641</v>
      </c>
      <c r="B113" s="5" t="s">
        <v>565</v>
      </c>
      <c r="C113" s="6" t="s">
        <v>566</v>
      </c>
      <c r="D113" s="13">
        <v>252</v>
      </c>
      <c r="E113" s="11">
        <f>Tabelle1[[#This Row],[Energie '[kcal/100g']]]/239</f>
        <v>1.0543933054393306</v>
      </c>
      <c r="F113" s="13">
        <v>6.6</v>
      </c>
      <c r="G113" s="11">
        <f>Tabelle1[[#This Row],[Rohprotein '[g/100g']]]*0.85</f>
        <v>5.6099999999999994</v>
      </c>
      <c r="H113" s="13">
        <v>23.25</v>
      </c>
      <c r="I113" s="11">
        <f>Tabelle1[[#This Row],[TS]]-Tabelle1[[#This Row],[Rohprotein '[g/100g']]]-Tabelle1[[#This Row],[Rohfett '[g/100g']]]-Tabelle1[[#This Row],[Rohasche '[g/100g']]]-Tabelle1[[#This Row],[Rohfaser '[g/100g']]]</f>
        <v>3.270000000000004</v>
      </c>
      <c r="J113" s="11">
        <v>0</v>
      </c>
      <c r="K113" s="13">
        <v>1.28</v>
      </c>
      <c r="L113" s="13">
        <v>65.599999999999994</v>
      </c>
      <c r="M113" s="13">
        <f>100-Tabelle1[[#This Row],[Wasser '[g/100g']]]</f>
        <v>34.400000000000006</v>
      </c>
      <c r="N113" s="13">
        <v>91.4</v>
      </c>
      <c r="O113" s="13">
        <v>95.8</v>
      </c>
      <c r="P113" s="13">
        <v>7.9</v>
      </c>
      <c r="Q113" s="13">
        <v>284.5</v>
      </c>
      <c r="R113" s="13">
        <v>111.5</v>
      </c>
      <c r="S113" s="13"/>
      <c r="T113" s="13">
        <v>4.9000000000000002E-2</v>
      </c>
      <c r="U113" s="13">
        <v>0.44</v>
      </c>
      <c r="V113" s="11">
        <v>0</v>
      </c>
      <c r="W113" s="13">
        <v>9.6</v>
      </c>
      <c r="X113" s="13">
        <v>3</v>
      </c>
      <c r="Y113" s="13">
        <v>20</v>
      </c>
      <c r="Z113" s="13"/>
      <c r="AA113" s="13">
        <v>0</v>
      </c>
      <c r="AB113" s="13">
        <v>0.55000000000000004</v>
      </c>
      <c r="AC113" s="13">
        <v>215</v>
      </c>
      <c r="AD113" s="13">
        <v>0</v>
      </c>
      <c r="AE113" s="13">
        <v>0.2</v>
      </c>
      <c r="AF113" s="13">
        <v>0</v>
      </c>
      <c r="AG113" s="13">
        <v>100</v>
      </c>
      <c r="AH113" s="13">
        <v>0</v>
      </c>
      <c r="AI113" s="13">
        <v>0</v>
      </c>
      <c r="AJ113" s="13">
        <v>12.3</v>
      </c>
      <c r="AK113" s="13">
        <v>2.7</v>
      </c>
      <c r="AL113" s="13">
        <v>1.85</v>
      </c>
      <c r="AM113" s="13">
        <v>3.69</v>
      </c>
      <c r="AN113" s="13">
        <v>0.13100000000000001</v>
      </c>
      <c r="AO113" s="13">
        <v>0</v>
      </c>
      <c r="AP113" s="13">
        <v>0</v>
      </c>
      <c r="AQ113" s="13">
        <v>0.50690000000000002</v>
      </c>
      <c r="AR113" s="13">
        <v>0.42630000000000001</v>
      </c>
      <c r="AS113" s="13">
        <v>0.20599999999999999</v>
      </c>
      <c r="AT113" s="13">
        <v>0.04</v>
      </c>
      <c r="AU113" s="13">
        <v>0.16</v>
      </c>
      <c r="AV113" s="13">
        <v>0.48399999999999999</v>
      </c>
      <c r="AW113" s="13">
        <v>0.13200000000000001</v>
      </c>
      <c r="AX113" s="9">
        <f>Tabelle1[[#This Row],[Vitamin D3 '[µg/100g']]]*40</f>
        <v>0</v>
      </c>
      <c r="AY113" s="9">
        <f>Tabelle1[[#This Row],[Vitamin A '[µg/100g']]]*3.33</f>
        <v>715.95</v>
      </c>
      <c r="AZ113" s="9">
        <f>Tabelle1[[#This Row],[Vitamin E '[mg/100g']]]*1.49</f>
        <v>0.81950000000000001</v>
      </c>
    </row>
    <row r="114" spans="1:52" hidden="1" x14ac:dyDescent="0.45">
      <c r="A114" s="14" t="s">
        <v>534</v>
      </c>
      <c r="B114" s="5" t="s">
        <v>1009</v>
      </c>
      <c r="C114" s="6" t="s">
        <v>1010</v>
      </c>
      <c r="D114" s="13">
        <v>82</v>
      </c>
      <c r="E114" s="11">
        <f>Tabelle1[[#This Row],[Energie '[kcal/100g']]]/239</f>
        <v>0.34309623430962344</v>
      </c>
      <c r="F114" s="13">
        <v>3.6</v>
      </c>
      <c r="G114" s="11">
        <f>Tabelle1[[#This Row],[Rohprotein '[g/100g']]]*0.85</f>
        <v>3.06</v>
      </c>
      <c r="H114" s="13">
        <v>1.55</v>
      </c>
      <c r="I114" s="11">
        <f>Tabelle1[[#This Row],[TS]]-Tabelle1[[#This Row],[Rohprotein '[g/100g']]]-Tabelle1[[#This Row],[Rohfett '[g/100g']]]-Tabelle1[[#This Row],[Rohasche '[g/100g']]]-Tabelle1[[#This Row],[Rohfaser '[g/100g']]]</f>
        <v>12.760000000000002</v>
      </c>
      <c r="J114" s="11">
        <v>0</v>
      </c>
      <c r="K114" s="13">
        <v>0.79</v>
      </c>
      <c r="L114" s="13">
        <v>81.3</v>
      </c>
      <c r="M114" s="13">
        <f>100-Tabelle1[[#This Row],[Wasser '[g/100g']]]</f>
        <v>18.700000000000003</v>
      </c>
      <c r="N114" s="13">
        <v>8</v>
      </c>
      <c r="O114" s="13">
        <v>28</v>
      </c>
      <c r="P114" s="13">
        <v>9.1999999999999993</v>
      </c>
      <c r="Q114" s="13">
        <v>123</v>
      </c>
      <c r="R114" s="13">
        <v>25</v>
      </c>
      <c r="S114" s="13"/>
      <c r="T114" s="13">
        <v>0.2</v>
      </c>
      <c r="U114" s="13">
        <v>0.27</v>
      </c>
      <c r="V114" s="11">
        <v>0</v>
      </c>
      <c r="W114" s="13">
        <v>60</v>
      </c>
      <c r="X114" s="13">
        <v>181</v>
      </c>
      <c r="Y114" s="13">
        <v>0</v>
      </c>
      <c r="Z114" s="13"/>
      <c r="AA114" s="13">
        <v>0</v>
      </c>
      <c r="AB114" s="13">
        <v>0.79300000000000004</v>
      </c>
      <c r="AC114" s="13">
        <v>0</v>
      </c>
      <c r="AD114" s="13">
        <v>0.04</v>
      </c>
      <c r="AE114" s="13">
        <v>0.01</v>
      </c>
      <c r="AF114" s="13">
        <v>0.48</v>
      </c>
      <c r="AG114" s="13">
        <v>41</v>
      </c>
      <c r="AH114" s="13">
        <v>0</v>
      </c>
      <c r="AI114" s="13">
        <v>0</v>
      </c>
      <c r="AJ114" s="13">
        <v>0</v>
      </c>
      <c r="AK114" s="13">
        <v>4.0999999999999996</v>
      </c>
      <c r="AL114" s="13">
        <v>0.4</v>
      </c>
      <c r="AM114" s="13">
        <v>0</v>
      </c>
      <c r="AN114" s="13">
        <v>0</v>
      </c>
      <c r="AO114" s="13">
        <v>0</v>
      </c>
      <c r="AP114" s="13">
        <v>0</v>
      </c>
      <c r="AQ114" s="13">
        <v>0.8</v>
      </c>
      <c r="AR114" s="13">
        <v>0.8</v>
      </c>
      <c r="AS114" s="13">
        <v>0.1</v>
      </c>
      <c r="AT114" s="13">
        <v>0.1</v>
      </c>
      <c r="AU114" s="13">
        <v>0.1</v>
      </c>
      <c r="AV114" s="13">
        <v>0.1</v>
      </c>
      <c r="AW114" s="13">
        <v>0.1</v>
      </c>
      <c r="AX114" s="9">
        <f>Tabelle1[[#This Row],[Vitamin D3 '[µg/100g']]]*40</f>
        <v>0</v>
      </c>
      <c r="AY114" s="9">
        <f>Tabelle1[[#This Row],[Vitamin A '[µg/100g']]]*3.33</f>
        <v>0</v>
      </c>
      <c r="AZ114" s="9">
        <f>Tabelle1[[#This Row],[Vitamin E '[mg/100g']]]*1.49</f>
        <v>1.18157</v>
      </c>
    </row>
    <row r="115" spans="1:52" hidden="1" x14ac:dyDescent="0.45">
      <c r="A115" s="14" t="s">
        <v>534</v>
      </c>
      <c r="B115" s="3" t="s">
        <v>1007</v>
      </c>
      <c r="C115" s="4" t="s">
        <v>1008</v>
      </c>
      <c r="D115" s="11">
        <v>145</v>
      </c>
      <c r="E115" s="11">
        <f>Tabelle1[[#This Row],[Energie '[kcal/100g']]]/239</f>
        <v>0.60669456066945604</v>
      </c>
      <c r="F115" s="11">
        <v>6.2</v>
      </c>
      <c r="G115" s="11">
        <f>Tabelle1[[#This Row],[Rohprotein '[g/100g']]]*0.85</f>
        <v>5.27</v>
      </c>
      <c r="H115" s="11">
        <v>2.65</v>
      </c>
      <c r="I115" s="11">
        <f>Tabelle1[[#This Row],[TS]]-Tabelle1[[#This Row],[Rohprotein '[g/100g']]]-Tabelle1[[#This Row],[Rohfett '[g/100g']]]-Tabelle1[[#This Row],[Rohasche '[g/100g']]]-Tabelle1[[#This Row],[Rohfaser '[g/100g']]]</f>
        <v>23.700000000000006</v>
      </c>
      <c r="J115" s="11">
        <v>0</v>
      </c>
      <c r="K115" s="11">
        <v>1.35</v>
      </c>
      <c r="L115" s="11">
        <v>66.099999999999994</v>
      </c>
      <c r="M115" s="11">
        <f>100-Tabelle1[[#This Row],[Wasser '[g/100g']]]</f>
        <v>33.900000000000006</v>
      </c>
      <c r="N115" s="11">
        <v>15</v>
      </c>
      <c r="O115" s="11">
        <v>51</v>
      </c>
      <c r="P115" s="11">
        <v>18.5</v>
      </c>
      <c r="Q115" s="11">
        <v>422</v>
      </c>
      <c r="R115" s="11">
        <v>70</v>
      </c>
      <c r="S115" s="11"/>
      <c r="T115" s="11">
        <v>0.5</v>
      </c>
      <c r="U115" s="11">
        <v>0.47</v>
      </c>
      <c r="V115" s="11">
        <v>0</v>
      </c>
      <c r="W115" s="11">
        <v>120</v>
      </c>
      <c r="X115" s="11">
        <v>310</v>
      </c>
      <c r="Y115" s="11">
        <v>0</v>
      </c>
      <c r="Z115" s="11"/>
      <c r="AA115" s="11">
        <v>0</v>
      </c>
      <c r="AB115" s="11">
        <v>1.3560000000000001</v>
      </c>
      <c r="AC115" s="11">
        <v>0</v>
      </c>
      <c r="AD115" s="11">
        <v>0.09</v>
      </c>
      <c r="AE115" s="11">
        <v>0.02</v>
      </c>
      <c r="AF115" s="11">
        <v>0.91</v>
      </c>
      <c r="AG115" s="11">
        <v>78</v>
      </c>
      <c r="AH115" s="11">
        <v>0</v>
      </c>
      <c r="AI115" s="11">
        <v>0</v>
      </c>
      <c r="AJ115" s="11">
        <v>0</v>
      </c>
      <c r="AK115" s="11">
        <v>10.1</v>
      </c>
      <c r="AL115" s="11">
        <v>0.68</v>
      </c>
      <c r="AM115" s="11">
        <v>0</v>
      </c>
      <c r="AN115" s="11">
        <v>0</v>
      </c>
      <c r="AO115" s="11">
        <v>0</v>
      </c>
      <c r="AP115" s="11">
        <v>0</v>
      </c>
      <c r="AQ115" s="11">
        <v>1.4</v>
      </c>
      <c r="AR115" s="11">
        <v>1.4</v>
      </c>
      <c r="AS115" s="11">
        <v>0.2</v>
      </c>
      <c r="AT115" s="11">
        <v>0.1</v>
      </c>
      <c r="AU115" s="11">
        <v>0.1</v>
      </c>
      <c r="AV115" s="11">
        <v>0.1</v>
      </c>
      <c r="AW115" s="11">
        <v>0.1</v>
      </c>
      <c r="AX115" s="9">
        <f>Tabelle1[[#This Row],[Vitamin D3 '[µg/100g']]]*40</f>
        <v>0</v>
      </c>
      <c r="AY115" s="9">
        <f>Tabelle1[[#This Row],[Vitamin A '[µg/100g']]]*3.33</f>
        <v>0</v>
      </c>
      <c r="AZ115" s="9">
        <f>Tabelle1[[#This Row],[Vitamin E '[mg/100g']]]*1.49</f>
        <v>2.0204400000000002</v>
      </c>
    </row>
    <row r="116" spans="1:52" hidden="1" x14ac:dyDescent="0.45">
      <c r="A116" t="s">
        <v>58</v>
      </c>
      <c r="B116" s="5" t="s">
        <v>271</v>
      </c>
      <c r="C116" s="6" t="s">
        <v>272</v>
      </c>
      <c r="D116" s="13">
        <v>257</v>
      </c>
      <c r="E116" s="13">
        <f>Tabelle1[[#This Row],[Energie '[kcal/100g']]]/239</f>
        <v>1.0753138075313808</v>
      </c>
      <c r="F116" s="13">
        <v>22.73</v>
      </c>
      <c r="G116" s="13">
        <f>Tabelle1[[#This Row],[Rohprotein '[g/100g']]]*0.85</f>
        <v>19.320499999999999</v>
      </c>
      <c r="H116" s="13">
        <v>18.507000000000001</v>
      </c>
      <c r="I116" s="11">
        <f>Tabelle1[[#This Row],[TS]]-Tabelle1[[#This Row],[Rohprotein '[g/100g']]]-Tabelle1[[#This Row],[Rohfett '[g/100g']]]-Tabelle1[[#This Row],[Rohasche '[g/100g']]]-Tabelle1[[#This Row],[Rohfaser '[g/100g']]]</f>
        <v>-3.9968028886505635E-15</v>
      </c>
      <c r="J116" s="11">
        <v>0</v>
      </c>
      <c r="K116" s="13">
        <v>1.1419999999999999</v>
      </c>
      <c r="L116" s="13">
        <v>57.621000000000002</v>
      </c>
      <c r="M116" s="13">
        <f>100-Tabelle1[[#This Row],[Wasser '[g/100g']]]</f>
        <v>42.378999999999998</v>
      </c>
      <c r="N116" s="13">
        <v>18</v>
      </c>
      <c r="O116" s="13">
        <v>233</v>
      </c>
      <c r="P116" s="13">
        <v>29</v>
      </c>
      <c r="Q116" s="13">
        <v>109</v>
      </c>
      <c r="R116" s="13">
        <v>564</v>
      </c>
      <c r="S116" s="13"/>
      <c r="T116" s="13">
        <v>2.694</v>
      </c>
      <c r="U116" s="13">
        <v>1.94</v>
      </c>
      <c r="V116" s="11">
        <v>0</v>
      </c>
      <c r="W116" s="13">
        <v>419</v>
      </c>
      <c r="X116" s="13">
        <v>75</v>
      </c>
      <c r="Y116" s="13">
        <v>4</v>
      </c>
      <c r="Z116" s="13"/>
      <c r="AA116" s="13">
        <v>0.2</v>
      </c>
      <c r="AB116" s="13">
        <v>0.5101</v>
      </c>
      <c r="AC116" s="13">
        <v>39</v>
      </c>
      <c r="AD116" s="13">
        <v>0.11600000000000001</v>
      </c>
      <c r="AE116" s="13">
        <v>0.34899999999999998</v>
      </c>
      <c r="AF116" s="13">
        <v>7.6420000000000003</v>
      </c>
      <c r="AG116" s="13">
        <v>563</v>
      </c>
      <c r="AH116" s="13">
        <v>7.0000000000000007E-2</v>
      </c>
      <c r="AI116" s="13">
        <v>8.6</v>
      </c>
      <c r="AJ116" s="13">
        <v>3.48</v>
      </c>
      <c r="AK116" s="13">
        <v>3</v>
      </c>
      <c r="AL116" s="13">
        <v>0.88</v>
      </c>
      <c r="AM116" s="13">
        <v>0</v>
      </c>
      <c r="AN116" s="13">
        <v>0.113</v>
      </c>
      <c r="AO116" s="11">
        <v>3.0000000000000001E-3</v>
      </c>
      <c r="AP116" s="13">
        <v>0</v>
      </c>
      <c r="AQ116" s="13">
        <v>1.833</v>
      </c>
      <c r="AR116" s="13">
        <v>1.833</v>
      </c>
      <c r="AS116" s="13">
        <v>1.419</v>
      </c>
      <c r="AT116" s="13">
        <v>0</v>
      </c>
      <c r="AU116" s="13">
        <v>0.63700000000000001</v>
      </c>
      <c r="AV116" s="13">
        <v>1.7949999999999999</v>
      </c>
      <c r="AW116" s="13">
        <v>0.55000000000000004</v>
      </c>
      <c r="AX116" s="9">
        <f>Tabelle1[[#This Row],[Vitamin D3 '[µg/100g']]]*40</f>
        <v>8</v>
      </c>
      <c r="AY116" s="9">
        <f>Tabelle1[[#This Row],[Vitamin A '[µg/100g']]]*3.33</f>
        <v>129.87</v>
      </c>
      <c r="AZ116" s="9">
        <f>Tabelle1[[#This Row],[Vitamin E '[mg/100g']]]*1.49</f>
        <v>0.76004899999999997</v>
      </c>
    </row>
    <row r="117" spans="1:52" hidden="1" x14ac:dyDescent="0.45">
      <c r="A117" t="s">
        <v>58</v>
      </c>
      <c r="B117" s="3" t="s">
        <v>273</v>
      </c>
      <c r="C117" s="4" t="s">
        <v>274</v>
      </c>
      <c r="D117" s="11">
        <v>296</v>
      </c>
      <c r="E117" s="13">
        <f>Tabelle1[[#This Row],[Energie '[kcal/100g']]]/239</f>
        <v>1.2384937238493723</v>
      </c>
      <c r="F117" s="11">
        <v>24.172999999999998</v>
      </c>
      <c r="G117" s="13">
        <f>Tabelle1[[#This Row],[Rohprotein '[g/100g']]]*0.85</f>
        <v>20.547049999999999</v>
      </c>
      <c r="H117" s="11">
        <v>22.143000000000001</v>
      </c>
      <c r="I117" s="11">
        <f>Tabelle1[[#This Row],[TS]]-Tabelle1[[#This Row],[Rohprotein '[g/100g']]]-Tabelle1[[#This Row],[Rohfett '[g/100g']]]-Tabelle1[[#This Row],[Rohasche '[g/100g']]]-Tabelle1[[#This Row],[Rohfaser '[g/100g']]]</f>
        <v>2.2204460492503131E-15</v>
      </c>
      <c r="J117" s="11">
        <v>0</v>
      </c>
      <c r="K117" s="11">
        <v>1.214</v>
      </c>
      <c r="L117" s="11">
        <v>52.47</v>
      </c>
      <c r="M117" s="11">
        <f>100-Tabelle1[[#This Row],[Wasser '[g/100g']]]</f>
        <v>47.53</v>
      </c>
      <c r="N117" s="11">
        <v>19</v>
      </c>
      <c r="O117" s="11">
        <v>248</v>
      </c>
      <c r="P117" s="11">
        <v>31</v>
      </c>
      <c r="Q117" s="11">
        <v>116</v>
      </c>
      <c r="R117" s="11">
        <v>600</v>
      </c>
      <c r="S117" s="11"/>
      <c r="T117" s="11">
        <v>2.8650000000000002</v>
      </c>
      <c r="U117" s="11">
        <v>2.0630000000000002</v>
      </c>
      <c r="V117" s="11">
        <v>0</v>
      </c>
      <c r="W117" s="11">
        <v>445</v>
      </c>
      <c r="X117" s="11">
        <v>79</v>
      </c>
      <c r="Y117" s="11">
        <v>5</v>
      </c>
      <c r="Z117" s="11"/>
      <c r="AA117" s="11">
        <v>0.4</v>
      </c>
      <c r="AB117" s="11">
        <v>1.0173000000000001</v>
      </c>
      <c r="AC117" s="11">
        <v>77</v>
      </c>
      <c r="AD117" s="11">
        <v>0.13300000000000001</v>
      </c>
      <c r="AE117" s="11">
        <v>0.371</v>
      </c>
      <c r="AF117" s="11">
        <v>8.6349999999999998</v>
      </c>
      <c r="AG117" s="11">
        <v>598</v>
      </c>
      <c r="AH117" s="11">
        <v>0.09</v>
      </c>
      <c r="AI117" s="11">
        <v>9.1</v>
      </c>
      <c r="AJ117" s="11">
        <v>6.94</v>
      </c>
      <c r="AK117" s="11">
        <v>3</v>
      </c>
      <c r="AL117" s="11">
        <v>0.93</v>
      </c>
      <c r="AM117" s="11">
        <v>0</v>
      </c>
      <c r="AN117" s="11">
        <v>0.13600000000000001</v>
      </c>
      <c r="AO117" s="11">
        <v>3.0000000000000001E-3</v>
      </c>
      <c r="AP117" s="13">
        <v>0</v>
      </c>
      <c r="AQ117" s="11">
        <v>2.1930000000000001</v>
      </c>
      <c r="AR117" s="11">
        <v>2.1930000000000001</v>
      </c>
      <c r="AS117" s="11">
        <v>1.5089999999999999</v>
      </c>
      <c r="AT117" s="13">
        <v>0</v>
      </c>
      <c r="AU117" s="11">
        <v>0.67700000000000005</v>
      </c>
      <c r="AV117" s="11">
        <v>1.909</v>
      </c>
      <c r="AW117" s="11">
        <v>0.58499999999999996</v>
      </c>
      <c r="AX117" s="9">
        <f>Tabelle1[[#This Row],[Vitamin D3 '[µg/100g']]]*40</f>
        <v>16</v>
      </c>
      <c r="AY117" s="9">
        <f>Tabelle1[[#This Row],[Vitamin A '[µg/100g']]]*3.33</f>
        <v>256.41000000000003</v>
      </c>
      <c r="AZ117" s="9">
        <f>Tabelle1[[#This Row],[Vitamin E '[mg/100g']]]*1.49</f>
        <v>1.5157770000000002</v>
      </c>
    </row>
    <row r="118" spans="1:52" hidden="1" x14ac:dyDescent="0.45">
      <c r="A118" t="s">
        <v>58</v>
      </c>
      <c r="B118" s="5" t="s">
        <v>275</v>
      </c>
      <c r="C118" s="6" t="s">
        <v>276</v>
      </c>
      <c r="D118" s="13">
        <v>260</v>
      </c>
      <c r="E118" s="13">
        <f>Tabelle1[[#This Row],[Energie '[kcal/100g']]]/239</f>
        <v>1.0878661087866108</v>
      </c>
      <c r="F118" s="13">
        <v>20.186</v>
      </c>
      <c r="G118" s="13">
        <f>Tabelle1[[#This Row],[Rohprotein '[g/100g']]]*0.85</f>
        <v>17.158100000000001</v>
      </c>
      <c r="H118" s="13">
        <v>19.928999999999998</v>
      </c>
      <c r="I118" s="11">
        <f>Tabelle1[[#This Row],[TS]]-Tabelle1[[#This Row],[Rohprotein '[g/100g']]]-Tabelle1[[#This Row],[Rohfett '[g/100g']]]-Tabelle1[[#This Row],[Rohasche '[g/100g']]]-Tabelle1[[#This Row],[Rohfaser '[g/100g']]]</f>
        <v>4.3298697960381105E-15</v>
      </c>
      <c r="J118" s="11">
        <v>0</v>
      </c>
      <c r="K118" s="13">
        <v>0.77100000000000002</v>
      </c>
      <c r="L118" s="13">
        <v>59.113999999999997</v>
      </c>
      <c r="M118" s="13">
        <f>100-Tabelle1[[#This Row],[Wasser '[g/100g']]]</f>
        <v>40.886000000000003</v>
      </c>
      <c r="N118" s="13">
        <v>15</v>
      </c>
      <c r="O118" s="13">
        <v>184</v>
      </c>
      <c r="P118" s="13">
        <v>23</v>
      </c>
      <c r="Q118" s="13">
        <v>49</v>
      </c>
      <c r="R118" s="13">
        <v>300</v>
      </c>
      <c r="S118" s="13"/>
      <c r="T118" s="13">
        <v>2.1709999999999998</v>
      </c>
      <c r="U118" s="13">
        <v>1.857</v>
      </c>
      <c r="V118" s="11">
        <v>0</v>
      </c>
      <c r="W118" s="13">
        <v>236</v>
      </c>
      <c r="X118" s="13">
        <v>71</v>
      </c>
      <c r="Y118" s="13">
        <v>3</v>
      </c>
      <c r="Z118" s="13"/>
      <c r="AA118" s="13">
        <v>0.2</v>
      </c>
      <c r="AB118" s="13">
        <v>0.6714</v>
      </c>
      <c r="AC118" s="13">
        <v>51</v>
      </c>
      <c r="AD118" s="13">
        <v>6.9000000000000006E-2</v>
      </c>
      <c r="AE118" s="13">
        <v>0.35299999999999998</v>
      </c>
      <c r="AF118" s="13">
        <v>5.4859999999999998</v>
      </c>
      <c r="AG118" s="13">
        <v>497</v>
      </c>
      <c r="AH118" s="13">
        <v>0.05</v>
      </c>
      <c r="AI118" s="13">
        <v>8.1999999999999993</v>
      </c>
      <c r="AJ118" s="13">
        <v>4.58</v>
      </c>
      <c r="AK118" s="13">
        <v>3</v>
      </c>
      <c r="AL118" s="13">
        <v>0.84</v>
      </c>
      <c r="AM118" s="13">
        <v>0</v>
      </c>
      <c r="AN118" s="13">
        <v>0.122</v>
      </c>
      <c r="AO118" s="11">
        <v>3.0000000000000001E-3</v>
      </c>
      <c r="AP118" s="13">
        <v>0</v>
      </c>
      <c r="AQ118" s="13">
        <v>1.974</v>
      </c>
      <c r="AR118" s="13">
        <v>1.974</v>
      </c>
      <c r="AS118" s="13">
        <v>1.26</v>
      </c>
      <c r="AT118" s="13">
        <v>0</v>
      </c>
      <c r="AU118" s="13">
        <v>0.56599999999999995</v>
      </c>
      <c r="AV118" s="13">
        <v>1.5940000000000001</v>
      </c>
      <c r="AW118" s="13">
        <v>0.48899999999999999</v>
      </c>
      <c r="AX118" s="9">
        <f>Tabelle1[[#This Row],[Vitamin D3 '[µg/100g']]]*40</f>
        <v>8</v>
      </c>
      <c r="AY118" s="9">
        <f>Tabelle1[[#This Row],[Vitamin A '[µg/100g']]]*3.33</f>
        <v>169.83</v>
      </c>
      <c r="AZ118" s="9">
        <f>Tabelle1[[#This Row],[Vitamin E '[mg/100g']]]*1.49</f>
        <v>1.000386</v>
      </c>
    </row>
    <row r="119" spans="1:52" hidden="1" x14ac:dyDescent="0.45">
      <c r="A119" t="s">
        <v>58</v>
      </c>
      <c r="B119" s="5" t="s">
        <v>277</v>
      </c>
      <c r="C119" s="6" t="s">
        <v>278</v>
      </c>
      <c r="D119" s="13">
        <v>342</v>
      </c>
      <c r="E119" s="13">
        <f>Tabelle1[[#This Row],[Energie '[kcal/100g']]]/239</f>
        <v>1.4309623430962344</v>
      </c>
      <c r="F119" s="13">
        <v>15.7</v>
      </c>
      <c r="G119" s="13">
        <f>Tabelle1[[#This Row],[Rohprotein '[g/100g']]]*0.85</f>
        <v>13.344999999999999</v>
      </c>
      <c r="H119" s="13">
        <v>31</v>
      </c>
      <c r="I119" s="11">
        <f>Tabelle1[[#This Row],[TS]]-Tabelle1[[#This Row],[Rohprotein '[g/100g']]]-Tabelle1[[#This Row],[Rohfett '[g/100g']]]-Tabelle1[[#This Row],[Rohasche '[g/100g']]]-Tabelle1[[#This Row],[Rohfaser '[g/100g']]]</f>
        <v>2.1094237467877974E-15</v>
      </c>
      <c r="J119" s="11">
        <v>0</v>
      </c>
      <c r="K119" s="13">
        <v>0.9</v>
      </c>
      <c r="L119" s="13">
        <v>52.4</v>
      </c>
      <c r="M119" s="13">
        <f>100-Tabelle1[[#This Row],[Wasser '[g/100g']]]</f>
        <v>47.6</v>
      </c>
      <c r="N119" s="13">
        <v>12</v>
      </c>
      <c r="O119" s="13">
        <v>184</v>
      </c>
      <c r="P119" s="13">
        <v>23</v>
      </c>
      <c r="Q119" s="13">
        <v>86</v>
      </c>
      <c r="R119" s="13">
        <v>420</v>
      </c>
      <c r="S119" s="13"/>
      <c r="T119" s="13">
        <v>1.9</v>
      </c>
      <c r="U119" s="13">
        <v>1.3</v>
      </c>
      <c r="V119" s="11">
        <v>0</v>
      </c>
      <c r="W119" s="13">
        <v>330</v>
      </c>
      <c r="X119" s="13">
        <v>50</v>
      </c>
      <c r="Y119" s="13">
        <v>4</v>
      </c>
      <c r="Z119" s="13"/>
      <c r="AA119" s="13">
        <v>0.3</v>
      </c>
      <c r="AB119" s="13">
        <v>0.85450000000000004</v>
      </c>
      <c r="AC119" s="13">
        <v>17</v>
      </c>
      <c r="AD119" s="13">
        <v>0.12</v>
      </c>
      <c r="AE119" s="13">
        <v>0.26</v>
      </c>
      <c r="AF119" s="13">
        <v>6.4</v>
      </c>
      <c r="AG119" s="13">
        <v>580</v>
      </c>
      <c r="AH119" s="13">
        <v>7.0000000000000007E-2</v>
      </c>
      <c r="AI119" s="13">
        <v>7.2</v>
      </c>
      <c r="AJ119" s="13">
        <v>5.83</v>
      </c>
      <c r="AK119" s="13">
        <v>7</v>
      </c>
      <c r="AL119" s="13">
        <v>0.84</v>
      </c>
      <c r="AM119" s="13">
        <v>0</v>
      </c>
      <c r="AN119" s="13">
        <v>0.19</v>
      </c>
      <c r="AO119" s="13">
        <v>0.01</v>
      </c>
      <c r="AP119" s="13">
        <v>0</v>
      </c>
      <c r="AQ119" s="13">
        <v>3.07</v>
      </c>
      <c r="AR119" s="13">
        <v>3.07</v>
      </c>
      <c r="AS119" s="13">
        <v>0.98</v>
      </c>
      <c r="AT119" s="13">
        <v>0</v>
      </c>
      <c r="AU119" s="13">
        <v>0.44</v>
      </c>
      <c r="AV119" s="13">
        <v>1.24</v>
      </c>
      <c r="AW119" s="13">
        <v>0.38</v>
      </c>
      <c r="AX119" s="9">
        <f>Tabelle1[[#This Row],[Vitamin D3 '[µg/100g']]]*40</f>
        <v>12</v>
      </c>
      <c r="AY119" s="9">
        <f>Tabelle1[[#This Row],[Vitamin A '[µg/100g']]]*3.33</f>
        <v>56.61</v>
      </c>
      <c r="AZ119" s="9">
        <f>Tabelle1[[#This Row],[Vitamin E '[mg/100g']]]*1.49</f>
        <v>1.2732050000000001</v>
      </c>
    </row>
    <row r="120" spans="1:52" hidden="1" x14ac:dyDescent="0.45">
      <c r="A120" t="s">
        <v>58</v>
      </c>
      <c r="B120" s="5" t="s">
        <v>279</v>
      </c>
      <c r="C120" s="6" t="s">
        <v>280</v>
      </c>
      <c r="D120" s="13">
        <v>176</v>
      </c>
      <c r="E120" s="13">
        <f>Tabelle1[[#This Row],[Energie '[kcal/100g']]]/239</f>
        <v>0.7364016736401674</v>
      </c>
      <c r="F120" s="13">
        <v>34</v>
      </c>
      <c r="G120" s="13">
        <f>Tabelle1[[#This Row],[Rohprotein '[g/100g']]]*0.85</f>
        <v>28.9</v>
      </c>
      <c r="H120" s="13">
        <v>4.3899999999999997</v>
      </c>
      <c r="I120" s="11">
        <f>Tabelle1[[#This Row],[TS]]-Tabelle1[[#This Row],[Rohprotein '[g/100g']]]-Tabelle1[[#This Row],[Rohfett '[g/100g']]]-Tabelle1[[#This Row],[Rohasche '[g/100g']]]-Tabelle1[[#This Row],[Rohfaser '[g/100g']]]</f>
        <v>0.67000000000000037</v>
      </c>
      <c r="J120" s="11">
        <v>0</v>
      </c>
      <c r="K120" s="13">
        <v>1.44</v>
      </c>
      <c r="L120" s="13">
        <v>59.5</v>
      </c>
      <c r="M120" s="13">
        <f>100-Tabelle1[[#This Row],[Wasser '[g/100g']]]</f>
        <v>40.5</v>
      </c>
      <c r="N120" s="13">
        <v>20</v>
      </c>
      <c r="O120" s="13">
        <v>408</v>
      </c>
      <c r="P120" s="13">
        <v>31</v>
      </c>
      <c r="Q120" s="13">
        <v>114</v>
      </c>
      <c r="R120" s="13">
        <v>582</v>
      </c>
      <c r="S120" s="13"/>
      <c r="T120" s="13">
        <v>3.76</v>
      </c>
      <c r="U120" s="13">
        <v>3.6</v>
      </c>
      <c r="V120" s="11">
        <v>0</v>
      </c>
      <c r="W120" s="13">
        <v>400</v>
      </c>
      <c r="X120" s="13">
        <v>37</v>
      </c>
      <c r="Y120" s="13">
        <v>0</v>
      </c>
      <c r="Z120" s="13"/>
      <c r="AA120" s="13">
        <v>0.2</v>
      </c>
      <c r="AB120" s="13">
        <v>0.52580000000000005</v>
      </c>
      <c r="AC120" s="13">
        <v>7</v>
      </c>
      <c r="AD120" s="13">
        <v>0.129</v>
      </c>
      <c r="AE120" s="13">
        <v>0.52200000000000002</v>
      </c>
      <c r="AF120" s="13">
        <v>5.27</v>
      </c>
      <c r="AG120" s="13">
        <v>640</v>
      </c>
      <c r="AH120" s="13">
        <v>0.08</v>
      </c>
      <c r="AI120" s="13">
        <v>8.9</v>
      </c>
      <c r="AJ120" s="13">
        <v>3.59</v>
      </c>
      <c r="AK120" s="13">
        <v>24</v>
      </c>
      <c r="AL120" s="13">
        <v>0.9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2.16</v>
      </c>
      <c r="AT120" s="13">
        <v>0.52100000000000002</v>
      </c>
      <c r="AU120" s="13">
        <v>0.89700000000000002</v>
      </c>
      <c r="AV120" s="13">
        <v>2.91</v>
      </c>
      <c r="AW120" s="13">
        <v>0.91800000000000004</v>
      </c>
      <c r="AX120" s="9">
        <f>Tabelle1[[#This Row],[Vitamin D3 '[µg/100g']]]*40</f>
        <v>8</v>
      </c>
      <c r="AY120" s="9">
        <f>Tabelle1[[#This Row],[Vitamin A '[µg/100g']]]*3.33</f>
        <v>23.310000000000002</v>
      </c>
      <c r="AZ120" s="9">
        <f>Tabelle1[[#This Row],[Vitamin E '[mg/100g']]]*1.49</f>
        <v>0.78344200000000008</v>
      </c>
    </row>
    <row r="121" spans="1:52" hidden="1" x14ac:dyDescent="0.45">
      <c r="A121" t="s">
        <v>58</v>
      </c>
      <c r="B121" s="5" t="s">
        <v>281</v>
      </c>
      <c r="C121" s="6" t="s">
        <v>282</v>
      </c>
      <c r="D121" s="13">
        <v>186</v>
      </c>
      <c r="E121" s="13">
        <f>Tabelle1[[#This Row],[Energie '[kcal/100g']]]/239</f>
        <v>0.77824267782426781</v>
      </c>
      <c r="F121" s="13">
        <v>35.1</v>
      </c>
      <c r="G121" s="13">
        <f>Tabelle1[[#This Row],[Rohprotein '[g/100g']]]*0.85</f>
        <v>29.835000000000001</v>
      </c>
      <c r="H121" s="13">
        <v>5.09</v>
      </c>
      <c r="I121" s="11">
        <f>Tabelle1[[#This Row],[TS]]-Tabelle1[[#This Row],[Rohprotein '[g/100g']]]-Tabelle1[[#This Row],[Rohfett '[g/100g']]]-Tabelle1[[#This Row],[Rohasche '[g/100g']]]-Tabelle1[[#This Row],[Rohfaser '[g/100g']]]</f>
        <v>0.72999999999999732</v>
      </c>
      <c r="J121" s="11">
        <v>0</v>
      </c>
      <c r="K121" s="13">
        <v>1.48</v>
      </c>
      <c r="L121" s="13">
        <v>57.6</v>
      </c>
      <c r="M121" s="13">
        <f>100-Tabelle1[[#This Row],[Wasser '[g/100g']]]</f>
        <v>42.4</v>
      </c>
      <c r="N121" s="13">
        <v>21</v>
      </c>
      <c r="O121" s="13">
        <v>421</v>
      </c>
      <c r="P121" s="13">
        <v>32</v>
      </c>
      <c r="Q121" s="13">
        <v>117</v>
      </c>
      <c r="R121" s="13">
        <v>600</v>
      </c>
      <c r="S121" s="13"/>
      <c r="T121" s="13">
        <v>3.88</v>
      </c>
      <c r="U121" s="13">
        <v>3.71</v>
      </c>
      <c r="V121" s="11">
        <v>0</v>
      </c>
      <c r="W121" s="13">
        <v>413</v>
      </c>
      <c r="X121" s="13">
        <v>38</v>
      </c>
      <c r="Y121" s="13">
        <v>0</v>
      </c>
      <c r="Z121" s="13"/>
      <c r="AA121" s="13">
        <v>0.4</v>
      </c>
      <c r="AB121" s="13">
        <v>1.0173000000000001</v>
      </c>
      <c r="AC121" s="13">
        <v>14</v>
      </c>
      <c r="AD121" s="13">
        <v>0.14299999999999999</v>
      </c>
      <c r="AE121" s="13">
        <v>0.53900000000000003</v>
      </c>
      <c r="AF121" s="13">
        <v>5.77</v>
      </c>
      <c r="AG121" s="13">
        <v>660</v>
      </c>
      <c r="AH121" s="13">
        <v>0.09</v>
      </c>
      <c r="AI121" s="13">
        <v>9.1</v>
      </c>
      <c r="AJ121" s="13">
        <v>6.94</v>
      </c>
      <c r="AK121" s="13">
        <v>25</v>
      </c>
      <c r="AL121" s="13">
        <v>0.93</v>
      </c>
      <c r="AM121" s="13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2.23</v>
      </c>
      <c r="AT121" s="13">
        <v>0.53700000000000003</v>
      </c>
      <c r="AU121" s="13">
        <v>0.92500000000000004</v>
      </c>
      <c r="AV121" s="13">
        <v>3</v>
      </c>
      <c r="AW121" s="13">
        <v>0.94699999999999995</v>
      </c>
      <c r="AX121" s="9">
        <f>Tabelle1[[#This Row],[Vitamin D3 '[µg/100g']]]*40</f>
        <v>16</v>
      </c>
      <c r="AY121" s="9">
        <f>Tabelle1[[#This Row],[Vitamin A '[µg/100g']]]*3.33</f>
        <v>46.620000000000005</v>
      </c>
      <c r="AZ121" s="9">
        <f>Tabelle1[[#This Row],[Vitamin E '[mg/100g']]]*1.49</f>
        <v>1.5157770000000002</v>
      </c>
    </row>
    <row r="122" spans="1:52" hidden="1" x14ac:dyDescent="0.45">
      <c r="A122" t="s">
        <v>58</v>
      </c>
      <c r="B122" s="3" t="s">
        <v>283</v>
      </c>
      <c r="C122" s="4" t="s">
        <v>284</v>
      </c>
      <c r="D122" s="11">
        <v>158</v>
      </c>
      <c r="E122" s="13">
        <f>Tabelle1[[#This Row],[Energie '[kcal/100g']]]/239</f>
        <v>0.66108786610878656</v>
      </c>
      <c r="F122" s="11">
        <v>29.3</v>
      </c>
      <c r="G122" s="13">
        <f>Tabelle1[[#This Row],[Rohprotein '[g/100g']]]*0.85</f>
        <v>24.905000000000001</v>
      </c>
      <c r="H122" s="11">
        <v>4.58</v>
      </c>
      <c r="I122" s="11">
        <f>Tabelle1[[#This Row],[TS]]-Tabelle1[[#This Row],[Rohprotein '[g/100g']]]-Tabelle1[[#This Row],[Rohfett '[g/100g']]]-Tabelle1[[#This Row],[Rohasche '[g/100g']]]-Tabelle1[[#This Row],[Rohfaser '[g/100g']]]</f>
        <v>0.67999999999999927</v>
      </c>
      <c r="J122" s="11">
        <v>0</v>
      </c>
      <c r="K122" s="11">
        <v>0.94</v>
      </c>
      <c r="L122" s="11">
        <v>64.5</v>
      </c>
      <c r="M122" s="11">
        <f>100-Tabelle1[[#This Row],[Wasser '[g/100g']]]</f>
        <v>35.5</v>
      </c>
      <c r="N122" s="11">
        <v>16</v>
      </c>
      <c r="O122" s="11">
        <v>312</v>
      </c>
      <c r="P122" s="11">
        <v>24</v>
      </c>
      <c r="Q122" s="11">
        <v>50</v>
      </c>
      <c r="R122" s="11">
        <v>300</v>
      </c>
      <c r="S122" s="11"/>
      <c r="T122" s="11">
        <v>2.94</v>
      </c>
      <c r="U122" s="11">
        <v>3.34</v>
      </c>
      <c r="V122" s="11">
        <v>0</v>
      </c>
      <c r="W122" s="11">
        <v>219</v>
      </c>
      <c r="X122" s="11">
        <v>34</v>
      </c>
      <c r="Y122" s="13">
        <v>0</v>
      </c>
      <c r="Z122" s="13"/>
      <c r="AA122" s="11">
        <v>0.2</v>
      </c>
      <c r="AB122" s="11">
        <v>0.6714</v>
      </c>
      <c r="AC122" s="11">
        <v>9</v>
      </c>
      <c r="AD122" s="11">
        <v>7.3999999999999996E-2</v>
      </c>
      <c r="AE122" s="11">
        <v>0.51200000000000001</v>
      </c>
      <c r="AF122" s="11">
        <v>3.67</v>
      </c>
      <c r="AG122" s="11">
        <v>550</v>
      </c>
      <c r="AH122" s="11">
        <v>0.05</v>
      </c>
      <c r="AI122" s="11">
        <v>8.1999999999999993</v>
      </c>
      <c r="AJ122" s="11">
        <v>4.58</v>
      </c>
      <c r="AK122" s="11">
        <v>22</v>
      </c>
      <c r="AL122" s="11">
        <v>0.84</v>
      </c>
      <c r="AM122" s="11">
        <v>0</v>
      </c>
      <c r="AN122" s="11">
        <v>0</v>
      </c>
      <c r="AO122" s="11">
        <v>0</v>
      </c>
      <c r="AP122" s="11">
        <v>0</v>
      </c>
      <c r="AQ122" s="13">
        <v>0</v>
      </c>
      <c r="AR122" s="13">
        <v>0</v>
      </c>
      <c r="AS122" s="11">
        <v>1.86</v>
      </c>
      <c r="AT122" s="11">
        <v>0.44900000000000001</v>
      </c>
      <c r="AU122" s="11">
        <v>0.77300000000000002</v>
      </c>
      <c r="AV122" s="11">
        <v>2.5099999999999998</v>
      </c>
      <c r="AW122" s="11">
        <v>0.79100000000000004</v>
      </c>
      <c r="AX122" s="9">
        <f>Tabelle1[[#This Row],[Vitamin D3 '[µg/100g']]]*40</f>
        <v>8</v>
      </c>
      <c r="AY122" s="9">
        <f>Tabelle1[[#This Row],[Vitamin A '[µg/100g']]]*3.33</f>
        <v>29.97</v>
      </c>
      <c r="AZ122" s="9">
        <f>Tabelle1[[#This Row],[Vitamin E '[mg/100g']]]*1.49</f>
        <v>1.000386</v>
      </c>
    </row>
    <row r="123" spans="1:52" hidden="1" x14ac:dyDescent="0.45">
      <c r="A123" t="s">
        <v>58</v>
      </c>
      <c r="B123" s="3" t="s">
        <v>285</v>
      </c>
      <c r="C123" s="4" t="s">
        <v>286</v>
      </c>
      <c r="D123" s="11">
        <v>155</v>
      </c>
      <c r="E123" s="13">
        <f>Tabelle1[[#This Row],[Energie '[kcal/100g']]]/239</f>
        <v>0.64853556485355646</v>
      </c>
      <c r="F123" s="11">
        <v>22.8</v>
      </c>
      <c r="G123" s="13">
        <f>Tabelle1[[#This Row],[Rohprotein '[g/100g']]]*0.85</f>
        <v>19.38</v>
      </c>
      <c r="H123" s="11">
        <v>7.13</v>
      </c>
      <c r="I123" s="11">
        <f>Tabelle1[[#This Row],[TS]]-Tabelle1[[#This Row],[Rohprotein '[g/100g']]]-Tabelle1[[#This Row],[Rohfett '[g/100g']]]-Tabelle1[[#This Row],[Rohasche '[g/100g']]]-Tabelle1[[#This Row],[Rohfaser '[g/100g']]]</f>
        <v>0.67000000000000215</v>
      </c>
      <c r="J123" s="11">
        <v>0</v>
      </c>
      <c r="K123" s="11">
        <v>1.1000000000000001</v>
      </c>
      <c r="L123" s="11">
        <v>68.3</v>
      </c>
      <c r="M123" s="11">
        <f>100-Tabelle1[[#This Row],[Wasser '[g/100g']]]</f>
        <v>31.700000000000003</v>
      </c>
      <c r="N123" s="11">
        <v>13</v>
      </c>
      <c r="O123" s="11">
        <v>312</v>
      </c>
      <c r="P123" s="11">
        <v>24</v>
      </c>
      <c r="Q123" s="11">
        <v>87</v>
      </c>
      <c r="R123" s="11">
        <v>420</v>
      </c>
      <c r="S123" s="11"/>
      <c r="T123" s="11">
        <v>2.57</v>
      </c>
      <c r="U123" s="11">
        <v>2.34</v>
      </c>
      <c r="V123" s="11">
        <v>0</v>
      </c>
      <c r="W123" s="11">
        <v>306</v>
      </c>
      <c r="X123" s="11">
        <v>24</v>
      </c>
      <c r="Y123" s="13">
        <v>0</v>
      </c>
      <c r="Z123" s="13"/>
      <c r="AA123" s="11">
        <v>0.3</v>
      </c>
      <c r="AB123" s="11">
        <v>0.85450000000000004</v>
      </c>
      <c r="AC123" s="11">
        <v>25</v>
      </c>
      <c r="AD123" s="11">
        <v>0.129</v>
      </c>
      <c r="AE123" s="11">
        <v>0.377</v>
      </c>
      <c r="AF123" s="11">
        <v>4.28</v>
      </c>
      <c r="AG123" s="11">
        <v>640</v>
      </c>
      <c r="AH123" s="11">
        <v>7.0000000000000007E-2</v>
      </c>
      <c r="AI123" s="11">
        <v>7.2</v>
      </c>
      <c r="AJ123" s="11">
        <v>5.83</v>
      </c>
      <c r="AK123" s="11">
        <v>18</v>
      </c>
      <c r="AL123" s="11">
        <v>0.84</v>
      </c>
      <c r="AM123" s="11">
        <v>0</v>
      </c>
      <c r="AN123" s="11">
        <v>0</v>
      </c>
      <c r="AO123" s="11">
        <v>0</v>
      </c>
      <c r="AP123" s="11">
        <v>0</v>
      </c>
      <c r="AQ123" s="13">
        <v>0</v>
      </c>
      <c r="AR123" s="13">
        <v>0</v>
      </c>
      <c r="AS123" s="11">
        <v>1.45</v>
      </c>
      <c r="AT123" s="11">
        <v>0.34899999999999998</v>
      </c>
      <c r="AU123" s="11">
        <v>0.60099999999999998</v>
      </c>
      <c r="AV123" s="11">
        <v>1.95</v>
      </c>
      <c r="AW123" s="11">
        <v>0.61499999999999999</v>
      </c>
      <c r="AX123" s="9">
        <f>Tabelle1[[#This Row],[Vitamin D3 '[µg/100g']]]*40</f>
        <v>12</v>
      </c>
      <c r="AY123" s="9">
        <f>Tabelle1[[#This Row],[Vitamin A '[µg/100g']]]*3.33</f>
        <v>83.25</v>
      </c>
      <c r="AZ123" s="9">
        <f>Tabelle1[[#This Row],[Vitamin E '[mg/100g']]]*1.49</f>
        <v>1.2732050000000001</v>
      </c>
    </row>
    <row r="124" spans="1:52" hidden="1" x14ac:dyDescent="0.45">
      <c r="A124" t="s">
        <v>1151</v>
      </c>
      <c r="B124" s="3" t="s">
        <v>1025</v>
      </c>
      <c r="C124" s="4" t="s">
        <v>1026</v>
      </c>
      <c r="D124" s="11">
        <v>165</v>
      </c>
      <c r="E124" s="11">
        <f>Tabelle1[[#This Row],[Energie '[kcal/100g']]]/239</f>
        <v>0.69037656903765687</v>
      </c>
      <c r="F124" s="11">
        <v>24.3</v>
      </c>
      <c r="G124" s="11">
        <f>Tabelle1[[#This Row],[Rohprotein '[g/100g']]]*0.85</f>
        <v>20.655000000000001</v>
      </c>
      <c r="H124" s="11">
        <v>6.69</v>
      </c>
      <c r="I124" s="11">
        <f>Tabelle1[[#This Row],[TS]]-Tabelle1[[#This Row],[Rohprotein '[g/100g']]]-Tabelle1[[#This Row],[Rohfett '[g/100g']]]-Tabelle1[[#This Row],[Rohasche '[g/100g']]]-Tabelle1[[#This Row],[Rohfaser '[g/100g']]]</f>
        <v>6.9499999999999966</v>
      </c>
      <c r="J124" s="11">
        <v>0</v>
      </c>
      <c r="K124" s="11">
        <v>1.46</v>
      </c>
      <c r="L124" s="11">
        <v>60.6</v>
      </c>
      <c r="M124" s="11">
        <f>100-Tabelle1[[#This Row],[Wasser '[g/100g']]]</f>
        <v>39.4</v>
      </c>
      <c r="N124" s="11">
        <v>67</v>
      </c>
      <c r="O124" s="11">
        <v>326</v>
      </c>
      <c r="P124" s="11">
        <v>32</v>
      </c>
      <c r="Q124" s="11">
        <v>186</v>
      </c>
      <c r="R124" s="11">
        <v>270</v>
      </c>
      <c r="S124" s="11"/>
      <c r="T124" s="11">
        <v>45.3</v>
      </c>
      <c r="U124" s="11">
        <v>4.08</v>
      </c>
      <c r="V124" s="11">
        <v>0</v>
      </c>
      <c r="W124" s="11">
        <v>9400</v>
      </c>
      <c r="X124" s="11">
        <v>0</v>
      </c>
      <c r="Y124" s="13">
        <v>0</v>
      </c>
      <c r="Z124" s="13"/>
      <c r="AA124" s="11">
        <v>1.01</v>
      </c>
      <c r="AB124" s="11">
        <v>2.5499999999999998</v>
      </c>
      <c r="AC124" s="11">
        <v>27899</v>
      </c>
      <c r="AD124" s="11">
        <v>0.746</v>
      </c>
      <c r="AE124" s="11">
        <v>1.3240000000000001</v>
      </c>
      <c r="AF124" s="11">
        <v>8.6</v>
      </c>
      <c r="AG124" s="11">
        <v>950</v>
      </c>
      <c r="AH124" s="11">
        <v>63</v>
      </c>
      <c r="AI124" s="11">
        <v>5.3</v>
      </c>
      <c r="AJ124" s="11">
        <v>51.9</v>
      </c>
      <c r="AK124" s="11">
        <v>599</v>
      </c>
      <c r="AL124" s="11">
        <v>82.62</v>
      </c>
      <c r="AM124" s="11">
        <v>0</v>
      </c>
      <c r="AN124" s="11">
        <v>0</v>
      </c>
      <c r="AO124" s="11">
        <v>5.0000000000000001E-3</v>
      </c>
      <c r="AP124" s="11">
        <v>0</v>
      </c>
      <c r="AQ124" s="11">
        <v>0</v>
      </c>
      <c r="AR124" s="11">
        <v>0</v>
      </c>
      <c r="AS124" s="11">
        <v>1</v>
      </c>
      <c r="AT124" s="11">
        <v>0.33</v>
      </c>
      <c r="AU124" s="11">
        <v>0.64600000000000002</v>
      </c>
      <c r="AV124" s="11">
        <v>1.84</v>
      </c>
      <c r="AW124" s="11">
        <v>0.57599999999999996</v>
      </c>
      <c r="AX124" s="9">
        <f>Tabelle1[[#This Row],[Vitamin D3 '[µg/100g']]]*40</f>
        <v>40.4</v>
      </c>
      <c r="AY124" s="9">
        <f>Tabelle1[[#This Row],[Vitamin A '[µg/100g']]]*3.33</f>
        <v>92903.67</v>
      </c>
      <c r="AZ124" s="9">
        <f>Tabelle1[[#This Row],[Vitamin E '[mg/100g']]]*1.49</f>
        <v>3.7994999999999997</v>
      </c>
    </row>
    <row r="125" spans="1:52" hidden="1" x14ac:dyDescent="0.45">
      <c r="A125" t="s">
        <v>1151</v>
      </c>
      <c r="B125" s="5" t="s">
        <v>1027</v>
      </c>
      <c r="C125" s="6" t="s">
        <v>1028</v>
      </c>
      <c r="D125" s="13">
        <v>109</v>
      </c>
      <c r="E125" s="11">
        <f>Tabelle1[[#This Row],[Energie '[kcal/100g']]]/239</f>
        <v>0.45606694560669458</v>
      </c>
      <c r="F125" s="13">
        <v>16.399999999999999</v>
      </c>
      <c r="G125" s="11">
        <f>Tabelle1[[#This Row],[Rohprotein '[g/100g']]]*0.85</f>
        <v>13.939999999999998</v>
      </c>
      <c r="H125" s="13">
        <v>4.28</v>
      </c>
      <c r="I125" s="11">
        <f>Tabelle1[[#This Row],[TS]]-Tabelle1[[#This Row],[Rohprotein '[g/100g']]]-Tabelle1[[#This Row],[Rohfett '[g/100g']]]-Tabelle1[[#This Row],[Rohasche '[g/100g']]]-Tabelle1[[#This Row],[Rohfaser '[g/100g']]]</f>
        <v>6.270000000000004</v>
      </c>
      <c r="J125" s="11">
        <v>0</v>
      </c>
      <c r="K125" s="13">
        <v>1.25</v>
      </c>
      <c r="L125" s="13">
        <v>71.8</v>
      </c>
      <c r="M125" s="13">
        <f>100-Tabelle1[[#This Row],[Wasser '[g/100g']]]</f>
        <v>28.200000000000003</v>
      </c>
      <c r="N125" s="13">
        <v>43</v>
      </c>
      <c r="O125" s="13">
        <v>261</v>
      </c>
      <c r="P125" s="13">
        <v>24</v>
      </c>
      <c r="Q125" s="13">
        <v>140</v>
      </c>
      <c r="R125" s="13">
        <v>230</v>
      </c>
      <c r="S125" s="13"/>
      <c r="T125" s="13">
        <v>30.5</v>
      </c>
      <c r="U125" s="13">
        <v>3.07</v>
      </c>
      <c r="V125" s="11">
        <v>0</v>
      </c>
      <c r="W125" s="13">
        <v>7520</v>
      </c>
      <c r="X125" s="13">
        <v>0</v>
      </c>
      <c r="Y125" s="13">
        <v>0</v>
      </c>
      <c r="Z125" s="13"/>
      <c r="AA125" s="13">
        <v>0.68</v>
      </c>
      <c r="AB125" s="13">
        <v>1.63</v>
      </c>
      <c r="AC125" s="13">
        <v>27</v>
      </c>
      <c r="AD125" s="13">
        <v>0.56200000000000006</v>
      </c>
      <c r="AE125" s="13">
        <v>0.89200000000000002</v>
      </c>
      <c r="AF125" s="13">
        <v>6.5</v>
      </c>
      <c r="AG125" s="13">
        <v>760</v>
      </c>
      <c r="AH125" s="13">
        <v>54</v>
      </c>
      <c r="AI125" s="13">
        <v>4.5</v>
      </c>
      <c r="AJ125" s="13">
        <v>33.200000000000003</v>
      </c>
      <c r="AK125" s="13">
        <v>12</v>
      </c>
      <c r="AL125" s="13">
        <v>62.21</v>
      </c>
      <c r="AM125" s="13">
        <v>0</v>
      </c>
      <c r="AN125" s="13">
        <v>0</v>
      </c>
      <c r="AO125" s="13">
        <v>0.1</v>
      </c>
      <c r="AP125" s="13">
        <v>0.1</v>
      </c>
      <c r="AQ125" s="11">
        <v>0</v>
      </c>
      <c r="AR125" s="11">
        <v>0</v>
      </c>
      <c r="AS125" s="13">
        <v>1</v>
      </c>
      <c r="AT125" s="13">
        <v>0.22</v>
      </c>
      <c r="AU125" s="13">
        <v>0.435</v>
      </c>
      <c r="AV125" s="13">
        <v>1.24</v>
      </c>
      <c r="AW125" s="13">
        <v>0.38800000000000001</v>
      </c>
      <c r="AX125" s="9">
        <f>Tabelle1[[#This Row],[Vitamin D3 '[µg/100g']]]*40</f>
        <v>27.200000000000003</v>
      </c>
      <c r="AY125" s="9">
        <f>Tabelle1[[#This Row],[Vitamin A '[µg/100g']]]*3.33</f>
        <v>89.91</v>
      </c>
      <c r="AZ125" s="9">
        <f>Tabelle1[[#This Row],[Vitamin E '[mg/100g']]]*1.49</f>
        <v>2.4286999999999996</v>
      </c>
    </row>
    <row r="126" spans="1:52" hidden="1" x14ac:dyDescent="0.45">
      <c r="A126" t="s">
        <v>58</v>
      </c>
      <c r="B126" s="5" t="s">
        <v>287</v>
      </c>
      <c r="C126" s="6" t="s">
        <v>288</v>
      </c>
      <c r="D126" s="13">
        <v>206</v>
      </c>
      <c r="E126" s="13">
        <f>Tabelle1[[#This Row],[Energie '[kcal/100g']]]/239</f>
        <v>0.86192468619246865</v>
      </c>
      <c r="F126" s="13">
        <v>24.49</v>
      </c>
      <c r="G126" s="13">
        <f>Tabelle1[[#This Row],[Rohprotein '[g/100g']]]*0.85</f>
        <v>20.816499999999998</v>
      </c>
      <c r="H126" s="13">
        <v>11.96</v>
      </c>
      <c r="I126" s="11">
        <f>Tabelle1[[#This Row],[TS]]-Tabelle1[[#This Row],[Rohprotein '[g/100g']]]-Tabelle1[[#This Row],[Rohfett '[g/100g']]]-Tabelle1[[#This Row],[Rohasche '[g/100g']]]-Tabelle1[[#This Row],[Rohfaser '[g/100g']]]</f>
        <v>-2.8999999999999941</v>
      </c>
      <c r="J126" s="11">
        <v>0</v>
      </c>
      <c r="K126" s="13">
        <v>1.21</v>
      </c>
      <c r="L126" s="13">
        <v>65.239999999999995</v>
      </c>
      <c r="M126" s="13">
        <f>100-Tabelle1[[#This Row],[Wasser '[g/100g']]]</f>
        <v>34.760000000000005</v>
      </c>
      <c r="N126" s="13">
        <v>7.6</v>
      </c>
      <c r="O126" s="13">
        <v>210.8</v>
      </c>
      <c r="P126" s="13">
        <v>25.8</v>
      </c>
      <c r="Q126" s="13">
        <v>95</v>
      </c>
      <c r="R126" s="13">
        <v>412.8</v>
      </c>
      <c r="S126" s="13"/>
      <c r="T126" s="13">
        <v>0.94179999999999997</v>
      </c>
      <c r="U126" s="13">
        <v>1.92</v>
      </c>
      <c r="V126" s="11">
        <v>0</v>
      </c>
      <c r="W126" s="13">
        <v>52.6</v>
      </c>
      <c r="X126" s="13">
        <v>17.8</v>
      </c>
      <c r="Y126" s="13">
        <v>0</v>
      </c>
      <c r="Z126" s="13"/>
      <c r="AA126" s="13">
        <v>0.39</v>
      </c>
      <c r="AB126" s="13">
        <v>0.71</v>
      </c>
      <c r="AC126" s="13">
        <v>17.899999999999999</v>
      </c>
      <c r="AD126" s="13">
        <v>0.16814000000000001</v>
      </c>
      <c r="AE126" s="13">
        <v>0.22545999999999999</v>
      </c>
      <c r="AF126" s="13">
        <v>11.5</v>
      </c>
      <c r="AG126" s="13">
        <v>234</v>
      </c>
      <c r="AH126" s="13">
        <v>0.16</v>
      </c>
      <c r="AI126" s="13">
        <v>0</v>
      </c>
      <c r="AJ126" s="13">
        <v>38.700000000000003</v>
      </c>
      <c r="AK126" s="13">
        <v>5.4</v>
      </c>
      <c r="AL126" s="13">
        <v>1.49</v>
      </c>
      <c r="AM126" s="13">
        <v>0</v>
      </c>
      <c r="AN126" s="13">
        <v>7.2999999999999995E-2</v>
      </c>
      <c r="AO126" s="11">
        <v>0</v>
      </c>
      <c r="AP126" s="11">
        <v>0</v>
      </c>
      <c r="AQ126" s="13">
        <v>1.1839999999999999</v>
      </c>
      <c r="AR126" s="13">
        <v>1.1839999999999999</v>
      </c>
      <c r="AS126" s="13">
        <v>1.53</v>
      </c>
      <c r="AT126" s="13">
        <v>0</v>
      </c>
      <c r="AU126" s="13">
        <v>0.68</v>
      </c>
      <c r="AV126" s="13">
        <v>1.94</v>
      </c>
      <c r="AW126" s="13">
        <v>0.6</v>
      </c>
      <c r="AX126" s="9">
        <f>Tabelle1[[#This Row],[Vitamin D3 '[µg/100g']]]*40</f>
        <v>15.600000000000001</v>
      </c>
      <c r="AY126" s="9">
        <f>Tabelle1[[#This Row],[Vitamin A '[µg/100g']]]*3.33</f>
        <v>59.606999999999999</v>
      </c>
      <c r="AZ126" s="9">
        <f>Tabelle1[[#This Row],[Vitamin E '[mg/100g']]]*1.49</f>
        <v>1.0578999999999998</v>
      </c>
    </row>
    <row r="127" spans="1:52" hidden="1" x14ac:dyDescent="0.45">
      <c r="A127" t="s">
        <v>58</v>
      </c>
      <c r="B127" s="5" t="s">
        <v>289</v>
      </c>
      <c r="C127" s="6" t="s">
        <v>290</v>
      </c>
      <c r="D127" s="13">
        <v>195</v>
      </c>
      <c r="E127" s="13">
        <f>Tabelle1[[#This Row],[Energie '[kcal/100g']]]/239</f>
        <v>0.81589958158995812</v>
      </c>
      <c r="F127" s="13">
        <v>22.57</v>
      </c>
      <c r="G127" s="13">
        <f>Tabelle1[[#This Row],[Rohprotein '[g/100g']]]*0.85</f>
        <v>19.1845</v>
      </c>
      <c r="H127" s="13">
        <v>11.618</v>
      </c>
      <c r="I127" s="11">
        <f>Tabelle1[[#This Row],[TS]]-Tabelle1[[#This Row],[Rohprotein '[g/100g']]]-Tabelle1[[#This Row],[Rohfett '[g/100g']]]-Tabelle1[[#This Row],[Rohasche '[g/100g']]]-Tabelle1[[#This Row],[Rohfaser '[g/100g']]]</f>
        <v>-2.9080000000000004</v>
      </c>
      <c r="J127" s="11">
        <v>0</v>
      </c>
      <c r="K127" s="13">
        <v>0.97</v>
      </c>
      <c r="L127" s="13">
        <v>67.75</v>
      </c>
      <c r="M127" s="13">
        <f>100-Tabelle1[[#This Row],[Wasser '[g/100g']]]</f>
        <v>32.25</v>
      </c>
      <c r="N127" s="13">
        <v>6.3</v>
      </c>
      <c r="O127" s="13">
        <v>168.6</v>
      </c>
      <c r="P127" s="13">
        <v>20.6</v>
      </c>
      <c r="Q127" s="13">
        <v>43.4</v>
      </c>
      <c r="R127" s="13">
        <v>222.8</v>
      </c>
      <c r="S127" s="13"/>
      <c r="T127" s="13">
        <v>0.77039999999999997</v>
      </c>
      <c r="U127" s="13">
        <v>1.8651</v>
      </c>
      <c r="V127" s="11">
        <v>0</v>
      </c>
      <c r="W127" s="13">
        <v>30.1</v>
      </c>
      <c r="X127" s="13">
        <v>17.3</v>
      </c>
      <c r="Y127" s="13">
        <v>0</v>
      </c>
      <c r="Z127" s="13"/>
      <c r="AA127" s="13">
        <v>0.28000000000000003</v>
      </c>
      <c r="AB127" s="13">
        <v>0.5</v>
      </c>
      <c r="AC127" s="13">
        <v>12.7</v>
      </c>
      <c r="AD127" s="13">
        <v>9.3340000000000006E-2</v>
      </c>
      <c r="AE127" s="13">
        <v>0.23119000000000001</v>
      </c>
      <c r="AF127" s="13">
        <v>7.9</v>
      </c>
      <c r="AG127" s="13">
        <v>210</v>
      </c>
      <c r="AH127" s="13">
        <v>0.1</v>
      </c>
      <c r="AI127" s="13">
        <v>0</v>
      </c>
      <c r="AJ127" s="13">
        <v>27.6</v>
      </c>
      <c r="AK127" s="13">
        <v>5.2</v>
      </c>
      <c r="AL127" s="13">
        <v>1.45</v>
      </c>
      <c r="AM127" s="13">
        <v>0</v>
      </c>
      <c r="AN127" s="13">
        <v>7.0999999999999994E-2</v>
      </c>
      <c r="AO127" s="11">
        <v>0</v>
      </c>
      <c r="AP127" s="11">
        <v>0</v>
      </c>
      <c r="AQ127" s="13">
        <v>1.1499999999999999</v>
      </c>
      <c r="AR127" s="13">
        <v>1.1499999999999999</v>
      </c>
      <c r="AS127" s="13">
        <v>1.41</v>
      </c>
      <c r="AT127" s="13">
        <v>0</v>
      </c>
      <c r="AU127" s="13">
        <v>0.63</v>
      </c>
      <c r="AV127" s="13">
        <v>1.79</v>
      </c>
      <c r="AW127" s="13">
        <v>0.55000000000000004</v>
      </c>
      <c r="AX127" s="9">
        <f>Tabelle1[[#This Row],[Vitamin D3 '[µg/100g']]]*40</f>
        <v>11.200000000000001</v>
      </c>
      <c r="AY127" s="9">
        <f>Tabelle1[[#This Row],[Vitamin A '[µg/100g']]]*3.33</f>
        <v>42.290999999999997</v>
      </c>
      <c r="AZ127" s="9">
        <f>Tabelle1[[#This Row],[Vitamin E '[mg/100g']]]*1.49</f>
        <v>0.745</v>
      </c>
    </row>
    <row r="128" spans="1:52" hidden="1" x14ac:dyDescent="0.45">
      <c r="A128" t="s">
        <v>58</v>
      </c>
      <c r="B128" s="5" t="s">
        <v>291</v>
      </c>
      <c r="C128" s="6" t="s">
        <v>292</v>
      </c>
      <c r="D128" s="13">
        <v>231</v>
      </c>
      <c r="E128" s="13">
        <f>Tabelle1[[#This Row],[Energie '[kcal/100g']]]/239</f>
        <v>0.96652719665271969</v>
      </c>
      <c r="F128" s="13">
        <v>17.170000000000002</v>
      </c>
      <c r="G128" s="13">
        <f>Tabelle1[[#This Row],[Rohprotein '[g/100g']]]*0.85</f>
        <v>14.594500000000002</v>
      </c>
      <c r="H128" s="13">
        <v>18.073</v>
      </c>
      <c r="I128" s="11">
        <f>Tabelle1[[#This Row],[TS]]-Tabelle1[[#This Row],[Rohprotein '[g/100g']]]-Tabelle1[[#This Row],[Rohfett '[g/100g']]]-Tabelle1[[#This Row],[Rohasche '[g/100g']]]-Tabelle1[[#This Row],[Rohfaser '[g/100g']]]</f>
        <v>-2.9029999999999996</v>
      </c>
      <c r="J128" s="11">
        <v>0</v>
      </c>
      <c r="K128" s="13">
        <v>0.97</v>
      </c>
      <c r="L128" s="13">
        <v>66.69</v>
      </c>
      <c r="M128" s="13">
        <f>100-Tabelle1[[#This Row],[Wasser '[g/100g']]]</f>
        <v>33.31</v>
      </c>
      <c r="N128" s="13">
        <v>5.2</v>
      </c>
      <c r="O128" s="13">
        <v>168.6</v>
      </c>
      <c r="P128" s="13">
        <v>20.6</v>
      </c>
      <c r="Q128" s="13">
        <v>76</v>
      </c>
      <c r="R128" s="13">
        <v>311.89999999999998</v>
      </c>
      <c r="S128" s="13"/>
      <c r="T128" s="13">
        <v>0.67410000000000003</v>
      </c>
      <c r="U128" s="13">
        <v>1.3056000000000001</v>
      </c>
      <c r="V128" s="11">
        <v>0</v>
      </c>
      <c r="W128" s="13">
        <v>42.1</v>
      </c>
      <c r="X128" s="13">
        <v>12.1</v>
      </c>
      <c r="Y128" s="13">
        <v>0</v>
      </c>
      <c r="Z128" s="13"/>
      <c r="AA128" s="13">
        <v>0.35</v>
      </c>
      <c r="AB128" s="13">
        <v>0.64</v>
      </c>
      <c r="AC128" s="13">
        <v>3</v>
      </c>
      <c r="AD128" s="13">
        <v>0.16334000000000001</v>
      </c>
      <c r="AE128" s="13">
        <v>0.17035</v>
      </c>
      <c r="AF128" s="13">
        <v>9.1999999999999993</v>
      </c>
      <c r="AG128" s="13">
        <v>245</v>
      </c>
      <c r="AH128" s="13">
        <v>0.14000000000000001</v>
      </c>
      <c r="AI128" s="13">
        <v>0</v>
      </c>
      <c r="AJ128" s="13">
        <v>35.1</v>
      </c>
      <c r="AK128" s="13">
        <v>5</v>
      </c>
      <c r="AL128" s="13">
        <v>1.45</v>
      </c>
      <c r="AM128" s="13">
        <v>0</v>
      </c>
      <c r="AN128" s="13">
        <v>0.11</v>
      </c>
      <c r="AO128" s="13">
        <v>0</v>
      </c>
      <c r="AP128" s="13">
        <v>0</v>
      </c>
      <c r="AQ128" s="13">
        <v>1.7889999999999999</v>
      </c>
      <c r="AR128" s="13">
        <v>1.7889999999999999</v>
      </c>
      <c r="AS128" s="13">
        <v>1.07</v>
      </c>
      <c r="AT128" s="13">
        <v>0</v>
      </c>
      <c r="AU128" s="13">
        <v>0.48</v>
      </c>
      <c r="AV128" s="13">
        <v>1.36</v>
      </c>
      <c r="AW128" s="13">
        <v>0.42</v>
      </c>
      <c r="AX128" s="9">
        <f>Tabelle1[[#This Row],[Vitamin D3 '[µg/100g']]]*40</f>
        <v>14</v>
      </c>
      <c r="AY128" s="9">
        <f>Tabelle1[[#This Row],[Vitamin A '[µg/100g']]]*3.33</f>
        <v>9.99</v>
      </c>
      <c r="AZ128" s="9">
        <f>Tabelle1[[#This Row],[Vitamin E '[mg/100g']]]*1.49</f>
        <v>0.9536</v>
      </c>
    </row>
    <row r="129" spans="1:52" hidden="1" x14ac:dyDescent="0.45">
      <c r="A129" t="s">
        <v>694</v>
      </c>
      <c r="B129" s="5" t="s">
        <v>666</v>
      </c>
      <c r="C129" s="6" t="s">
        <v>667</v>
      </c>
      <c r="D129" s="13">
        <v>177</v>
      </c>
      <c r="E129" s="11">
        <f>Tabelle1[[#This Row],[Energie '[kcal/100g']]]/239</f>
        <v>0.7405857740585774</v>
      </c>
      <c r="F129" s="13">
        <v>13.9</v>
      </c>
      <c r="G129" s="11">
        <f>Tabelle1[[#This Row],[Rohprotein '[g/100g']]]*0.85</f>
        <v>11.815</v>
      </c>
      <c r="H129" s="13">
        <v>13.3</v>
      </c>
      <c r="I129" s="11">
        <f>Tabelle1[[#This Row],[TS]]-Tabelle1[[#This Row],[Rohprotein '[g/100g']]]-Tabelle1[[#This Row],[Rohfett '[g/100g']]]-Tabelle1[[#This Row],[Rohasche '[g/100g']]]-Tabelle1[[#This Row],[Rohfaser '[g/100g']]]</f>
        <v>1.3199999999999932</v>
      </c>
      <c r="J129" s="11">
        <v>0</v>
      </c>
      <c r="K129" s="13">
        <v>1.08</v>
      </c>
      <c r="L129" s="13">
        <v>70.400000000000006</v>
      </c>
      <c r="M129" s="13">
        <f>100-Tabelle1[[#This Row],[Wasser '[g/100g']]]</f>
        <v>29.599999999999994</v>
      </c>
      <c r="N129" s="13">
        <v>60</v>
      </c>
      <c r="O129" s="13">
        <v>208</v>
      </c>
      <c r="P129" s="13">
        <v>16</v>
      </c>
      <c r="Q129" s="13">
        <v>138</v>
      </c>
      <c r="R129" s="13">
        <v>210</v>
      </c>
      <c r="S129" s="13"/>
      <c r="T129" s="13">
        <v>3.64</v>
      </c>
      <c r="U129" s="13">
        <v>1.33</v>
      </c>
      <c r="V129" s="11">
        <v>0</v>
      </c>
      <c r="W129" s="13">
        <v>62</v>
      </c>
      <c r="X129" s="13">
        <v>37</v>
      </c>
      <c r="Y129" s="13">
        <v>41.3</v>
      </c>
      <c r="Z129" s="13"/>
      <c r="AA129" s="13">
        <v>1.6</v>
      </c>
      <c r="AB129" s="13">
        <v>1.23</v>
      </c>
      <c r="AC129" s="13">
        <v>185</v>
      </c>
      <c r="AD129" s="13">
        <v>0.125</v>
      </c>
      <c r="AE129" s="13">
        <v>0.34399999999999997</v>
      </c>
      <c r="AF129" s="13">
        <v>0.17399999999999999</v>
      </c>
      <c r="AG129" s="13">
        <v>208</v>
      </c>
      <c r="AH129" s="13">
        <v>4.5</v>
      </c>
      <c r="AI129" s="13">
        <v>0</v>
      </c>
      <c r="AJ129" s="13">
        <v>8</v>
      </c>
      <c r="AK129" s="13">
        <v>62</v>
      </c>
      <c r="AL129" s="13">
        <v>15.6</v>
      </c>
      <c r="AM129" s="13">
        <v>0</v>
      </c>
      <c r="AN129" s="13">
        <v>0.2</v>
      </c>
      <c r="AO129" s="13">
        <v>0</v>
      </c>
      <c r="AP129" s="13">
        <v>0.1</v>
      </c>
      <c r="AQ129" s="13">
        <v>1.9</v>
      </c>
      <c r="AR129" s="13">
        <v>1.7</v>
      </c>
      <c r="AS129" s="13">
        <v>0.82799999999999996</v>
      </c>
      <c r="AT129" s="13">
        <v>0.309</v>
      </c>
      <c r="AU129" s="13">
        <v>0.34599999999999997</v>
      </c>
      <c r="AV129" s="13">
        <v>1.03</v>
      </c>
      <c r="AW129" s="13">
        <v>0.624</v>
      </c>
      <c r="AX129" s="9">
        <f>Tabelle1[[#This Row],[Vitamin D3 '[µg/100g']]]*40</f>
        <v>64</v>
      </c>
      <c r="AY129" s="9">
        <f>Tabelle1[[#This Row],[Vitamin A '[µg/100g']]]*3.33</f>
        <v>616.05000000000007</v>
      </c>
      <c r="AZ129" s="9">
        <f>Tabelle1[[#This Row],[Vitamin E '[mg/100g']]]*1.49</f>
        <v>1.8327</v>
      </c>
    </row>
    <row r="130" spans="1:52" hidden="1" x14ac:dyDescent="0.45">
      <c r="A130" t="s">
        <v>694</v>
      </c>
      <c r="B130" s="3" t="s">
        <v>650</v>
      </c>
      <c r="C130" s="4" t="s">
        <v>651</v>
      </c>
      <c r="D130" s="11">
        <v>177</v>
      </c>
      <c r="E130" s="11">
        <f>Tabelle1[[#This Row],[Energie '[kcal/100g']]]/239</f>
        <v>0.7405857740585774</v>
      </c>
      <c r="F130" s="11">
        <v>13.9</v>
      </c>
      <c r="G130" s="11">
        <f>Tabelle1[[#This Row],[Rohprotein '[g/100g']]]*0.85</f>
        <v>11.815</v>
      </c>
      <c r="H130" s="11">
        <v>13.3</v>
      </c>
      <c r="I130" s="11">
        <f>Tabelle1[[#This Row],[TS]]-Tabelle1[[#This Row],[Rohprotein '[g/100g']]]-Tabelle1[[#This Row],[Rohfett '[g/100g']]]-Tabelle1[[#This Row],[Rohasche '[g/100g']]]-Tabelle1[[#This Row],[Rohfaser '[g/100g']]]</f>
        <v>1.3199999999999932</v>
      </c>
      <c r="J130" s="11">
        <v>0</v>
      </c>
      <c r="K130" s="11">
        <v>1.08</v>
      </c>
      <c r="L130" s="11">
        <v>70.400000000000006</v>
      </c>
      <c r="M130" s="11">
        <f>100-Tabelle1[[#This Row],[Wasser '[g/100g']]]</f>
        <v>29.599999999999994</v>
      </c>
      <c r="N130" s="11">
        <v>60</v>
      </c>
      <c r="O130" s="11">
        <v>208</v>
      </c>
      <c r="P130" s="11">
        <v>16</v>
      </c>
      <c r="Q130" s="11">
        <v>138</v>
      </c>
      <c r="R130" s="11">
        <v>210</v>
      </c>
      <c r="S130" s="11"/>
      <c r="T130" s="11">
        <v>3.64</v>
      </c>
      <c r="U130" s="11">
        <v>1.33</v>
      </c>
      <c r="V130" s="11">
        <v>0</v>
      </c>
      <c r="W130" s="11">
        <v>62</v>
      </c>
      <c r="X130" s="11">
        <v>38</v>
      </c>
      <c r="Y130" s="11">
        <v>43.5</v>
      </c>
      <c r="Z130" s="11"/>
      <c r="AA130" s="11">
        <v>1.7</v>
      </c>
      <c r="AB130" s="11">
        <v>1.23</v>
      </c>
      <c r="AC130" s="11">
        <v>189</v>
      </c>
      <c r="AD130" s="11">
        <v>0.14699999999999999</v>
      </c>
      <c r="AE130" s="11">
        <v>0.38200000000000001</v>
      </c>
      <c r="AF130" s="11">
        <v>0.189</v>
      </c>
      <c r="AG130" s="11">
        <v>236</v>
      </c>
      <c r="AH130" s="11">
        <v>5.0999999999999996</v>
      </c>
      <c r="AI130" s="11">
        <v>0</v>
      </c>
      <c r="AJ130" s="11">
        <v>8</v>
      </c>
      <c r="AK130" s="11">
        <v>76</v>
      </c>
      <c r="AL130" s="11">
        <v>19.5</v>
      </c>
      <c r="AM130" s="11">
        <v>0</v>
      </c>
      <c r="AN130" s="11">
        <v>0.2</v>
      </c>
      <c r="AO130" s="11">
        <v>0</v>
      </c>
      <c r="AP130" s="11">
        <v>0.1</v>
      </c>
      <c r="AQ130" s="11">
        <v>1.9</v>
      </c>
      <c r="AR130" s="11">
        <v>1.7</v>
      </c>
      <c r="AS130" s="11">
        <v>0.82799999999999996</v>
      </c>
      <c r="AT130" s="11">
        <v>0.309</v>
      </c>
      <c r="AU130" s="11">
        <v>0.34599999999999997</v>
      </c>
      <c r="AV130" s="11">
        <v>1.03</v>
      </c>
      <c r="AW130" s="11">
        <v>0.624</v>
      </c>
      <c r="AX130" s="9">
        <f>Tabelle1[[#This Row],[Vitamin D3 '[µg/100g']]]*40</f>
        <v>68</v>
      </c>
      <c r="AY130" s="9">
        <f>Tabelle1[[#This Row],[Vitamin A '[µg/100g']]]*3.33</f>
        <v>629.37</v>
      </c>
      <c r="AZ130" s="9">
        <f>Tabelle1[[#This Row],[Vitamin E '[mg/100g']]]*1.49</f>
        <v>1.8327</v>
      </c>
    </row>
    <row r="131" spans="1:52" hidden="1" x14ac:dyDescent="0.45">
      <c r="A131" t="s">
        <v>877</v>
      </c>
      <c r="B131" s="5" t="s">
        <v>729</v>
      </c>
      <c r="C131" s="6" t="s">
        <v>730</v>
      </c>
      <c r="D131" s="13">
        <v>32</v>
      </c>
      <c r="E131" s="11">
        <f>Tabelle1[[#This Row],[Energie '[kcal/100g']]]/239</f>
        <v>0.13389121338912133</v>
      </c>
      <c r="F131" s="13">
        <v>1.647</v>
      </c>
      <c r="G131" s="11">
        <f>Tabelle1[[#This Row],[Rohprotein '[g/100g']]]*0.85</f>
        <v>1.39995</v>
      </c>
      <c r="H131" s="13">
        <v>0.23499999999999999</v>
      </c>
      <c r="I131" s="11">
        <f>Tabelle1[[#This Row],[TS]]-Tabelle1[[#This Row],[Rohprotein '[g/100g']]]-Tabelle1[[#This Row],[Rohfett '[g/100g']]]-Tabelle1[[#This Row],[Rohasche '[g/100g']]]-Tabelle1[[#This Row],[Rohfaser '[g/100g']]]</f>
        <v>6.2419999999999964</v>
      </c>
      <c r="J131" s="11">
        <v>0</v>
      </c>
      <c r="K131" s="13">
        <v>1.1759999999999999</v>
      </c>
      <c r="L131" s="13">
        <v>90.7</v>
      </c>
      <c r="M131" s="13">
        <f>100-Tabelle1[[#This Row],[Wasser '[g/100g']]]</f>
        <v>9.2999999999999972</v>
      </c>
      <c r="N131" s="13">
        <v>44.314</v>
      </c>
      <c r="O131" s="13">
        <v>60</v>
      </c>
      <c r="P131" s="13">
        <v>13.726000000000001</v>
      </c>
      <c r="Q131" s="13">
        <v>32</v>
      </c>
      <c r="R131" s="13">
        <v>465</v>
      </c>
      <c r="S131" s="13"/>
      <c r="T131" s="13">
        <v>0.86</v>
      </c>
      <c r="U131" s="13">
        <v>0.25900000000000001</v>
      </c>
      <c r="V131" s="11">
        <v>0</v>
      </c>
      <c r="W131" s="13">
        <v>20</v>
      </c>
      <c r="X131" s="13">
        <v>90</v>
      </c>
      <c r="Y131" s="13">
        <v>1</v>
      </c>
      <c r="Z131" s="13"/>
      <c r="AA131" s="13">
        <v>0</v>
      </c>
      <c r="AB131" s="13">
        <v>7.0000000000000007E-2</v>
      </c>
      <c r="AC131" s="13">
        <v>25</v>
      </c>
      <c r="AD131" s="13">
        <v>3.5000000000000003E-2</v>
      </c>
      <c r="AE131" s="13">
        <v>0.123</v>
      </c>
      <c r="AF131" s="13">
        <v>0.224</v>
      </c>
      <c r="AG131" s="13">
        <v>62</v>
      </c>
      <c r="AH131" s="13">
        <v>0</v>
      </c>
      <c r="AI131" s="13">
        <v>7.9409999999999998</v>
      </c>
      <c r="AJ131" s="13">
        <v>73.900000000000006</v>
      </c>
      <c r="AK131" s="13">
        <v>30</v>
      </c>
      <c r="AL131" s="13">
        <v>0.1</v>
      </c>
      <c r="AM131" s="13">
        <v>0</v>
      </c>
      <c r="AN131" s="13">
        <v>4.0000000000000001E-3</v>
      </c>
      <c r="AO131" s="13">
        <v>0</v>
      </c>
      <c r="AP131" s="13">
        <v>0</v>
      </c>
      <c r="AQ131" s="13">
        <v>0.04</v>
      </c>
      <c r="AR131" s="13">
        <v>0.04</v>
      </c>
      <c r="AS131" s="13">
        <v>0.13800000000000001</v>
      </c>
      <c r="AT131" s="13">
        <v>8.0000000000000002E-3</v>
      </c>
      <c r="AU131" s="13">
        <v>0.06</v>
      </c>
      <c r="AV131" s="13">
        <v>2.5999999999999999E-2</v>
      </c>
      <c r="AW131" s="13">
        <v>1.9E-2</v>
      </c>
      <c r="AX131" s="9">
        <f>Tabelle1[[#This Row],[Vitamin D3 '[µg/100g']]]*40</f>
        <v>0</v>
      </c>
      <c r="AY131" s="9">
        <f>Tabelle1[[#This Row],[Vitamin A '[µg/100g']]]*3.33</f>
        <v>83.25</v>
      </c>
      <c r="AZ131" s="9">
        <f>Tabelle1[[#This Row],[Vitamin E '[mg/100g']]]*1.49</f>
        <v>0.1043</v>
      </c>
    </row>
    <row r="132" spans="1:52" hidden="1" x14ac:dyDescent="0.45">
      <c r="A132" t="s">
        <v>877</v>
      </c>
      <c r="B132" s="3" t="s">
        <v>731</v>
      </c>
      <c r="C132" s="4" t="s">
        <v>732</v>
      </c>
      <c r="D132" s="11">
        <v>51</v>
      </c>
      <c r="E132" s="11">
        <f>Tabelle1[[#This Row],[Energie '[kcal/100g']]]/239</f>
        <v>0.21338912133891214</v>
      </c>
      <c r="F132" s="11">
        <v>2.6419999999999999</v>
      </c>
      <c r="G132" s="11">
        <f>Tabelle1[[#This Row],[Rohprotein '[g/100g']]]*0.85</f>
        <v>2.2456999999999998</v>
      </c>
      <c r="H132" s="11">
        <v>0.377</v>
      </c>
      <c r="I132" s="11">
        <f>Tabelle1[[#This Row],[TS]]-Tabelle1[[#This Row],[Rohprotein '[g/100g']]]-Tabelle1[[#This Row],[Rohfett '[g/100g']]]-Tabelle1[[#This Row],[Rohasche '[g/100g']]]-Tabelle1[[#This Row],[Rohfaser '[g/100g']]]</f>
        <v>10.994000000000005</v>
      </c>
      <c r="J132" s="11">
        <v>0</v>
      </c>
      <c r="K132" s="11">
        <v>1.887</v>
      </c>
      <c r="L132" s="11">
        <v>84.1</v>
      </c>
      <c r="M132" s="11">
        <f>100-Tabelle1[[#This Row],[Wasser '[g/100g']]]</f>
        <v>15.900000000000006</v>
      </c>
      <c r="N132" s="11">
        <v>71.069999999999993</v>
      </c>
      <c r="O132" s="11">
        <v>96</v>
      </c>
      <c r="P132" s="11">
        <v>22.013000000000002</v>
      </c>
      <c r="Q132" s="11">
        <v>51</v>
      </c>
      <c r="R132" s="11">
        <v>745</v>
      </c>
      <c r="S132" s="11"/>
      <c r="T132" s="11">
        <v>1.38</v>
      </c>
      <c r="U132" s="11">
        <v>0.41499999999999998</v>
      </c>
      <c r="V132" s="11">
        <v>0</v>
      </c>
      <c r="W132" s="11">
        <v>40</v>
      </c>
      <c r="X132" s="11">
        <v>150</v>
      </c>
      <c r="Y132" s="11">
        <v>2</v>
      </c>
      <c r="Z132" s="11"/>
      <c r="AA132" s="11">
        <v>0</v>
      </c>
      <c r="AB132" s="11">
        <v>0.11</v>
      </c>
      <c r="AC132" s="11">
        <v>40</v>
      </c>
      <c r="AD132" s="11">
        <v>5.6000000000000001E-2</v>
      </c>
      <c r="AE132" s="11">
        <v>0.19700000000000001</v>
      </c>
      <c r="AF132" s="11">
        <v>0.35799999999999998</v>
      </c>
      <c r="AG132" s="11">
        <v>100</v>
      </c>
      <c r="AH132" s="11">
        <v>0</v>
      </c>
      <c r="AI132" s="11">
        <v>13.585000000000001</v>
      </c>
      <c r="AJ132" s="11">
        <v>118.5</v>
      </c>
      <c r="AK132" s="11">
        <v>49</v>
      </c>
      <c r="AL132" s="11">
        <v>0.2</v>
      </c>
      <c r="AM132" s="11">
        <v>0</v>
      </c>
      <c r="AN132" s="11">
        <v>6.0000000000000001E-3</v>
      </c>
      <c r="AO132" s="11">
        <v>0</v>
      </c>
      <c r="AP132" s="11">
        <v>0</v>
      </c>
      <c r="AQ132" s="11">
        <v>6.4000000000000001E-2</v>
      </c>
      <c r="AR132" s="11">
        <v>6.4000000000000001E-2</v>
      </c>
      <c r="AS132" s="11">
        <v>0.221</v>
      </c>
      <c r="AT132" s="11">
        <v>1.2999999999999999E-2</v>
      </c>
      <c r="AU132" s="11">
        <v>9.6000000000000002E-2</v>
      </c>
      <c r="AV132" s="11">
        <v>4.2000000000000003E-2</v>
      </c>
      <c r="AW132" s="11">
        <v>0.03</v>
      </c>
      <c r="AX132" s="9">
        <f>Tabelle1[[#This Row],[Vitamin D3 '[µg/100g']]]*40</f>
        <v>0</v>
      </c>
      <c r="AY132" s="9">
        <f>Tabelle1[[#This Row],[Vitamin A '[µg/100g']]]*3.33</f>
        <v>133.19999999999999</v>
      </c>
      <c r="AZ132" s="9">
        <f>Tabelle1[[#This Row],[Vitamin E '[mg/100g']]]*1.49</f>
        <v>0.16389999999999999</v>
      </c>
    </row>
    <row r="133" spans="1:52" hidden="1" x14ac:dyDescent="0.45">
      <c r="A133" t="s">
        <v>877</v>
      </c>
      <c r="B133" s="5" t="s">
        <v>733</v>
      </c>
      <c r="C133" s="6" t="s">
        <v>734</v>
      </c>
      <c r="D133" s="13">
        <v>26</v>
      </c>
      <c r="E133" s="11">
        <f>Tabelle1[[#This Row],[Energie '[kcal/100g']]]/239</f>
        <v>0.10878661087866109</v>
      </c>
      <c r="F133" s="13">
        <v>1.373</v>
      </c>
      <c r="G133" s="11">
        <f>Tabelle1[[#This Row],[Rohprotein '[g/100g']]]*0.85</f>
        <v>1.1670499999999999</v>
      </c>
      <c r="H133" s="13">
        <v>0.19600000000000001</v>
      </c>
      <c r="I133" s="11">
        <f>Tabelle1[[#This Row],[TS]]-Tabelle1[[#This Row],[Rohprotein '[g/100g']]]-Tabelle1[[#This Row],[Rohfett '[g/100g']]]-Tabelle1[[#This Row],[Rohasche '[g/100g']]]-Tabelle1[[#This Row],[Rohfaser '[g/100g']]]</f>
        <v>4.8510000000000062</v>
      </c>
      <c r="J133" s="11">
        <v>0</v>
      </c>
      <c r="K133" s="13">
        <v>0.98</v>
      </c>
      <c r="L133" s="13">
        <v>92.6</v>
      </c>
      <c r="M133" s="13">
        <f>100-Tabelle1[[#This Row],[Wasser '[g/100g']]]</f>
        <v>7.4000000000000057</v>
      </c>
      <c r="N133" s="13">
        <v>36.927999999999997</v>
      </c>
      <c r="O133" s="13">
        <v>50</v>
      </c>
      <c r="P133" s="13">
        <v>11.438000000000001</v>
      </c>
      <c r="Q133" s="13">
        <v>26</v>
      </c>
      <c r="R133" s="13">
        <v>387</v>
      </c>
      <c r="S133" s="13"/>
      <c r="T133" s="13">
        <v>0.72</v>
      </c>
      <c r="U133" s="13">
        <v>0.216</v>
      </c>
      <c r="V133" s="11">
        <v>0</v>
      </c>
      <c r="W133" s="13">
        <v>20</v>
      </c>
      <c r="X133" s="13">
        <v>80</v>
      </c>
      <c r="Y133" s="13">
        <v>1</v>
      </c>
      <c r="Z133" s="13"/>
      <c r="AA133" s="13">
        <v>0</v>
      </c>
      <c r="AB133" s="13">
        <v>0.06</v>
      </c>
      <c r="AC133" s="13">
        <v>21</v>
      </c>
      <c r="AD133" s="13">
        <v>2.9000000000000001E-2</v>
      </c>
      <c r="AE133" s="13">
        <v>0.10199999999999999</v>
      </c>
      <c r="AF133" s="13">
        <v>0.186</v>
      </c>
      <c r="AG133" s="13">
        <v>52</v>
      </c>
      <c r="AH133" s="13">
        <v>0</v>
      </c>
      <c r="AI133" s="13">
        <v>7.0590000000000002</v>
      </c>
      <c r="AJ133" s="13">
        <v>61.6</v>
      </c>
      <c r="AK133" s="13">
        <v>25</v>
      </c>
      <c r="AL133" s="13">
        <v>0.1</v>
      </c>
      <c r="AM133" s="13">
        <v>0</v>
      </c>
      <c r="AN133" s="13">
        <v>3.0000000000000001E-3</v>
      </c>
      <c r="AO133" s="13">
        <v>0</v>
      </c>
      <c r="AP133" s="13">
        <v>0</v>
      </c>
      <c r="AQ133" s="13">
        <v>3.3000000000000002E-2</v>
      </c>
      <c r="AR133" s="13">
        <v>3.3000000000000002E-2</v>
      </c>
      <c r="AS133" s="13">
        <v>0.115</v>
      </c>
      <c r="AT133" s="13">
        <v>7.0000000000000001E-3</v>
      </c>
      <c r="AU133" s="13">
        <v>0.05</v>
      </c>
      <c r="AV133" s="13">
        <v>2.1999999999999999E-2</v>
      </c>
      <c r="AW133" s="13">
        <v>1.6E-2</v>
      </c>
      <c r="AX133" s="9">
        <f>Tabelle1[[#This Row],[Vitamin D3 '[µg/100g']]]*40</f>
        <v>0</v>
      </c>
      <c r="AY133" s="9">
        <f>Tabelle1[[#This Row],[Vitamin A '[µg/100g']]]*3.33</f>
        <v>69.930000000000007</v>
      </c>
      <c r="AZ133" s="9">
        <f>Tabelle1[[#This Row],[Vitamin E '[mg/100g']]]*1.49</f>
        <v>8.9399999999999993E-2</v>
      </c>
    </row>
    <row r="134" spans="1:52" hidden="1" x14ac:dyDescent="0.45">
      <c r="A134" t="s">
        <v>877</v>
      </c>
      <c r="B134" s="5" t="s">
        <v>735</v>
      </c>
      <c r="C134" s="6" t="s">
        <v>736</v>
      </c>
      <c r="D134" s="13">
        <v>27</v>
      </c>
      <c r="E134" s="11">
        <f>Tabelle1[[#This Row],[Energie '[kcal/100g']]]/239</f>
        <v>0.11297071129707113</v>
      </c>
      <c r="F134" s="13">
        <v>1.4</v>
      </c>
      <c r="G134" s="11">
        <f>Tabelle1[[#This Row],[Rohprotein '[g/100g']]]*0.85</f>
        <v>1.19</v>
      </c>
      <c r="H134" s="13">
        <v>0.2</v>
      </c>
      <c r="I134" s="11">
        <f>Tabelle1[[#This Row],[TS]]-Tabelle1[[#This Row],[Rohprotein '[g/100g']]]-Tabelle1[[#This Row],[Rohfett '[g/100g']]]-Tabelle1[[#This Row],[Rohasche '[g/100g']]]-Tabelle1[[#This Row],[Rohfaser '[g/100g']]]</f>
        <v>5.0780000000000047</v>
      </c>
      <c r="J134" s="11">
        <v>0</v>
      </c>
      <c r="K134" s="13">
        <v>0.72199999999999998</v>
      </c>
      <c r="L134" s="13">
        <v>92.6</v>
      </c>
      <c r="M134" s="13">
        <f>100-Tabelle1[[#This Row],[Wasser '[g/100g']]]</f>
        <v>7.4000000000000057</v>
      </c>
      <c r="N134" s="13">
        <v>39.76</v>
      </c>
      <c r="O134" s="13">
        <v>51</v>
      </c>
      <c r="P134" s="13">
        <v>7.7779999999999996</v>
      </c>
      <c r="Q134" s="13">
        <v>22</v>
      </c>
      <c r="R134" s="13">
        <v>219</v>
      </c>
      <c r="S134" s="13"/>
      <c r="T134" s="13">
        <v>0.61</v>
      </c>
      <c r="U134" s="13">
        <v>0.183</v>
      </c>
      <c r="V134" s="11">
        <v>0</v>
      </c>
      <c r="W134" s="13">
        <v>20</v>
      </c>
      <c r="X134" s="13">
        <v>80</v>
      </c>
      <c r="Y134" s="13">
        <v>1</v>
      </c>
      <c r="Z134" s="13"/>
      <c r="AA134" s="13">
        <v>0</v>
      </c>
      <c r="AB134" s="13">
        <v>7.0000000000000007E-2</v>
      </c>
      <c r="AC134" s="13">
        <v>469</v>
      </c>
      <c r="AD134" s="13">
        <v>2.3E-2</v>
      </c>
      <c r="AE134" s="13">
        <v>7.9000000000000001E-2</v>
      </c>
      <c r="AF134" s="13">
        <v>0.14399999999999999</v>
      </c>
      <c r="AG134" s="13">
        <v>43</v>
      </c>
      <c r="AH134" s="13">
        <v>0</v>
      </c>
      <c r="AI134" s="13">
        <v>5.8</v>
      </c>
      <c r="AJ134" s="13">
        <v>62.8</v>
      </c>
      <c r="AK134" s="13">
        <v>117</v>
      </c>
      <c r="AL134" s="13">
        <v>0.1</v>
      </c>
      <c r="AM134" s="13">
        <v>0</v>
      </c>
      <c r="AN134" s="13">
        <v>3.0000000000000001E-3</v>
      </c>
      <c r="AO134" s="13">
        <v>0</v>
      </c>
      <c r="AP134" s="13">
        <v>0</v>
      </c>
      <c r="AQ134" s="13">
        <v>3.4000000000000002E-2</v>
      </c>
      <c r="AR134" s="13">
        <v>3.4000000000000002E-2</v>
      </c>
      <c r="AS134" s="13">
        <v>0.11700000000000001</v>
      </c>
      <c r="AT134" s="13">
        <v>7.0000000000000001E-3</v>
      </c>
      <c r="AU134" s="13">
        <v>5.0999999999999997E-2</v>
      </c>
      <c r="AV134" s="13">
        <v>2.1999999999999999E-2</v>
      </c>
      <c r="AW134" s="13">
        <v>1.6E-2</v>
      </c>
      <c r="AX134" s="9">
        <f>Tabelle1[[#This Row],[Vitamin D3 '[µg/100g']]]*40</f>
        <v>0</v>
      </c>
      <c r="AY134" s="9">
        <f>Tabelle1[[#This Row],[Vitamin A '[µg/100g']]]*3.33</f>
        <v>1561.77</v>
      </c>
      <c r="AZ134" s="9">
        <f>Tabelle1[[#This Row],[Vitamin E '[mg/100g']]]*1.49</f>
        <v>0.1043</v>
      </c>
    </row>
    <row r="135" spans="1:52" hidden="1" x14ac:dyDescent="0.45">
      <c r="A135" t="s">
        <v>877</v>
      </c>
      <c r="B135" s="5" t="s">
        <v>737</v>
      </c>
      <c r="C135" s="6" t="s">
        <v>738</v>
      </c>
      <c r="D135" s="13">
        <v>27</v>
      </c>
      <c r="E135" s="11">
        <f>Tabelle1[[#This Row],[Energie '[kcal/100g']]]/239</f>
        <v>0.11297071129707113</v>
      </c>
      <c r="F135" s="13">
        <v>1.4</v>
      </c>
      <c r="G135" s="11">
        <f>Tabelle1[[#This Row],[Rohprotein '[g/100g']]]*0.85</f>
        <v>1.19</v>
      </c>
      <c r="H135" s="13">
        <v>0.2</v>
      </c>
      <c r="I135" s="11">
        <f>Tabelle1[[#This Row],[TS]]-Tabelle1[[#This Row],[Rohprotein '[g/100g']]]-Tabelle1[[#This Row],[Rohfett '[g/100g']]]-Tabelle1[[#This Row],[Rohasche '[g/100g']]]-Tabelle1[[#This Row],[Rohfaser '[g/100g']]]</f>
        <v>4.9999999999999938</v>
      </c>
      <c r="J135" s="11">
        <v>0</v>
      </c>
      <c r="K135" s="13">
        <v>1</v>
      </c>
      <c r="L135" s="13">
        <v>92.4</v>
      </c>
      <c r="M135" s="13">
        <f>100-Tabelle1[[#This Row],[Wasser '[g/100g']]]</f>
        <v>7.5999999999999943</v>
      </c>
      <c r="N135" s="13">
        <v>37.667000000000002</v>
      </c>
      <c r="O135" s="13">
        <v>51</v>
      </c>
      <c r="P135" s="13">
        <v>11.667</v>
      </c>
      <c r="Q135" s="13">
        <v>27</v>
      </c>
      <c r="R135" s="13">
        <v>395</v>
      </c>
      <c r="S135" s="13"/>
      <c r="T135" s="13">
        <v>0.73</v>
      </c>
      <c r="U135" s="13">
        <v>0.22</v>
      </c>
      <c r="V135" s="11">
        <v>0</v>
      </c>
      <c r="W135" s="13">
        <v>20</v>
      </c>
      <c r="X135" s="13">
        <v>80</v>
      </c>
      <c r="Y135" s="13">
        <v>1</v>
      </c>
      <c r="Z135" s="13"/>
      <c r="AA135" s="13">
        <v>0</v>
      </c>
      <c r="AB135" s="13">
        <v>0.06</v>
      </c>
      <c r="AC135" s="13">
        <v>23</v>
      </c>
      <c r="AD135" s="13">
        <v>3.3000000000000002E-2</v>
      </c>
      <c r="AE135" s="13">
        <v>0.11</v>
      </c>
      <c r="AF135" s="13">
        <v>0.2</v>
      </c>
      <c r="AG135" s="13">
        <v>59</v>
      </c>
      <c r="AH135" s="13">
        <v>0</v>
      </c>
      <c r="AI135" s="13">
        <v>9</v>
      </c>
      <c r="AJ135" s="13">
        <v>62.8</v>
      </c>
      <c r="AK135" s="13">
        <v>37</v>
      </c>
      <c r="AL135" s="13">
        <v>0.1</v>
      </c>
      <c r="AM135" s="13">
        <v>0</v>
      </c>
      <c r="AN135" s="13">
        <v>3.0000000000000001E-3</v>
      </c>
      <c r="AO135" s="13">
        <v>0</v>
      </c>
      <c r="AP135" s="13">
        <v>0</v>
      </c>
      <c r="AQ135" s="13">
        <v>3.4000000000000002E-2</v>
      </c>
      <c r="AR135" s="13">
        <v>3.4000000000000002E-2</v>
      </c>
      <c r="AS135" s="13">
        <v>0.11700000000000001</v>
      </c>
      <c r="AT135" s="13">
        <v>7.0000000000000001E-3</v>
      </c>
      <c r="AU135" s="13">
        <v>5.0999999999999997E-2</v>
      </c>
      <c r="AV135" s="13">
        <v>2.1999999999999999E-2</v>
      </c>
      <c r="AW135" s="13">
        <v>1.6E-2</v>
      </c>
      <c r="AX135" s="9">
        <f>Tabelle1[[#This Row],[Vitamin D3 '[µg/100g']]]*40</f>
        <v>0</v>
      </c>
      <c r="AY135" s="9">
        <f>Tabelle1[[#This Row],[Vitamin A '[µg/100g']]]*3.33</f>
        <v>76.59</v>
      </c>
      <c r="AZ135" s="9">
        <f>Tabelle1[[#This Row],[Vitamin E '[mg/100g']]]*1.49</f>
        <v>8.9399999999999993E-2</v>
      </c>
    </row>
    <row r="136" spans="1:52" hidden="1" x14ac:dyDescent="0.45">
      <c r="A136" t="s">
        <v>877</v>
      </c>
      <c r="B136" s="5" t="s">
        <v>739</v>
      </c>
      <c r="C136" s="6" t="s">
        <v>740</v>
      </c>
      <c r="D136" s="13">
        <v>62</v>
      </c>
      <c r="E136" s="11">
        <f>Tabelle1[[#This Row],[Energie '[kcal/100g']]]/239</f>
        <v>0.2594142259414226</v>
      </c>
      <c r="F136" s="13">
        <v>3.3</v>
      </c>
      <c r="G136" s="11">
        <f>Tabelle1[[#This Row],[Rohprotein '[g/100g']]]*0.85</f>
        <v>2.8049999999999997</v>
      </c>
      <c r="H136" s="13">
        <v>0.42699999999999999</v>
      </c>
      <c r="I136" s="11">
        <f>Tabelle1[[#This Row],[TS]]-Tabelle1[[#This Row],[Rohprotein '[g/100g']]]-Tabelle1[[#This Row],[Rohfett '[g/100g']]]-Tabelle1[[#This Row],[Rohasche '[g/100g']]]-Tabelle1[[#This Row],[Rohfaser '[g/100g']]]</f>
        <v>9.7589999999999968</v>
      </c>
      <c r="J136" s="11">
        <v>0</v>
      </c>
      <c r="K136" s="13">
        <v>0.81399999999999995</v>
      </c>
      <c r="L136" s="13">
        <v>85.7</v>
      </c>
      <c r="M136" s="13">
        <f>100-Tabelle1[[#This Row],[Wasser '[g/100g']]]</f>
        <v>14.299999999999997</v>
      </c>
      <c r="N136" s="13">
        <v>23</v>
      </c>
      <c r="O136" s="13">
        <v>75</v>
      </c>
      <c r="P136" s="13">
        <v>25</v>
      </c>
      <c r="Q136" s="13">
        <v>12</v>
      </c>
      <c r="R136" s="13">
        <v>352</v>
      </c>
      <c r="S136" s="13"/>
      <c r="T136" s="13">
        <v>0.92</v>
      </c>
      <c r="U136" s="13">
        <v>0.65700000000000003</v>
      </c>
      <c r="V136" s="11">
        <v>0</v>
      </c>
      <c r="W136" s="13">
        <v>112</v>
      </c>
      <c r="X136" s="13">
        <v>194</v>
      </c>
      <c r="Y136" s="13">
        <v>3.3</v>
      </c>
      <c r="Z136" s="13"/>
      <c r="AA136" s="13">
        <v>0</v>
      </c>
      <c r="AB136" s="13">
        <v>0.41299999999999998</v>
      </c>
      <c r="AC136" s="13">
        <v>867</v>
      </c>
      <c r="AD136" s="13">
        <v>0.17899999999999999</v>
      </c>
      <c r="AE136" s="13">
        <v>0.08</v>
      </c>
      <c r="AF136" s="13">
        <v>1.19</v>
      </c>
      <c r="AG136" s="13">
        <v>143</v>
      </c>
      <c r="AH136" s="13">
        <v>0</v>
      </c>
      <c r="AI136" s="13">
        <v>10.821999999999999</v>
      </c>
      <c r="AJ136" s="13">
        <v>5</v>
      </c>
      <c r="AK136" s="13">
        <v>35</v>
      </c>
      <c r="AL136" s="13">
        <v>3</v>
      </c>
      <c r="AM136" s="13">
        <v>0</v>
      </c>
      <c r="AN136" s="13">
        <v>2.7E-2</v>
      </c>
      <c r="AO136" s="13">
        <v>0</v>
      </c>
      <c r="AP136" s="13">
        <v>0</v>
      </c>
      <c r="AQ136" s="13">
        <v>0.153</v>
      </c>
      <c r="AR136" s="13">
        <v>0.152</v>
      </c>
      <c r="AS136" s="13">
        <v>0.36099999999999999</v>
      </c>
      <c r="AT136" s="13">
        <v>1.6E-2</v>
      </c>
      <c r="AU136" s="13">
        <v>5.8000000000000003E-2</v>
      </c>
      <c r="AV136" s="13">
        <v>0.20300000000000001</v>
      </c>
      <c r="AW136" s="13">
        <v>2.8000000000000001E-2</v>
      </c>
      <c r="AX136" s="9">
        <f>Tabelle1[[#This Row],[Vitamin D3 '[µg/100g']]]*40</f>
        <v>0</v>
      </c>
      <c r="AY136" s="9">
        <f>Tabelle1[[#This Row],[Vitamin A '[µg/100g']]]*3.33</f>
        <v>2887.11</v>
      </c>
      <c r="AZ136" s="9">
        <f>Tabelle1[[#This Row],[Vitamin E '[mg/100g']]]*1.49</f>
        <v>0.61536999999999997</v>
      </c>
    </row>
    <row r="137" spans="1:52" hidden="1" x14ac:dyDescent="0.45">
      <c r="A137" t="s">
        <v>877</v>
      </c>
      <c r="B137" s="3" t="s">
        <v>741</v>
      </c>
      <c r="C137" s="4" t="s">
        <v>742</v>
      </c>
      <c r="D137" s="11">
        <v>62</v>
      </c>
      <c r="E137" s="11">
        <f>Tabelle1[[#This Row],[Energie '[kcal/100g']]]/239</f>
        <v>0.2594142259414226</v>
      </c>
      <c r="F137" s="11">
        <v>3.3</v>
      </c>
      <c r="G137" s="11">
        <f>Tabelle1[[#This Row],[Rohprotein '[g/100g']]]*0.85</f>
        <v>2.8049999999999997</v>
      </c>
      <c r="H137" s="11">
        <v>0.42599999999999999</v>
      </c>
      <c r="I137" s="11">
        <f>Tabelle1[[#This Row],[TS]]-Tabelle1[[#This Row],[Rohprotein '[g/100g']]]-Tabelle1[[#This Row],[Rohfett '[g/100g']]]-Tabelle1[[#This Row],[Rohasche '[g/100g']]]-Tabelle1[[#This Row],[Rohfaser '[g/100g']]]</f>
        <v>9.6879999999999988</v>
      </c>
      <c r="J137" s="11">
        <v>0</v>
      </c>
      <c r="K137" s="11">
        <v>0.58599999999999997</v>
      </c>
      <c r="L137" s="11">
        <v>86</v>
      </c>
      <c r="M137" s="11">
        <f>100-Tabelle1[[#This Row],[Wasser '[g/100g']]]</f>
        <v>14</v>
      </c>
      <c r="N137" s="11">
        <v>25</v>
      </c>
      <c r="O137" s="11">
        <v>75</v>
      </c>
      <c r="P137" s="11">
        <v>21</v>
      </c>
      <c r="Q137" s="11">
        <v>10</v>
      </c>
      <c r="R137" s="11">
        <v>262</v>
      </c>
      <c r="S137" s="11"/>
      <c r="T137" s="11">
        <v>0.85599999999999998</v>
      </c>
      <c r="U137" s="11">
        <v>0.61099999999999999</v>
      </c>
      <c r="V137" s="11">
        <v>0</v>
      </c>
      <c r="W137" s="11">
        <v>117</v>
      </c>
      <c r="X137" s="11">
        <v>196</v>
      </c>
      <c r="Y137" s="11">
        <v>3.3</v>
      </c>
      <c r="Z137" s="11"/>
      <c r="AA137" s="11">
        <v>0</v>
      </c>
      <c r="AB137" s="11">
        <v>0.45700000000000002</v>
      </c>
      <c r="AC137" s="11">
        <v>928</v>
      </c>
      <c r="AD137" s="11">
        <v>0.161</v>
      </c>
      <c r="AE137" s="11">
        <v>7.0999999999999994E-2</v>
      </c>
      <c r="AF137" s="11">
        <v>1.04</v>
      </c>
      <c r="AG137" s="11">
        <v>134</v>
      </c>
      <c r="AH137" s="11">
        <v>0</v>
      </c>
      <c r="AI137" s="11">
        <v>8.8000000000000007</v>
      </c>
      <c r="AJ137" s="11">
        <v>5</v>
      </c>
      <c r="AK137" s="11">
        <v>74</v>
      </c>
      <c r="AL137" s="11">
        <v>2</v>
      </c>
      <c r="AM137" s="11">
        <v>0</v>
      </c>
      <c r="AN137" s="11">
        <v>2.7E-2</v>
      </c>
      <c r="AO137" s="11">
        <v>0</v>
      </c>
      <c r="AP137" s="11">
        <v>0</v>
      </c>
      <c r="AQ137" s="11">
        <v>0.153</v>
      </c>
      <c r="AR137" s="11">
        <v>0.152</v>
      </c>
      <c r="AS137" s="11">
        <v>0.36</v>
      </c>
      <c r="AT137" s="11">
        <v>1.4999999999999999E-2</v>
      </c>
      <c r="AU137" s="11">
        <v>5.8000000000000003E-2</v>
      </c>
      <c r="AV137" s="11">
        <v>0.20200000000000001</v>
      </c>
      <c r="AW137" s="11">
        <v>2.8000000000000001E-2</v>
      </c>
      <c r="AX137" s="9">
        <f>Tabelle1[[#This Row],[Vitamin D3 '[µg/100g']]]*40</f>
        <v>0</v>
      </c>
      <c r="AY137" s="9">
        <f>Tabelle1[[#This Row],[Vitamin A '[µg/100g']]]*3.33</f>
        <v>3090.2400000000002</v>
      </c>
      <c r="AZ137" s="9">
        <f>Tabelle1[[#This Row],[Vitamin E '[mg/100g']]]*1.49</f>
        <v>0.68093000000000004</v>
      </c>
    </row>
    <row r="138" spans="1:52" hidden="1" x14ac:dyDescent="0.45">
      <c r="A138" t="s">
        <v>877</v>
      </c>
      <c r="B138" s="5" t="s">
        <v>743</v>
      </c>
      <c r="C138" s="6" t="s">
        <v>744</v>
      </c>
      <c r="D138" s="13">
        <v>64</v>
      </c>
      <c r="E138" s="11">
        <f>Tabelle1[[#This Row],[Energie '[kcal/100g']]]/239</f>
        <v>0.26778242677824265</v>
      </c>
      <c r="F138" s="13">
        <v>3.4</v>
      </c>
      <c r="G138" s="11">
        <f>Tabelle1[[#This Row],[Rohprotein '[g/100g']]]*0.85</f>
        <v>2.8899999999999997</v>
      </c>
      <c r="H138" s="13">
        <v>0.44</v>
      </c>
      <c r="I138" s="11">
        <f>Tabelle1[[#This Row],[TS]]-Tabelle1[[#This Row],[Rohprotein '[g/100g']]]-Tabelle1[[#This Row],[Rohfett '[g/100g']]]-Tabelle1[[#This Row],[Rohasche '[g/100g']]]-Tabelle1[[#This Row],[Rohfaser '[g/100g']]]</f>
        <v>10.121999999999998</v>
      </c>
      <c r="J138" s="11">
        <v>0</v>
      </c>
      <c r="K138" s="13">
        <v>0.83799999999999997</v>
      </c>
      <c r="L138" s="13">
        <v>85.2</v>
      </c>
      <c r="M138" s="13">
        <f>100-Tabelle1[[#This Row],[Wasser '[g/100g']]]</f>
        <v>14.799999999999997</v>
      </c>
      <c r="N138" s="13">
        <v>24</v>
      </c>
      <c r="O138" s="13">
        <v>77</v>
      </c>
      <c r="P138" s="13">
        <v>26</v>
      </c>
      <c r="Q138" s="13">
        <v>12</v>
      </c>
      <c r="R138" s="13">
        <v>363</v>
      </c>
      <c r="S138" s="13"/>
      <c r="T138" s="13">
        <v>0.94799999999999995</v>
      </c>
      <c r="U138" s="13">
        <v>0.67700000000000005</v>
      </c>
      <c r="V138" s="11">
        <v>0</v>
      </c>
      <c r="W138" s="13">
        <v>115</v>
      </c>
      <c r="X138" s="13">
        <v>200</v>
      </c>
      <c r="Y138" s="13">
        <v>3.6</v>
      </c>
      <c r="Z138" s="13"/>
      <c r="AA138" s="13">
        <v>0</v>
      </c>
      <c r="AB138" s="13">
        <v>0.42499999999999999</v>
      </c>
      <c r="AC138" s="13">
        <v>981</v>
      </c>
      <c r="AD138" s="13">
        <v>0.20499999999999999</v>
      </c>
      <c r="AE138" s="13">
        <v>8.6999999999999994E-2</v>
      </c>
      <c r="AF138" s="13">
        <v>1.29</v>
      </c>
      <c r="AG138" s="13">
        <v>164</v>
      </c>
      <c r="AH138" s="13">
        <v>0</v>
      </c>
      <c r="AI138" s="13">
        <v>14.11</v>
      </c>
      <c r="AJ138" s="13">
        <v>5</v>
      </c>
      <c r="AK138" s="13">
        <v>51</v>
      </c>
      <c r="AL138" s="13">
        <v>3</v>
      </c>
      <c r="AM138" s="13">
        <v>0</v>
      </c>
      <c r="AN138" s="13">
        <v>2.8000000000000001E-2</v>
      </c>
      <c r="AO138" s="13">
        <v>0</v>
      </c>
      <c r="AP138" s="13">
        <v>0</v>
      </c>
      <c r="AQ138" s="13">
        <v>0.158</v>
      </c>
      <c r="AR138" s="13">
        <v>0.157</v>
      </c>
      <c r="AS138" s="13">
        <v>0.372</v>
      </c>
      <c r="AT138" s="13">
        <v>1.6E-2</v>
      </c>
      <c r="AU138" s="13">
        <v>0.06</v>
      </c>
      <c r="AV138" s="13">
        <v>0.20899999999999999</v>
      </c>
      <c r="AW138" s="13">
        <v>2.9000000000000001E-2</v>
      </c>
      <c r="AX138" s="9">
        <f>Tabelle1[[#This Row],[Vitamin D3 '[µg/100g']]]*40</f>
        <v>0</v>
      </c>
      <c r="AY138" s="9">
        <f>Tabelle1[[#This Row],[Vitamin A '[µg/100g']]]*3.33</f>
        <v>3266.73</v>
      </c>
      <c r="AZ138" s="9">
        <f>Tabelle1[[#This Row],[Vitamin E '[mg/100g']]]*1.49</f>
        <v>0.63324999999999998</v>
      </c>
    </row>
    <row r="139" spans="1:52" hidden="1" x14ac:dyDescent="0.45">
      <c r="A139" t="s">
        <v>877</v>
      </c>
      <c r="B139" s="3" t="s">
        <v>745</v>
      </c>
      <c r="C139" s="4" t="s">
        <v>746</v>
      </c>
      <c r="D139" s="11">
        <v>62</v>
      </c>
      <c r="E139" s="11">
        <f>Tabelle1[[#This Row],[Energie '[kcal/100g']]]/239</f>
        <v>0.2594142259414226</v>
      </c>
      <c r="F139" s="11">
        <v>3.4</v>
      </c>
      <c r="G139" s="11">
        <f>Tabelle1[[#This Row],[Rohprotein '[g/100g']]]*0.85</f>
        <v>2.8899999999999997</v>
      </c>
      <c r="H139" s="11">
        <v>0.44</v>
      </c>
      <c r="I139" s="11">
        <f>Tabelle1[[#This Row],[TS]]-Tabelle1[[#This Row],[Rohprotein '[g/100g']]]-Tabelle1[[#This Row],[Rohfett '[g/100g']]]-Tabelle1[[#This Row],[Rohasche '[g/100g']]]-Tabelle1[[#This Row],[Rohfaser '[g/100g']]]</f>
        <v>9.6639999999999979</v>
      </c>
      <c r="J139" s="11">
        <v>0</v>
      </c>
      <c r="K139" s="11">
        <v>0.79600000000000004</v>
      </c>
      <c r="L139" s="11">
        <v>85.7</v>
      </c>
      <c r="M139" s="11">
        <f>100-Tabelle1[[#This Row],[Wasser '[g/100g']]]</f>
        <v>14.299999999999997</v>
      </c>
      <c r="N139" s="11">
        <v>22</v>
      </c>
      <c r="O139" s="11">
        <v>69</v>
      </c>
      <c r="P139" s="11">
        <v>23</v>
      </c>
      <c r="Q139" s="11">
        <v>11</v>
      </c>
      <c r="R139" s="11">
        <v>327</v>
      </c>
      <c r="S139" s="11"/>
      <c r="T139" s="11">
        <v>0.85299999999999998</v>
      </c>
      <c r="U139" s="11">
        <v>0.60899999999999999</v>
      </c>
      <c r="V139" s="11">
        <v>0</v>
      </c>
      <c r="W139" s="11">
        <v>104</v>
      </c>
      <c r="X139" s="11">
        <v>180</v>
      </c>
      <c r="Y139" s="11">
        <v>3.2</v>
      </c>
      <c r="Z139" s="11"/>
      <c r="AA139" s="11">
        <v>0</v>
      </c>
      <c r="AB139" s="11">
        <v>0.38700000000000001</v>
      </c>
      <c r="AC139" s="11">
        <v>930</v>
      </c>
      <c r="AD139" s="11">
        <v>0.16800000000000001</v>
      </c>
      <c r="AE139" s="11">
        <v>7.9000000000000001E-2</v>
      </c>
      <c r="AF139" s="11">
        <v>1.161</v>
      </c>
      <c r="AG139" s="11">
        <v>139</v>
      </c>
      <c r="AH139" s="11">
        <v>0</v>
      </c>
      <c r="AI139" s="11">
        <v>10.441000000000001</v>
      </c>
      <c r="AJ139" s="11">
        <v>5</v>
      </c>
      <c r="AK139" s="11">
        <v>42</v>
      </c>
      <c r="AL139" s="11">
        <v>3</v>
      </c>
      <c r="AM139" s="11">
        <v>0</v>
      </c>
      <c r="AN139" s="11">
        <v>2.8000000000000001E-2</v>
      </c>
      <c r="AO139" s="11">
        <v>0</v>
      </c>
      <c r="AP139" s="11">
        <v>0</v>
      </c>
      <c r="AQ139" s="11">
        <v>0.158</v>
      </c>
      <c r="AR139" s="11">
        <v>0.157</v>
      </c>
      <c r="AS139" s="11">
        <v>0.372</v>
      </c>
      <c r="AT139" s="11">
        <v>1.6E-2</v>
      </c>
      <c r="AU139" s="11">
        <v>0.06</v>
      </c>
      <c r="AV139" s="11">
        <v>0.20899999999999999</v>
      </c>
      <c r="AW139" s="11">
        <v>2.9000000000000001E-2</v>
      </c>
      <c r="AX139" s="9">
        <f>Tabelle1[[#This Row],[Vitamin D3 '[µg/100g']]]*40</f>
        <v>0</v>
      </c>
      <c r="AY139" s="9">
        <f>Tabelle1[[#This Row],[Vitamin A '[µg/100g']]]*3.33</f>
        <v>3096.9</v>
      </c>
      <c r="AZ139" s="9">
        <f>Tabelle1[[#This Row],[Vitamin E '[mg/100g']]]*1.49</f>
        <v>0.57662999999999998</v>
      </c>
    </row>
    <row r="140" spans="1:52" hidden="1" x14ac:dyDescent="0.45">
      <c r="A140" t="s">
        <v>877</v>
      </c>
      <c r="B140" s="5" t="s">
        <v>747</v>
      </c>
      <c r="C140" s="6" t="s">
        <v>748</v>
      </c>
      <c r="D140" s="13">
        <v>60</v>
      </c>
      <c r="E140" s="11">
        <f>Tabelle1[[#This Row],[Energie '[kcal/100g']]]/239</f>
        <v>0.2510460251046025</v>
      </c>
      <c r="F140" s="13">
        <v>3.3</v>
      </c>
      <c r="G140" s="11">
        <f>Tabelle1[[#This Row],[Rohprotein '[g/100g']]]*0.85</f>
        <v>2.8049999999999997</v>
      </c>
      <c r="H140" s="13">
        <v>0.42699999999999999</v>
      </c>
      <c r="I140" s="11">
        <f>Tabelle1[[#This Row],[TS]]-Tabelle1[[#This Row],[Rohprotein '[g/100g']]]-Tabelle1[[#This Row],[Rohfett '[g/100g']]]-Tabelle1[[#This Row],[Rohasche '[g/100g']]]-Tabelle1[[#This Row],[Rohfaser '[g/100g']]]</f>
        <v>9.2999999999999972</v>
      </c>
      <c r="J140" s="11">
        <v>0</v>
      </c>
      <c r="K140" s="13">
        <v>0.77300000000000002</v>
      </c>
      <c r="L140" s="13">
        <v>86.2</v>
      </c>
      <c r="M140" s="13">
        <f>100-Tabelle1[[#This Row],[Wasser '[g/100g']]]</f>
        <v>13.799999999999997</v>
      </c>
      <c r="N140" s="13">
        <v>21</v>
      </c>
      <c r="O140" s="13">
        <v>67</v>
      </c>
      <c r="P140" s="13">
        <v>22</v>
      </c>
      <c r="Q140" s="13">
        <v>11</v>
      </c>
      <c r="R140" s="13">
        <v>317</v>
      </c>
      <c r="S140" s="13"/>
      <c r="T140" s="13">
        <v>0.82799999999999996</v>
      </c>
      <c r="U140" s="13">
        <v>0.59099999999999997</v>
      </c>
      <c r="V140" s="11">
        <v>0</v>
      </c>
      <c r="W140" s="13">
        <v>101</v>
      </c>
      <c r="X140" s="13">
        <v>175</v>
      </c>
      <c r="Y140" s="13">
        <v>3</v>
      </c>
      <c r="Z140" s="13"/>
      <c r="AA140" s="13">
        <v>0</v>
      </c>
      <c r="AB140" s="13">
        <v>0.376</v>
      </c>
      <c r="AC140" s="13">
        <v>822</v>
      </c>
      <c r="AD140" s="13">
        <v>0.14699999999999999</v>
      </c>
      <c r="AE140" s="13">
        <v>7.2999999999999995E-2</v>
      </c>
      <c r="AF140" s="13">
        <v>1.071</v>
      </c>
      <c r="AG140" s="13">
        <v>121</v>
      </c>
      <c r="AH140" s="13">
        <v>0</v>
      </c>
      <c r="AI140" s="13">
        <v>8.0079999999999991</v>
      </c>
      <c r="AJ140" s="13">
        <v>5</v>
      </c>
      <c r="AK140" s="13">
        <v>29</v>
      </c>
      <c r="AL140" s="13">
        <v>3</v>
      </c>
      <c r="AM140" s="13">
        <v>0</v>
      </c>
      <c r="AN140" s="13">
        <v>2.7E-2</v>
      </c>
      <c r="AO140" s="13">
        <v>0</v>
      </c>
      <c r="AP140" s="13">
        <v>0</v>
      </c>
      <c r="AQ140" s="13">
        <v>0.153</v>
      </c>
      <c r="AR140" s="13">
        <v>0.152</v>
      </c>
      <c r="AS140" s="13">
        <v>0.36099999999999999</v>
      </c>
      <c r="AT140" s="13">
        <v>1.6E-2</v>
      </c>
      <c r="AU140" s="13">
        <v>5.8000000000000003E-2</v>
      </c>
      <c r="AV140" s="13">
        <v>0.20300000000000001</v>
      </c>
      <c r="AW140" s="13">
        <v>2.8000000000000001E-2</v>
      </c>
      <c r="AX140" s="9">
        <f>Tabelle1[[#This Row],[Vitamin D3 '[µg/100g']]]*40</f>
        <v>0</v>
      </c>
      <c r="AY140" s="9">
        <f>Tabelle1[[#This Row],[Vitamin A '[µg/100g']]]*3.33</f>
        <v>2737.26</v>
      </c>
      <c r="AZ140" s="9">
        <f>Tabelle1[[#This Row],[Vitamin E '[mg/100g']]]*1.49</f>
        <v>0.56023999999999996</v>
      </c>
    </row>
    <row r="141" spans="1:52" hidden="1" x14ac:dyDescent="0.45">
      <c r="A141" t="s">
        <v>877</v>
      </c>
      <c r="B141" s="3" t="s">
        <v>749</v>
      </c>
      <c r="C141" s="4" t="s">
        <v>750</v>
      </c>
      <c r="D141" s="11">
        <v>60</v>
      </c>
      <c r="E141" s="11">
        <f>Tabelle1[[#This Row],[Energie '[kcal/100g']]]/239</f>
        <v>0.2510460251046025</v>
      </c>
      <c r="F141" s="11">
        <v>3.3</v>
      </c>
      <c r="G141" s="11">
        <f>Tabelle1[[#This Row],[Rohprotein '[g/100g']]]*0.85</f>
        <v>2.8049999999999997</v>
      </c>
      <c r="H141" s="11">
        <v>0.42599999999999999</v>
      </c>
      <c r="I141" s="11">
        <f>Tabelle1[[#This Row],[TS]]-Tabelle1[[#This Row],[Rohprotein '[g/100g']]]-Tabelle1[[#This Row],[Rohfett '[g/100g']]]-Tabelle1[[#This Row],[Rohasche '[g/100g']]]-Tabelle1[[#This Row],[Rohfaser '[g/100g']]]</f>
        <v>9.218</v>
      </c>
      <c r="J141" s="11">
        <v>0</v>
      </c>
      <c r="K141" s="11">
        <v>0.55600000000000005</v>
      </c>
      <c r="L141" s="11">
        <v>86.5</v>
      </c>
      <c r="M141" s="11">
        <f>100-Tabelle1[[#This Row],[Wasser '[g/100g']]]</f>
        <v>13.5</v>
      </c>
      <c r="N141" s="11">
        <v>22</v>
      </c>
      <c r="O141" s="11">
        <v>67</v>
      </c>
      <c r="P141" s="11">
        <v>19</v>
      </c>
      <c r="Q141" s="11">
        <v>10</v>
      </c>
      <c r="R141" s="11">
        <v>236</v>
      </c>
      <c r="S141" s="11"/>
      <c r="T141" s="11">
        <v>0.77</v>
      </c>
      <c r="U141" s="11">
        <v>0.55000000000000004</v>
      </c>
      <c r="V141" s="11">
        <v>0</v>
      </c>
      <c r="W141" s="11">
        <v>106</v>
      </c>
      <c r="X141" s="11">
        <v>176</v>
      </c>
      <c r="Y141" s="11">
        <v>3</v>
      </c>
      <c r="Z141" s="11"/>
      <c r="AA141" s="11">
        <v>0</v>
      </c>
      <c r="AB141" s="11">
        <v>0.41599999999999998</v>
      </c>
      <c r="AC141" s="11">
        <v>53</v>
      </c>
      <c r="AD141" s="11">
        <v>0.13200000000000001</v>
      </c>
      <c r="AE141" s="11">
        <v>6.5000000000000002E-2</v>
      </c>
      <c r="AF141" s="11">
        <v>0.93600000000000005</v>
      </c>
      <c r="AG141" s="11">
        <v>114</v>
      </c>
      <c r="AH141" s="11">
        <v>0</v>
      </c>
      <c r="AI141" s="11">
        <v>6.5119999999999996</v>
      </c>
      <c r="AJ141" s="11">
        <v>5</v>
      </c>
      <c r="AK141" s="11">
        <v>103</v>
      </c>
      <c r="AL141" s="11">
        <v>2</v>
      </c>
      <c r="AM141" s="11">
        <v>0</v>
      </c>
      <c r="AN141" s="11">
        <v>2.7E-2</v>
      </c>
      <c r="AO141" s="11">
        <v>0</v>
      </c>
      <c r="AP141" s="11">
        <v>0</v>
      </c>
      <c r="AQ141" s="11">
        <v>0.153</v>
      </c>
      <c r="AR141" s="11">
        <v>0.152</v>
      </c>
      <c r="AS141" s="11">
        <v>0.36</v>
      </c>
      <c r="AT141" s="11">
        <v>1.4999999999999999E-2</v>
      </c>
      <c r="AU141" s="11">
        <v>5.8000000000000003E-2</v>
      </c>
      <c r="AV141" s="11">
        <v>0.20200000000000001</v>
      </c>
      <c r="AW141" s="11">
        <v>2.8000000000000001E-2</v>
      </c>
      <c r="AX141" s="9">
        <f>Tabelle1[[#This Row],[Vitamin D3 '[µg/100g']]]*40</f>
        <v>0</v>
      </c>
      <c r="AY141" s="9">
        <f>Tabelle1[[#This Row],[Vitamin A '[µg/100g']]]*3.33</f>
        <v>176.49</v>
      </c>
      <c r="AZ141" s="9">
        <f>Tabelle1[[#This Row],[Vitamin E '[mg/100g']]]*1.49</f>
        <v>0.61983999999999995</v>
      </c>
    </row>
    <row r="142" spans="1:52" hidden="1" x14ac:dyDescent="0.45">
      <c r="A142" t="s">
        <v>877</v>
      </c>
      <c r="B142" s="5" t="s">
        <v>751</v>
      </c>
      <c r="C142" s="6" t="s">
        <v>752</v>
      </c>
      <c r="D142" s="13">
        <v>31</v>
      </c>
      <c r="E142" s="11">
        <f>Tabelle1[[#This Row],[Energie '[kcal/100g']]]/239</f>
        <v>0.1297071129707113</v>
      </c>
      <c r="F142" s="13">
        <v>1.96</v>
      </c>
      <c r="G142" s="11">
        <f>Tabelle1[[#This Row],[Rohprotein '[g/100g']]]*0.85</f>
        <v>1.6659999999999999</v>
      </c>
      <c r="H142" s="13">
        <v>0.36299999999999999</v>
      </c>
      <c r="I142" s="11">
        <f>Tabelle1[[#This Row],[TS]]-Tabelle1[[#This Row],[Rohprotein '[g/100g']]]-Tabelle1[[#This Row],[Rohfett '[g/100g']]]-Tabelle1[[#This Row],[Rohasche '[g/100g']]]-Tabelle1[[#This Row],[Rohfaser '[g/100g']]]</f>
        <v>6.0980000000000052</v>
      </c>
      <c r="J142" s="11">
        <v>0</v>
      </c>
      <c r="K142" s="13">
        <v>0.47899999999999998</v>
      </c>
      <c r="L142" s="13">
        <v>91.1</v>
      </c>
      <c r="M142" s="13">
        <f>100-Tabelle1[[#This Row],[Wasser '[g/100g']]]</f>
        <v>8.9000000000000057</v>
      </c>
      <c r="N142" s="13">
        <v>27</v>
      </c>
      <c r="O142" s="13">
        <v>37</v>
      </c>
      <c r="P142" s="13">
        <v>13</v>
      </c>
      <c r="Q142" s="13">
        <v>15</v>
      </c>
      <c r="R142" s="13">
        <v>217</v>
      </c>
      <c r="S142" s="13"/>
      <c r="T142" s="13">
        <v>0.46400000000000002</v>
      </c>
      <c r="U142" s="13">
        <v>0.32</v>
      </c>
      <c r="V142" s="11">
        <v>0</v>
      </c>
      <c r="W142" s="13">
        <v>47</v>
      </c>
      <c r="X142" s="13">
        <v>180</v>
      </c>
      <c r="Y142" s="13">
        <v>2</v>
      </c>
      <c r="Z142" s="13"/>
      <c r="AA142" s="13">
        <v>0</v>
      </c>
      <c r="AB142" s="13">
        <v>0.97799999999999998</v>
      </c>
      <c r="AC142" s="13">
        <v>8</v>
      </c>
      <c r="AD142" s="13">
        <v>7.1999999999999995E-2</v>
      </c>
      <c r="AE142" s="13">
        <v>5.3999999999999999E-2</v>
      </c>
      <c r="AF142" s="13">
        <v>0.379</v>
      </c>
      <c r="AG142" s="13">
        <v>91</v>
      </c>
      <c r="AH142" s="13">
        <v>0</v>
      </c>
      <c r="AI142" s="13">
        <v>27.198</v>
      </c>
      <c r="AJ142" s="13">
        <v>66</v>
      </c>
      <c r="AK142" s="13">
        <v>28</v>
      </c>
      <c r="AL142" s="13">
        <v>1.4</v>
      </c>
      <c r="AM142" s="13">
        <v>0</v>
      </c>
      <c r="AN142" s="13">
        <v>8.3000000000000004E-2</v>
      </c>
      <c r="AO142" s="13">
        <v>0</v>
      </c>
      <c r="AP142" s="13">
        <v>0</v>
      </c>
      <c r="AQ142" s="13">
        <v>5.0999999999999997E-2</v>
      </c>
      <c r="AR142" s="13">
        <v>5.0999999999999997E-2</v>
      </c>
      <c r="AS142" s="13">
        <v>9.7000000000000003E-2</v>
      </c>
      <c r="AT142" s="13">
        <v>3.0000000000000001E-3</v>
      </c>
      <c r="AU142" s="13">
        <v>3.6999999999999998E-2</v>
      </c>
      <c r="AV142" s="13">
        <v>9.6000000000000002E-2</v>
      </c>
      <c r="AW142" s="13">
        <v>0.03</v>
      </c>
      <c r="AX142" s="9">
        <f>Tabelle1[[#This Row],[Vitamin D3 '[µg/100g']]]*40</f>
        <v>0</v>
      </c>
      <c r="AY142" s="9">
        <f>Tabelle1[[#This Row],[Vitamin A '[µg/100g']]]*3.33</f>
        <v>26.64</v>
      </c>
      <c r="AZ142" s="9">
        <f>Tabelle1[[#This Row],[Vitamin E '[mg/100g']]]*1.49</f>
        <v>1.45722</v>
      </c>
    </row>
    <row r="143" spans="1:52" hidden="1" x14ac:dyDescent="0.45">
      <c r="A143" t="s">
        <v>877</v>
      </c>
      <c r="B143" s="5" t="s">
        <v>753</v>
      </c>
      <c r="C143" s="6" t="s">
        <v>754</v>
      </c>
      <c r="D143" s="13">
        <v>37</v>
      </c>
      <c r="E143" s="11">
        <f>Tabelle1[[#This Row],[Energie '[kcal/100g']]]/239</f>
        <v>0.15481171548117154</v>
      </c>
      <c r="F143" s="13">
        <v>2.3090000000000002</v>
      </c>
      <c r="G143" s="11">
        <f>Tabelle1[[#This Row],[Rohprotein '[g/100g']]]*0.85</f>
        <v>1.96265</v>
      </c>
      <c r="H143" s="13">
        <v>0.42699999999999999</v>
      </c>
      <c r="I143" s="11">
        <f>Tabelle1[[#This Row],[TS]]-Tabelle1[[#This Row],[Rohprotein '[g/100g']]]-Tabelle1[[#This Row],[Rohfett '[g/100g']]]-Tabelle1[[#This Row],[Rohasche '[g/100g']]]-Tabelle1[[#This Row],[Rohfaser '[g/100g']]]</f>
        <v>7.3830000000000053</v>
      </c>
      <c r="J143" s="11">
        <v>0</v>
      </c>
      <c r="K143" s="13">
        <v>0.78100000000000003</v>
      </c>
      <c r="L143" s="13">
        <v>89.1</v>
      </c>
      <c r="M143" s="13">
        <f>100-Tabelle1[[#This Row],[Wasser '[g/100g']]]</f>
        <v>10.900000000000006</v>
      </c>
      <c r="N143" s="13">
        <v>30</v>
      </c>
      <c r="O143" s="13">
        <v>43</v>
      </c>
      <c r="P143" s="13">
        <v>18</v>
      </c>
      <c r="Q143" s="13">
        <v>20</v>
      </c>
      <c r="R143" s="13">
        <v>344</v>
      </c>
      <c r="S143" s="13"/>
      <c r="T143" s="13">
        <v>0.58499999999999996</v>
      </c>
      <c r="U143" s="13">
        <v>0.41</v>
      </c>
      <c r="V143" s="11">
        <v>0</v>
      </c>
      <c r="W143" s="13">
        <v>52</v>
      </c>
      <c r="X143" s="13">
        <v>210</v>
      </c>
      <c r="Y143" s="13">
        <v>2</v>
      </c>
      <c r="Z143" s="13"/>
      <c r="AA143" s="13">
        <v>0</v>
      </c>
      <c r="AB143" s="13">
        <v>1.0369999999999999</v>
      </c>
      <c r="AC143" s="13">
        <v>664</v>
      </c>
      <c r="AD143" s="13">
        <v>0.105</v>
      </c>
      <c r="AE143" s="13">
        <v>7.4999999999999997E-2</v>
      </c>
      <c r="AF143" s="13">
        <v>0.53600000000000003</v>
      </c>
      <c r="AG143" s="13">
        <v>127</v>
      </c>
      <c r="AH143" s="13">
        <v>0</v>
      </c>
      <c r="AI143" s="13">
        <v>49.706000000000003</v>
      </c>
      <c r="AJ143" s="13">
        <v>74</v>
      </c>
      <c r="AK143" s="13">
        <v>63</v>
      </c>
      <c r="AL143" s="13">
        <v>2.1</v>
      </c>
      <c r="AM143" s="13">
        <v>0</v>
      </c>
      <c r="AN143" s="13">
        <v>9.8000000000000004E-2</v>
      </c>
      <c r="AO143" s="13">
        <v>0</v>
      </c>
      <c r="AP143" s="13">
        <v>0</v>
      </c>
      <c r="AQ143" s="13">
        <v>0.06</v>
      </c>
      <c r="AR143" s="13">
        <v>0.06</v>
      </c>
      <c r="AS143" s="13">
        <v>0.114</v>
      </c>
      <c r="AT143" s="13">
        <v>4.0000000000000001E-3</v>
      </c>
      <c r="AU143" s="13">
        <v>4.2999999999999997E-2</v>
      </c>
      <c r="AV143" s="13">
        <v>0.113</v>
      </c>
      <c r="AW143" s="13">
        <v>3.5000000000000003E-2</v>
      </c>
      <c r="AX143" s="9">
        <f>Tabelle1[[#This Row],[Vitamin D3 '[µg/100g']]]*40</f>
        <v>0</v>
      </c>
      <c r="AY143" s="9">
        <f>Tabelle1[[#This Row],[Vitamin A '[µg/100g']]]*3.33</f>
        <v>2211.12</v>
      </c>
      <c r="AZ143" s="9">
        <f>Tabelle1[[#This Row],[Vitamin E '[mg/100g']]]*1.49</f>
        <v>1.5451299999999999</v>
      </c>
    </row>
    <row r="144" spans="1:52" hidden="1" x14ac:dyDescent="0.45">
      <c r="A144" t="s">
        <v>877</v>
      </c>
      <c r="B144" s="5" t="s">
        <v>755</v>
      </c>
      <c r="C144" s="6" t="s">
        <v>756</v>
      </c>
      <c r="D144" s="13">
        <v>36</v>
      </c>
      <c r="E144" s="11">
        <f>Tabelle1[[#This Row],[Energie '[kcal/100g']]]/239</f>
        <v>0.15062761506276151</v>
      </c>
      <c r="F144" s="13">
        <v>2.3090000000000002</v>
      </c>
      <c r="G144" s="11">
        <f>Tabelle1[[#This Row],[Rohprotein '[g/100g']]]*0.85</f>
        <v>1.96265</v>
      </c>
      <c r="H144" s="13">
        <v>0.42699999999999999</v>
      </c>
      <c r="I144" s="11">
        <f>Tabelle1[[#This Row],[TS]]-Tabelle1[[#This Row],[Rohprotein '[g/100g']]]-Tabelle1[[#This Row],[Rohfett '[g/100g']]]-Tabelle1[[#This Row],[Rohasche '[g/100g']]]-Tabelle1[[#This Row],[Rohfaser '[g/100g']]]</f>
        <v>7.0219999999999994</v>
      </c>
      <c r="J144" s="11">
        <v>0</v>
      </c>
      <c r="K144" s="13">
        <v>0.74199999999999999</v>
      </c>
      <c r="L144" s="13">
        <v>89.5</v>
      </c>
      <c r="M144" s="13">
        <f>100-Tabelle1[[#This Row],[Wasser '[g/100g']]]</f>
        <v>10.5</v>
      </c>
      <c r="N144" s="13">
        <v>27</v>
      </c>
      <c r="O144" s="13">
        <v>39</v>
      </c>
      <c r="P144" s="13">
        <v>16</v>
      </c>
      <c r="Q144" s="13">
        <v>18</v>
      </c>
      <c r="R144" s="13">
        <v>310</v>
      </c>
      <c r="S144" s="13"/>
      <c r="T144" s="13">
        <v>0.52600000000000002</v>
      </c>
      <c r="U144" s="13">
        <v>0.37</v>
      </c>
      <c r="V144" s="11">
        <v>0</v>
      </c>
      <c r="W144" s="13">
        <v>47</v>
      </c>
      <c r="X144" s="13">
        <v>190</v>
      </c>
      <c r="Y144" s="13">
        <v>2</v>
      </c>
      <c r="Z144" s="13"/>
      <c r="AA144" s="13">
        <v>0</v>
      </c>
      <c r="AB144" s="13">
        <v>0.94399999999999995</v>
      </c>
      <c r="AC144" s="13">
        <v>629</v>
      </c>
      <c r="AD144" s="13">
        <v>8.5999999999999993E-2</v>
      </c>
      <c r="AE144" s="13">
        <v>6.8000000000000005E-2</v>
      </c>
      <c r="AF144" s="13">
        <v>0.48199999999999998</v>
      </c>
      <c r="AG144" s="13">
        <v>108</v>
      </c>
      <c r="AH144" s="13">
        <v>0</v>
      </c>
      <c r="AI144" s="13">
        <v>36.781999999999996</v>
      </c>
      <c r="AJ144" s="13">
        <v>71</v>
      </c>
      <c r="AK144" s="13">
        <v>52</v>
      </c>
      <c r="AL144" s="13">
        <v>2.1</v>
      </c>
      <c r="AM144" s="13">
        <v>0</v>
      </c>
      <c r="AN144" s="13">
        <v>9.8000000000000004E-2</v>
      </c>
      <c r="AO144" s="13">
        <v>0</v>
      </c>
      <c r="AP144" s="13">
        <v>0</v>
      </c>
      <c r="AQ144" s="13">
        <v>0.06</v>
      </c>
      <c r="AR144" s="13">
        <v>0.06</v>
      </c>
      <c r="AS144" s="13">
        <v>0.114</v>
      </c>
      <c r="AT144" s="13">
        <v>4.0000000000000001E-3</v>
      </c>
      <c r="AU144" s="13">
        <v>4.2999999999999997E-2</v>
      </c>
      <c r="AV144" s="13">
        <v>0.113</v>
      </c>
      <c r="AW144" s="13">
        <v>3.5000000000000003E-2</v>
      </c>
      <c r="AX144" s="9">
        <f>Tabelle1[[#This Row],[Vitamin D3 '[µg/100g']]]*40</f>
        <v>0</v>
      </c>
      <c r="AY144" s="9">
        <f>Tabelle1[[#This Row],[Vitamin A '[µg/100g']]]*3.33</f>
        <v>2094.5700000000002</v>
      </c>
      <c r="AZ144" s="9">
        <f>Tabelle1[[#This Row],[Vitamin E '[mg/100g']]]*1.49</f>
        <v>1.4065599999999998</v>
      </c>
    </row>
    <row r="145" spans="1:52" hidden="1" x14ac:dyDescent="0.45">
      <c r="A145" t="s">
        <v>877</v>
      </c>
      <c r="B145" s="3" t="s">
        <v>757</v>
      </c>
      <c r="C145" s="4" t="s">
        <v>758</v>
      </c>
      <c r="D145" s="11">
        <v>30</v>
      </c>
      <c r="E145" s="11">
        <f>Tabelle1[[#This Row],[Energie '[kcal/100g']]]/239</f>
        <v>0.12552301255230125</v>
      </c>
      <c r="F145" s="11">
        <v>1.96</v>
      </c>
      <c r="G145" s="11">
        <f>Tabelle1[[#This Row],[Rohprotein '[g/100g']]]*0.85</f>
        <v>1.6659999999999999</v>
      </c>
      <c r="H145" s="11">
        <v>0.36299999999999999</v>
      </c>
      <c r="I145" s="11">
        <f>Tabelle1[[#This Row],[TS]]-Tabelle1[[#This Row],[Rohprotein '[g/100g']]]-Tabelle1[[#This Row],[Rohfett '[g/100g']]]-Tabelle1[[#This Row],[Rohasche '[g/100g']]]-Tabelle1[[#This Row],[Rohfaser '[g/100g']]]</f>
        <v>5.9220000000000024</v>
      </c>
      <c r="J145" s="11">
        <v>0</v>
      </c>
      <c r="K145" s="11">
        <v>0.45500000000000002</v>
      </c>
      <c r="L145" s="11">
        <v>91.3</v>
      </c>
      <c r="M145" s="11">
        <f>100-Tabelle1[[#This Row],[Wasser '[g/100g']]]</f>
        <v>8.7000000000000028</v>
      </c>
      <c r="N145" s="11">
        <v>24</v>
      </c>
      <c r="O145" s="11">
        <v>33</v>
      </c>
      <c r="P145" s="11">
        <v>11</v>
      </c>
      <c r="Q145" s="11">
        <v>14</v>
      </c>
      <c r="R145" s="11">
        <v>196</v>
      </c>
      <c r="S145" s="11"/>
      <c r="T145" s="11">
        <v>0.41699999999999998</v>
      </c>
      <c r="U145" s="11">
        <v>0.28999999999999998</v>
      </c>
      <c r="V145" s="11">
        <v>0</v>
      </c>
      <c r="W145" s="11">
        <v>42</v>
      </c>
      <c r="X145" s="11">
        <v>160</v>
      </c>
      <c r="Y145" s="11">
        <v>2</v>
      </c>
      <c r="Z145" s="11"/>
      <c r="AA145" s="11">
        <v>0</v>
      </c>
      <c r="AB145" s="11">
        <v>0.89100000000000001</v>
      </c>
      <c r="AC145" s="11">
        <v>30</v>
      </c>
      <c r="AD145" s="11">
        <v>5.8999999999999997E-2</v>
      </c>
      <c r="AE145" s="11">
        <v>4.9000000000000002E-2</v>
      </c>
      <c r="AF145" s="11">
        <v>0.34100000000000003</v>
      </c>
      <c r="AG145" s="11">
        <v>77</v>
      </c>
      <c r="AH145" s="11">
        <v>0</v>
      </c>
      <c r="AI145" s="11">
        <v>20.126000000000001</v>
      </c>
      <c r="AJ145" s="11">
        <v>64</v>
      </c>
      <c r="AK145" s="11">
        <v>137.69999999999999</v>
      </c>
      <c r="AL145" s="11">
        <v>1.4</v>
      </c>
      <c r="AM145" s="11">
        <v>0</v>
      </c>
      <c r="AN145" s="11">
        <v>8.3000000000000004E-2</v>
      </c>
      <c r="AO145" s="11">
        <v>0</v>
      </c>
      <c r="AP145" s="11">
        <v>0</v>
      </c>
      <c r="AQ145" s="11">
        <v>5.0999999999999997E-2</v>
      </c>
      <c r="AR145" s="11">
        <v>5.0999999999999997E-2</v>
      </c>
      <c r="AS145" s="11">
        <v>9.7000000000000003E-2</v>
      </c>
      <c r="AT145" s="11">
        <v>3.0000000000000001E-3</v>
      </c>
      <c r="AU145" s="11">
        <v>3.6999999999999998E-2</v>
      </c>
      <c r="AV145" s="11">
        <v>9.6000000000000002E-2</v>
      </c>
      <c r="AW145" s="11">
        <v>0.03</v>
      </c>
      <c r="AX145" s="9">
        <f>Tabelle1[[#This Row],[Vitamin D3 '[µg/100g']]]*40</f>
        <v>0</v>
      </c>
      <c r="AY145" s="9">
        <f>Tabelle1[[#This Row],[Vitamin A '[µg/100g']]]*3.33</f>
        <v>99.9</v>
      </c>
      <c r="AZ145" s="9">
        <f>Tabelle1[[#This Row],[Vitamin E '[mg/100g']]]*1.49</f>
        <v>1.32759</v>
      </c>
    </row>
    <row r="146" spans="1:52" hidden="1" x14ac:dyDescent="0.45">
      <c r="A146" t="s">
        <v>877</v>
      </c>
      <c r="B146" s="5" t="s">
        <v>759</v>
      </c>
      <c r="C146" s="6" t="s">
        <v>760</v>
      </c>
      <c r="D146" s="13">
        <v>28</v>
      </c>
      <c r="E146" s="11">
        <f>Tabelle1[[#This Row],[Energie '[kcal/100g']]]/239</f>
        <v>0.11715481171548117</v>
      </c>
      <c r="F146" s="13">
        <v>0.80900000000000005</v>
      </c>
      <c r="G146" s="11">
        <f>Tabelle1[[#This Row],[Rohprotein '[g/100g']]]*0.85</f>
        <v>0.68764999999999998</v>
      </c>
      <c r="H146" s="13">
        <v>0.20200000000000001</v>
      </c>
      <c r="I146" s="11">
        <f>Tabelle1[[#This Row],[TS]]-Tabelle1[[#This Row],[Rohprotein '[g/100g']]]-Tabelle1[[#This Row],[Rohfett '[g/100g']]]-Tabelle1[[#This Row],[Rohasche '[g/100g']]]-Tabelle1[[#This Row],[Rohfaser '[g/100g']]]</f>
        <v>5.1009999999999938</v>
      </c>
      <c r="J146" s="11">
        <v>0</v>
      </c>
      <c r="K146" s="13">
        <v>0.73799999999999999</v>
      </c>
      <c r="L146" s="13">
        <v>93.15</v>
      </c>
      <c r="M146" s="13">
        <f>100-Tabelle1[[#This Row],[Wasser '[g/100g']]]</f>
        <v>6.8499999999999943</v>
      </c>
      <c r="N146" s="13">
        <v>6</v>
      </c>
      <c r="O146" s="13">
        <v>23.19</v>
      </c>
      <c r="P146" s="13">
        <v>6</v>
      </c>
      <c r="Q146" s="13">
        <v>1</v>
      </c>
      <c r="R146" s="13">
        <v>102</v>
      </c>
      <c r="S146" s="13"/>
      <c r="T146" s="13">
        <v>0.32</v>
      </c>
      <c r="U146" s="13">
        <v>0.13100000000000001</v>
      </c>
      <c r="V146" s="11">
        <v>0</v>
      </c>
      <c r="W146" s="13">
        <v>43</v>
      </c>
      <c r="X146" s="13">
        <v>111</v>
      </c>
      <c r="Y146" s="13">
        <v>2.9</v>
      </c>
      <c r="Z146" s="13"/>
      <c r="AA146" s="13">
        <v>0</v>
      </c>
      <c r="AB146" s="13">
        <v>4.3650000000000002</v>
      </c>
      <c r="AC146" s="13">
        <v>30</v>
      </c>
      <c r="AD146" s="13">
        <v>0.08</v>
      </c>
      <c r="AE146" s="13">
        <v>1.4999999999999999E-2</v>
      </c>
      <c r="AF146" s="13">
        <v>0.29199999999999998</v>
      </c>
      <c r="AG146" s="13">
        <v>79.150000000000006</v>
      </c>
      <c r="AH146" s="13">
        <v>0</v>
      </c>
      <c r="AI146" s="13">
        <v>116.72</v>
      </c>
      <c r="AJ146" s="13">
        <v>2.39</v>
      </c>
      <c r="AK146" s="13">
        <v>13</v>
      </c>
      <c r="AL146" s="13">
        <v>3.1</v>
      </c>
      <c r="AM146" s="13">
        <v>0</v>
      </c>
      <c r="AN146" s="13">
        <v>3.2399999999999998E-2</v>
      </c>
      <c r="AO146" s="13">
        <v>0</v>
      </c>
      <c r="AP146" s="13">
        <v>0</v>
      </c>
      <c r="AQ146" s="13">
        <v>5.3900000000000003E-2</v>
      </c>
      <c r="AR146" s="13">
        <v>5.3900000000000003E-2</v>
      </c>
      <c r="AS146" s="13">
        <v>4.1000000000000002E-2</v>
      </c>
      <c r="AT146" s="13">
        <v>1.6E-2</v>
      </c>
      <c r="AU146" s="13">
        <v>1.7999999999999999E-2</v>
      </c>
      <c r="AV146" s="13">
        <v>3.7999999999999999E-2</v>
      </c>
      <c r="AW146" s="13">
        <v>0.01</v>
      </c>
      <c r="AX146" s="9">
        <f>Tabelle1[[#This Row],[Vitamin D3 '[µg/100g']]]*40</f>
        <v>0</v>
      </c>
      <c r="AY146" s="9">
        <f>Tabelle1[[#This Row],[Vitamin A '[µg/100g']]]*3.33</f>
        <v>99.9</v>
      </c>
      <c r="AZ146" s="9">
        <f>Tabelle1[[#This Row],[Vitamin E '[mg/100g']]]*1.49</f>
        <v>6.5038499999999999</v>
      </c>
    </row>
    <row r="147" spans="1:52" hidden="1" x14ac:dyDescent="0.45">
      <c r="A147" t="s">
        <v>877</v>
      </c>
      <c r="B147" s="3" t="s">
        <v>761</v>
      </c>
      <c r="C147" s="4" t="s">
        <v>762</v>
      </c>
      <c r="D147" s="11">
        <v>28</v>
      </c>
      <c r="E147" s="11">
        <f>Tabelle1[[#This Row],[Energie '[kcal/100g']]]/239</f>
        <v>0.11715481171548117</v>
      </c>
      <c r="F147" s="11">
        <v>0.8</v>
      </c>
      <c r="G147" s="11">
        <f>Tabelle1[[#This Row],[Rohprotein '[g/100g']]]*0.85</f>
        <v>0.68</v>
      </c>
      <c r="H147" s="11">
        <v>0.2</v>
      </c>
      <c r="I147" s="11">
        <f>Tabelle1[[#This Row],[TS]]-Tabelle1[[#This Row],[Rohprotein '[g/100g']]]-Tabelle1[[#This Row],[Rohfett '[g/100g']]]-Tabelle1[[#This Row],[Rohasche '[g/100g']]]-Tabelle1[[#This Row],[Rohfaser '[g/100g']]]</f>
        <v>5.0899999999999945</v>
      </c>
      <c r="J147" s="11">
        <v>0</v>
      </c>
      <c r="K147" s="11">
        <v>1.01</v>
      </c>
      <c r="L147" s="11">
        <v>92.9</v>
      </c>
      <c r="M147" s="11">
        <f>100-Tabelle1[[#This Row],[Wasser '[g/100g']]]</f>
        <v>7.0999999999999943</v>
      </c>
      <c r="N147" s="11">
        <v>6</v>
      </c>
      <c r="O147" s="11">
        <v>22.93</v>
      </c>
      <c r="P147" s="11">
        <v>9</v>
      </c>
      <c r="Q147" s="11">
        <v>1</v>
      </c>
      <c r="R147" s="11">
        <v>182</v>
      </c>
      <c r="S147" s="11"/>
      <c r="T147" s="11">
        <v>0.38</v>
      </c>
      <c r="U147" s="11">
        <v>0.155</v>
      </c>
      <c r="V147" s="11">
        <v>0</v>
      </c>
      <c r="W147" s="11">
        <v>40</v>
      </c>
      <c r="X147" s="11">
        <v>110</v>
      </c>
      <c r="Y147" s="11">
        <v>3</v>
      </c>
      <c r="Z147" s="11"/>
      <c r="AA147" s="11">
        <v>0</v>
      </c>
      <c r="AB147" s="11">
        <v>3.8849999999999998</v>
      </c>
      <c r="AC147" s="11">
        <v>114</v>
      </c>
      <c r="AD147" s="11">
        <v>0.11</v>
      </c>
      <c r="AE147" s="11">
        <v>0.02</v>
      </c>
      <c r="AF147" s="11">
        <v>0.4</v>
      </c>
      <c r="AG147" s="11">
        <v>108.37</v>
      </c>
      <c r="AH147" s="11">
        <v>0</v>
      </c>
      <c r="AI147" s="11">
        <v>159.81</v>
      </c>
      <c r="AJ147" s="11">
        <v>2.36</v>
      </c>
      <c r="AK147" s="11">
        <v>89</v>
      </c>
      <c r="AL147" s="11">
        <v>3.9</v>
      </c>
      <c r="AM147" s="11">
        <v>0</v>
      </c>
      <c r="AN147" s="11">
        <v>3.2000000000000001E-2</v>
      </c>
      <c r="AO147" s="11">
        <v>0</v>
      </c>
      <c r="AP147" s="11">
        <v>0</v>
      </c>
      <c r="AQ147" s="11">
        <v>5.33E-2</v>
      </c>
      <c r="AR147" s="11">
        <v>5.33E-2</v>
      </c>
      <c r="AS147" s="11">
        <v>4.1000000000000002E-2</v>
      </c>
      <c r="AT147" s="11">
        <v>1.6E-2</v>
      </c>
      <c r="AU147" s="11">
        <v>1.7999999999999999E-2</v>
      </c>
      <c r="AV147" s="11">
        <v>3.7999999999999999E-2</v>
      </c>
      <c r="AW147" s="11">
        <v>0.01</v>
      </c>
      <c r="AX147" s="9">
        <f>Tabelle1[[#This Row],[Vitamin D3 '[µg/100g']]]*40</f>
        <v>0</v>
      </c>
      <c r="AY147" s="9">
        <f>Tabelle1[[#This Row],[Vitamin A '[µg/100g']]]*3.33</f>
        <v>379.62</v>
      </c>
      <c r="AZ147" s="9">
        <f>Tabelle1[[#This Row],[Vitamin E '[mg/100g']]]*1.49</f>
        <v>5.7886499999999996</v>
      </c>
    </row>
    <row r="148" spans="1:52" hidden="1" x14ac:dyDescent="0.45">
      <c r="A148" t="s">
        <v>877</v>
      </c>
      <c r="B148" s="3" t="s">
        <v>763</v>
      </c>
      <c r="C148" s="4" t="s">
        <v>764</v>
      </c>
      <c r="D148" s="11">
        <v>24</v>
      </c>
      <c r="E148" s="11">
        <f>Tabelle1[[#This Row],[Energie '[kcal/100g']]]/239</f>
        <v>0.100418410041841</v>
      </c>
      <c r="F148" s="11">
        <v>1.0369999999999999</v>
      </c>
      <c r="G148" s="11">
        <f>Tabelle1[[#This Row],[Rohprotein '[g/100g']]]*0.85</f>
        <v>0.88144999999999996</v>
      </c>
      <c r="H148" s="11">
        <v>0.1</v>
      </c>
      <c r="I148" s="11">
        <f>Tabelle1[[#This Row],[TS]]-Tabelle1[[#This Row],[Rohprotein '[g/100g']]]-Tabelle1[[#This Row],[Rohfett '[g/100g']]]-Tabelle1[[#This Row],[Rohasche '[g/100g']]]-Tabelle1[[#This Row],[Rohfaser '[g/100g']]]</f>
        <v>5.0630000000000033</v>
      </c>
      <c r="J148" s="11">
        <v>0</v>
      </c>
      <c r="K148" s="11">
        <v>0.5</v>
      </c>
      <c r="L148" s="11">
        <v>93.3</v>
      </c>
      <c r="M148" s="11">
        <f>100-Tabelle1[[#This Row],[Wasser '[g/100g']]]</f>
        <v>6.7000000000000028</v>
      </c>
      <c r="N148" s="11">
        <v>7</v>
      </c>
      <c r="O148" s="11">
        <v>23.19</v>
      </c>
      <c r="P148" s="11">
        <v>10</v>
      </c>
      <c r="Q148" s="11">
        <v>0</v>
      </c>
      <c r="R148" s="11">
        <v>159</v>
      </c>
      <c r="S148" s="11"/>
      <c r="T148" s="11">
        <v>0.35</v>
      </c>
      <c r="U148" s="11">
        <v>0.19</v>
      </c>
      <c r="V148" s="11">
        <v>0</v>
      </c>
      <c r="W148" s="11">
        <v>62</v>
      </c>
      <c r="X148" s="11">
        <v>118</v>
      </c>
      <c r="Y148" s="11">
        <v>2.9</v>
      </c>
      <c r="Z148" s="11"/>
      <c r="AA148" s="11">
        <v>0</v>
      </c>
      <c r="AB148" s="11">
        <v>4.3650000000000002</v>
      </c>
      <c r="AC148" s="11">
        <v>0</v>
      </c>
      <c r="AD148" s="11">
        <v>0.05</v>
      </c>
      <c r="AE148" s="11">
        <v>0.05</v>
      </c>
      <c r="AF148" s="11">
        <v>0.5</v>
      </c>
      <c r="AG148" s="11">
        <v>135.5</v>
      </c>
      <c r="AH148" s="11">
        <v>0</v>
      </c>
      <c r="AI148" s="11">
        <v>116.72</v>
      </c>
      <c r="AJ148" s="11">
        <v>4.9000000000000004</v>
      </c>
      <c r="AK148" s="11">
        <v>0</v>
      </c>
      <c r="AL148" s="11">
        <v>1.5</v>
      </c>
      <c r="AM148" s="11">
        <v>0</v>
      </c>
      <c r="AN148" s="11">
        <v>2.47E-2</v>
      </c>
      <c r="AO148" s="11">
        <v>0</v>
      </c>
      <c r="AP148" s="11">
        <v>0</v>
      </c>
      <c r="AQ148" s="11">
        <v>8.3000000000000004E-2</v>
      </c>
      <c r="AR148" s="11">
        <v>8.3000000000000004E-2</v>
      </c>
      <c r="AS148" s="11">
        <v>5.3999999999999999E-2</v>
      </c>
      <c r="AT148" s="11">
        <v>2.1000000000000001E-2</v>
      </c>
      <c r="AU148" s="11">
        <v>2.1999999999999999E-2</v>
      </c>
      <c r="AV148" s="11">
        <v>0.05</v>
      </c>
      <c r="AW148" s="11">
        <v>1.2999999999999999E-2</v>
      </c>
      <c r="AX148" s="9">
        <f>Tabelle1[[#This Row],[Vitamin D3 '[µg/100g']]]*40</f>
        <v>0</v>
      </c>
      <c r="AY148" s="9">
        <f>Tabelle1[[#This Row],[Vitamin A '[µg/100g']]]*3.33</f>
        <v>0</v>
      </c>
      <c r="AZ148" s="9">
        <f>Tabelle1[[#This Row],[Vitamin E '[mg/100g']]]*1.49</f>
        <v>6.5038499999999999</v>
      </c>
    </row>
    <row r="149" spans="1:52" hidden="1" x14ac:dyDescent="0.45">
      <c r="A149" t="s">
        <v>877</v>
      </c>
      <c r="B149" s="5" t="s">
        <v>765</v>
      </c>
      <c r="C149" s="6" t="s">
        <v>766</v>
      </c>
      <c r="D149" s="13">
        <v>36</v>
      </c>
      <c r="E149" s="11">
        <f>Tabelle1[[#This Row],[Energie '[kcal/100g']]]/239</f>
        <v>0.15062761506276151</v>
      </c>
      <c r="F149" s="13">
        <v>1.0249999999999999</v>
      </c>
      <c r="G149" s="11">
        <f>Tabelle1[[#This Row],[Rohprotein '[g/100g']]]*0.85</f>
        <v>0.87124999999999986</v>
      </c>
      <c r="H149" s="13">
        <v>0.2</v>
      </c>
      <c r="I149" s="11">
        <f>Tabelle1[[#This Row],[TS]]-Tabelle1[[#This Row],[Rohprotein '[g/100g']]]-Tabelle1[[#This Row],[Rohfett '[g/100g']]]-Tabelle1[[#This Row],[Rohasche '[g/100g']]]-Tabelle1[[#This Row],[Rohfaser '[g/100g']]]</f>
        <v>5.5880000000000054</v>
      </c>
      <c r="J149" s="11">
        <v>0</v>
      </c>
      <c r="K149" s="13">
        <v>1.087</v>
      </c>
      <c r="L149" s="13">
        <v>92.1</v>
      </c>
      <c r="M149" s="13">
        <f>100-Tabelle1[[#This Row],[Wasser '[g/100g']]]</f>
        <v>7.9000000000000057</v>
      </c>
      <c r="N149" s="13">
        <v>8</v>
      </c>
      <c r="O149" s="13">
        <v>22.93</v>
      </c>
      <c r="P149" s="13">
        <v>14.12</v>
      </c>
      <c r="Q149" s="13">
        <v>1.25</v>
      </c>
      <c r="R149" s="13">
        <v>211</v>
      </c>
      <c r="S149" s="13"/>
      <c r="T149" s="13">
        <v>0.377</v>
      </c>
      <c r="U149" s="13">
        <v>0.187</v>
      </c>
      <c r="V149" s="11">
        <v>0</v>
      </c>
      <c r="W149" s="13">
        <v>58</v>
      </c>
      <c r="X149" s="13">
        <v>117</v>
      </c>
      <c r="Y149" s="13">
        <v>3</v>
      </c>
      <c r="Z149" s="13"/>
      <c r="AA149" s="13">
        <v>0</v>
      </c>
      <c r="AB149" s="13">
        <v>3.8849999999999998</v>
      </c>
      <c r="AC149" s="13">
        <v>103</v>
      </c>
      <c r="AD149" s="13">
        <v>7.0000000000000007E-2</v>
      </c>
      <c r="AE149" s="13">
        <v>0.06</v>
      </c>
      <c r="AF149" s="13">
        <v>0.5</v>
      </c>
      <c r="AG149" s="13">
        <v>337.5</v>
      </c>
      <c r="AH149" s="13">
        <v>0</v>
      </c>
      <c r="AI149" s="13">
        <v>159.81</v>
      </c>
      <c r="AJ149" s="13">
        <v>4.8</v>
      </c>
      <c r="AK149" s="13">
        <v>26</v>
      </c>
      <c r="AL149" s="13">
        <v>3.3</v>
      </c>
      <c r="AM149" s="13">
        <v>0</v>
      </c>
      <c r="AN149" s="13">
        <v>2.4400000000000002E-2</v>
      </c>
      <c r="AO149" s="13">
        <v>0</v>
      </c>
      <c r="AP149" s="13">
        <v>0</v>
      </c>
      <c r="AQ149" s="13">
        <v>8.2100000000000006E-2</v>
      </c>
      <c r="AR149" s="13">
        <v>8.2100000000000006E-2</v>
      </c>
      <c r="AS149" s="13">
        <v>5.2999999999999999E-2</v>
      </c>
      <c r="AT149" s="13">
        <v>2.1000000000000001E-2</v>
      </c>
      <c r="AU149" s="13">
        <v>2.1999999999999999E-2</v>
      </c>
      <c r="AV149" s="13">
        <v>4.9000000000000002E-2</v>
      </c>
      <c r="AW149" s="13">
        <v>1.2999999999999999E-2</v>
      </c>
      <c r="AX149" s="9">
        <f>Tabelle1[[#This Row],[Vitamin D3 '[µg/100g']]]*40</f>
        <v>0</v>
      </c>
      <c r="AY149" s="9">
        <f>Tabelle1[[#This Row],[Vitamin A '[µg/100g']]]*3.33</f>
        <v>342.99</v>
      </c>
      <c r="AZ149" s="9">
        <f>Tabelle1[[#This Row],[Vitamin E '[mg/100g']]]*1.49</f>
        <v>5.7886499999999996</v>
      </c>
    </row>
    <row r="150" spans="1:52" hidden="1" x14ac:dyDescent="0.45">
      <c r="A150" t="s">
        <v>877</v>
      </c>
      <c r="B150" s="5" t="s">
        <v>767</v>
      </c>
      <c r="C150" s="6" t="s">
        <v>768</v>
      </c>
      <c r="D150" s="13">
        <v>22</v>
      </c>
      <c r="E150" s="11">
        <f>Tabelle1[[#This Row],[Energie '[kcal/100g']]]/239</f>
        <v>9.2050209205020925E-2</v>
      </c>
      <c r="F150" s="13">
        <v>0.63</v>
      </c>
      <c r="G150" s="11">
        <f>Tabelle1[[#This Row],[Rohprotein '[g/100g']]]*0.85</f>
        <v>0.53549999999999998</v>
      </c>
      <c r="H150" s="13">
        <v>0.32</v>
      </c>
      <c r="I150" s="11">
        <f>Tabelle1[[#This Row],[TS]]-Tabelle1[[#This Row],[Rohprotein '[g/100g']]]-Tabelle1[[#This Row],[Rohfett '[g/100g']]]-Tabelle1[[#This Row],[Rohasche '[g/100g']]]-Tabelle1[[#This Row],[Rohfaser '[g/100g']]]</f>
        <v>5.6799999999999971</v>
      </c>
      <c r="J150" s="11">
        <v>0</v>
      </c>
      <c r="K150" s="13">
        <v>0.67</v>
      </c>
      <c r="L150" s="13">
        <v>92.7</v>
      </c>
      <c r="M150" s="13">
        <f>100-Tabelle1[[#This Row],[Wasser '[g/100g']]]</f>
        <v>7.2999999999999972</v>
      </c>
      <c r="N150" s="13">
        <v>6.5</v>
      </c>
      <c r="O150" s="13">
        <v>31</v>
      </c>
      <c r="P150" s="13">
        <v>13.6</v>
      </c>
      <c r="Q150" s="13">
        <v>36.4</v>
      </c>
      <c r="R150" s="13">
        <v>231</v>
      </c>
      <c r="S150" s="13"/>
      <c r="T150" s="13">
        <v>0.35</v>
      </c>
      <c r="U150" s="13">
        <v>0.2</v>
      </c>
      <c r="V150" s="11">
        <v>0</v>
      </c>
      <c r="W150" s="13">
        <v>39</v>
      </c>
      <c r="X150" s="13">
        <v>91.94</v>
      </c>
      <c r="Y150" s="13">
        <v>2.9</v>
      </c>
      <c r="Z150" s="13"/>
      <c r="AA150" s="13">
        <v>0</v>
      </c>
      <c r="AB150" s="13">
        <v>0.78700000000000003</v>
      </c>
      <c r="AC150" s="13">
        <v>35</v>
      </c>
      <c r="AD150" s="13">
        <v>5.5399999999999998E-2</v>
      </c>
      <c r="AE150" s="13">
        <v>0.01</v>
      </c>
      <c r="AF150" s="13">
        <v>0.15</v>
      </c>
      <c r="AG150" s="13">
        <v>83.8</v>
      </c>
      <c r="AH150" s="13">
        <v>0</v>
      </c>
      <c r="AI150" s="13">
        <v>3.78</v>
      </c>
      <c r="AJ150" s="13">
        <v>10</v>
      </c>
      <c r="AK150" s="13">
        <v>42</v>
      </c>
      <c r="AL150" s="13">
        <v>0.3</v>
      </c>
      <c r="AM150" s="13">
        <v>0</v>
      </c>
      <c r="AN150" s="13">
        <v>4.3E-3</v>
      </c>
      <c r="AO150" s="13">
        <v>0</v>
      </c>
      <c r="AP150" s="13">
        <v>0</v>
      </c>
      <c r="AQ150" s="13">
        <v>5.5399999999999998E-2</v>
      </c>
      <c r="AR150" s="13">
        <v>5.4199999999999998E-2</v>
      </c>
      <c r="AS150" s="13">
        <v>3.5000000000000003E-2</v>
      </c>
      <c r="AT150" s="13">
        <v>1.0999999999999999E-2</v>
      </c>
      <c r="AU150" s="13">
        <v>1.2999999999999999E-2</v>
      </c>
      <c r="AV150" s="13">
        <v>0.04</v>
      </c>
      <c r="AW150" s="13">
        <v>7.0000000000000001E-3</v>
      </c>
      <c r="AX150" s="9">
        <f>Tabelle1[[#This Row],[Vitamin D3 '[µg/100g']]]*40</f>
        <v>0</v>
      </c>
      <c r="AY150" s="9">
        <f>Tabelle1[[#This Row],[Vitamin A '[µg/100g']]]*3.33</f>
        <v>116.55</v>
      </c>
      <c r="AZ150" s="9">
        <f>Tabelle1[[#This Row],[Vitamin E '[mg/100g']]]*1.49</f>
        <v>1.1726300000000001</v>
      </c>
    </row>
    <row r="151" spans="1:52" hidden="1" x14ac:dyDescent="0.45">
      <c r="A151" t="s">
        <v>534</v>
      </c>
      <c r="B151" s="3" t="s">
        <v>418</v>
      </c>
      <c r="C151" s="4" t="s">
        <v>419</v>
      </c>
      <c r="D151" s="11">
        <v>332</v>
      </c>
      <c r="E151" s="13">
        <f>Tabelle1[[#This Row],[Energie '[kcal/100g']]]/239</f>
        <v>1.389121338912134</v>
      </c>
      <c r="F151" s="11">
        <v>11.244</v>
      </c>
      <c r="G151" s="13">
        <f>Tabelle1[[#This Row],[Rohprotein '[g/100g']]]*0.85</f>
        <v>9.5573999999999995</v>
      </c>
      <c r="H151" s="11">
        <v>2.1</v>
      </c>
      <c r="I151" s="11">
        <f>Tabelle1[[#This Row],[TS]]-Tabelle1[[#This Row],[Rohprotein '[g/100g']]]-Tabelle1[[#This Row],[Rohfett '[g/100g']]]-Tabelle1[[#This Row],[Rohasche '[g/100g']]]-Tabelle1[[#This Row],[Rohfaser '[g/100g']]]</f>
        <v>71.816000000000003</v>
      </c>
      <c r="J151" s="11">
        <v>0</v>
      </c>
      <c r="K151" s="11">
        <v>2.14</v>
      </c>
      <c r="L151" s="11">
        <v>12.7</v>
      </c>
      <c r="M151" s="11">
        <f>100-Tabelle1[[#This Row],[Wasser '[g/100g']]]</f>
        <v>87.3</v>
      </c>
      <c r="N151" s="11">
        <v>34.6</v>
      </c>
      <c r="O151" s="11">
        <v>342</v>
      </c>
      <c r="P151" s="11">
        <v>114</v>
      </c>
      <c r="Q151" s="11">
        <v>18</v>
      </c>
      <c r="R151" s="11">
        <v>510</v>
      </c>
      <c r="S151" s="11"/>
      <c r="T151" s="11">
        <v>5.64</v>
      </c>
      <c r="U151" s="11">
        <v>2.71</v>
      </c>
      <c r="V151" s="11">
        <v>0</v>
      </c>
      <c r="W151" s="11">
        <v>524</v>
      </c>
      <c r="X151" s="11">
        <v>1680</v>
      </c>
      <c r="Y151" s="11">
        <v>5</v>
      </c>
      <c r="Z151" s="11"/>
      <c r="AA151" s="11">
        <v>0</v>
      </c>
      <c r="AB151" s="11">
        <v>0.31</v>
      </c>
      <c r="AC151" s="11">
        <v>0</v>
      </c>
      <c r="AD151" s="11">
        <v>0.12</v>
      </c>
      <c r="AE151" s="11">
        <v>0.03</v>
      </c>
      <c r="AF151" s="11">
        <v>4.8</v>
      </c>
      <c r="AG151" s="11">
        <v>560</v>
      </c>
      <c r="AH151" s="11">
        <v>0</v>
      </c>
      <c r="AI151" s="11">
        <v>0</v>
      </c>
      <c r="AJ151" s="11">
        <v>2.2000000000000002</v>
      </c>
      <c r="AK151" s="11">
        <v>68</v>
      </c>
      <c r="AL151" s="11">
        <v>8.61</v>
      </c>
      <c r="AM151" s="11">
        <v>0</v>
      </c>
      <c r="AN151" s="11">
        <v>0.11</v>
      </c>
      <c r="AO151" s="11">
        <v>0</v>
      </c>
      <c r="AP151" s="11">
        <v>0</v>
      </c>
      <c r="AQ151" s="11">
        <v>1.1499999999999999</v>
      </c>
      <c r="AR151" s="11">
        <v>1.1499999999999999</v>
      </c>
      <c r="AS151" s="11">
        <v>0.52300000000000002</v>
      </c>
      <c r="AT151" s="11">
        <v>0.23100000000000001</v>
      </c>
      <c r="AU151" s="11">
        <v>0.23499999999999999</v>
      </c>
      <c r="AV151" s="11">
        <v>0.38900000000000001</v>
      </c>
      <c r="AW151" s="11">
        <v>0.20100000000000001</v>
      </c>
      <c r="AX151" s="9">
        <f>Tabelle1[[#This Row],[Vitamin D3 '[µg/100g']]]*40</f>
        <v>0</v>
      </c>
      <c r="AY151" s="9">
        <f>Tabelle1[[#This Row],[Vitamin A '[µg/100g']]]*3.33</f>
        <v>0</v>
      </c>
      <c r="AZ151" s="9">
        <f>Tabelle1[[#This Row],[Vitamin E '[mg/100g']]]*1.49</f>
        <v>0.46189999999999998</v>
      </c>
    </row>
    <row r="152" spans="1:52" hidden="1" x14ac:dyDescent="0.45">
      <c r="A152" t="s">
        <v>534</v>
      </c>
      <c r="B152" s="3" t="s">
        <v>420</v>
      </c>
      <c r="C152" s="4" t="s">
        <v>421</v>
      </c>
      <c r="D152" s="11">
        <v>56</v>
      </c>
      <c r="E152" s="13">
        <f>Tabelle1[[#This Row],[Energie '[kcal/100g']]]/239</f>
        <v>0.23430962343096234</v>
      </c>
      <c r="F152" s="11">
        <v>1.903</v>
      </c>
      <c r="G152" s="13">
        <f>Tabelle1[[#This Row],[Rohprotein '[g/100g']]]*0.85</f>
        <v>1.61755</v>
      </c>
      <c r="H152" s="11">
        <v>0.35499999999999998</v>
      </c>
      <c r="I152" s="11">
        <f>Tabelle1[[#This Row],[TS]]-Tabelle1[[#This Row],[Rohprotein '[g/100g']]]-Tabelle1[[#This Row],[Rohfett '[g/100g']]]-Tabelle1[[#This Row],[Rohasche '[g/100g']]]-Tabelle1[[#This Row],[Rohfaser '[g/100g']]]</f>
        <v>12.530999999999993</v>
      </c>
      <c r="J152" s="11">
        <v>0</v>
      </c>
      <c r="K152" s="11">
        <v>0.311</v>
      </c>
      <c r="L152" s="11">
        <v>84.9</v>
      </c>
      <c r="M152" s="11">
        <f>100-Tabelle1[[#This Row],[Wasser '[g/100g']]]</f>
        <v>15.099999999999994</v>
      </c>
      <c r="N152" s="11">
        <v>5.9</v>
      </c>
      <c r="O152" s="11">
        <v>55</v>
      </c>
      <c r="P152" s="11">
        <v>19</v>
      </c>
      <c r="Q152" s="11">
        <v>3</v>
      </c>
      <c r="R152" s="11">
        <v>82</v>
      </c>
      <c r="S152" s="11"/>
      <c r="T152" s="11">
        <v>0.90700000000000003</v>
      </c>
      <c r="U152" s="11">
        <v>0.46</v>
      </c>
      <c r="V152" s="11">
        <v>0</v>
      </c>
      <c r="W152" s="11">
        <v>84</v>
      </c>
      <c r="X152" s="11">
        <v>280</v>
      </c>
      <c r="Y152" s="11">
        <v>1</v>
      </c>
      <c r="Z152" s="11"/>
      <c r="AA152" s="11">
        <v>0</v>
      </c>
      <c r="AB152" s="11">
        <v>5.1999999999999998E-2</v>
      </c>
      <c r="AC152" s="11">
        <v>0</v>
      </c>
      <c r="AD152" s="11">
        <v>1.6E-2</v>
      </c>
      <c r="AE152" s="11">
        <v>5.0000000000000001E-3</v>
      </c>
      <c r="AF152" s="11">
        <v>0.73099999999999998</v>
      </c>
      <c r="AG152" s="11">
        <v>85</v>
      </c>
      <c r="AH152" s="11">
        <v>0</v>
      </c>
      <c r="AI152" s="11">
        <v>0</v>
      </c>
      <c r="AJ152" s="11">
        <v>0.4</v>
      </c>
      <c r="AK152" s="11">
        <v>8</v>
      </c>
      <c r="AL152" s="11">
        <v>1.35</v>
      </c>
      <c r="AM152" s="11">
        <v>0</v>
      </c>
      <c r="AN152" s="11">
        <v>1.9E-2</v>
      </c>
      <c r="AO152" s="11">
        <v>0</v>
      </c>
      <c r="AP152" s="11">
        <v>0</v>
      </c>
      <c r="AQ152" s="11">
        <v>0.19500000000000001</v>
      </c>
      <c r="AR152" s="11">
        <v>0.19500000000000001</v>
      </c>
      <c r="AS152" s="11">
        <v>8.7999999999999995E-2</v>
      </c>
      <c r="AT152" s="11">
        <v>3.9E-2</v>
      </c>
      <c r="AU152" s="11">
        <v>0.04</v>
      </c>
      <c r="AV152" s="11">
        <v>6.6000000000000003E-2</v>
      </c>
      <c r="AW152" s="11">
        <v>3.4000000000000002E-2</v>
      </c>
      <c r="AX152" s="9">
        <f>Tabelle1[[#This Row],[Vitamin D3 '[µg/100g']]]*40</f>
        <v>0</v>
      </c>
      <c r="AY152" s="9">
        <f>Tabelle1[[#This Row],[Vitamin A '[µg/100g']]]*3.33</f>
        <v>0</v>
      </c>
      <c r="AZ152" s="9">
        <f>Tabelle1[[#This Row],[Vitamin E '[mg/100g']]]*1.49</f>
        <v>7.7479999999999993E-2</v>
      </c>
    </row>
    <row r="153" spans="1:52" hidden="1" x14ac:dyDescent="0.45">
      <c r="A153" t="s">
        <v>534</v>
      </c>
      <c r="B153" s="3" t="s">
        <v>422</v>
      </c>
      <c r="C153" s="4" t="s">
        <v>423</v>
      </c>
      <c r="D153" s="11">
        <v>340</v>
      </c>
      <c r="E153" s="13">
        <f>Tabelle1[[#This Row],[Energie '[kcal/100g']]]/239</f>
        <v>1.4225941422594142</v>
      </c>
      <c r="F153" s="11">
        <v>11.3</v>
      </c>
      <c r="G153" s="13">
        <f>Tabelle1[[#This Row],[Rohprotein '[g/100g']]]*0.85</f>
        <v>9.6050000000000004</v>
      </c>
      <c r="H153" s="11">
        <v>2</v>
      </c>
      <c r="I153" s="11">
        <f>Tabelle1[[#This Row],[TS]]-Tabelle1[[#This Row],[Rohprotein '[g/100g']]]-Tabelle1[[#This Row],[Rohfett '[g/100g']]]-Tabelle1[[#This Row],[Rohasche '[g/100g']]]-Tabelle1[[#This Row],[Rohfaser '[g/100g']]]</f>
        <v>79.239999999999995</v>
      </c>
      <c r="J153" s="11">
        <v>0</v>
      </c>
      <c r="K153" s="11">
        <v>1.4</v>
      </c>
      <c r="L153" s="11">
        <v>6.06</v>
      </c>
      <c r="M153" s="11">
        <f>100-Tabelle1[[#This Row],[Wasser '[g/100g']]]</f>
        <v>93.94</v>
      </c>
      <c r="N153" s="11">
        <v>32</v>
      </c>
      <c r="O153" s="11">
        <v>247</v>
      </c>
      <c r="P153" s="11">
        <v>82</v>
      </c>
      <c r="Q153" s="11">
        <v>8</v>
      </c>
      <c r="R153" s="11">
        <v>321</v>
      </c>
      <c r="S153" s="11"/>
      <c r="T153" s="11">
        <v>2.6</v>
      </c>
      <c r="U153" s="11">
        <v>2</v>
      </c>
      <c r="V153" s="11">
        <v>0</v>
      </c>
      <c r="W153" s="11">
        <v>340</v>
      </c>
      <c r="X153" s="11">
        <v>1110</v>
      </c>
      <c r="Y153" s="11">
        <v>2.5</v>
      </c>
      <c r="Z153" s="11"/>
      <c r="AA153" s="11">
        <v>0</v>
      </c>
      <c r="AB153" s="11">
        <v>0.5</v>
      </c>
      <c r="AC153" s="11">
        <v>0</v>
      </c>
      <c r="AD153" s="11">
        <v>0.3</v>
      </c>
      <c r="AE153" s="11">
        <v>0.11</v>
      </c>
      <c r="AF153" s="11">
        <v>5</v>
      </c>
      <c r="AG153" s="11">
        <v>300</v>
      </c>
      <c r="AH153" s="11">
        <v>0</v>
      </c>
      <c r="AI153" s="11">
        <v>0</v>
      </c>
      <c r="AJ153" s="11">
        <v>2.2000000000000002</v>
      </c>
      <c r="AK153" s="11">
        <v>18</v>
      </c>
      <c r="AL153" s="11">
        <v>8.61</v>
      </c>
      <c r="AM153" s="11">
        <v>0</v>
      </c>
      <c r="AN153" s="11">
        <v>0.1</v>
      </c>
      <c r="AO153" s="11">
        <v>0</v>
      </c>
      <c r="AP153" s="11">
        <v>0</v>
      </c>
      <c r="AQ153" s="11">
        <v>0.91</v>
      </c>
      <c r="AR153" s="11">
        <v>0.91</v>
      </c>
      <c r="AS153" s="11">
        <v>0.52600000000000002</v>
      </c>
      <c r="AT153" s="11">
        <v>0.23200000000000001</v>
      </c>
      <c r="AU153" s="11">
        <v>0.23599999999999999</v>
      </c>
      <c r="AV153" s="11">
        <v>0.39100000000000001</v>
      </c>
      <c r="AW153" s="11">
        <v>0.20200000000000001</v>
      </c>
      <c r="AX153" s="9">
        <f>Tabelle1[[#This Row],[Vitamin D3 '[µg/100g']]]*40</f>
        <v>0</v>
      </c>
      <c r="AY153" s="9">
        <f>Tabelle1[[#This Row],[Vitamin A '[µg/100g']]]*3.33</f>
        <v>0</v>
      </c>
      <c r="AZ153" s="9">
        <f>Tabelle1[[#This Row],[Vitamin E '[mg/100g']]]*1.49</f>
        <v>0.745</v>
      </c>
    </row>
    <row r="154" spans="1:52" hidden="1" x14ac:dyDescent="0.45">
      <c r="A154" t="s">
        <v>534</v>
      </c>
      <c r="B154" s="3" t="s">
        <v>1013</v>
      </c>
      <c r="C154" s="4" t="s">
        <v>1014</v>
      </c>
      <c r="D154" s="11">
        <v>92</v>
      </c>
      <c r="E154" s="11">
        <f>Tabelle1[[#This Row],[Energie '[kcal/100g']]]/239</f>
        <v>0.38493723849372385</v>
      </c>
      <c r="F154" s="11">
        <v>7.0000000000000007E-2</v>
      </c>
      <c r="G154" s="11">
        <f>Tabelle1[[#This Row],[Rohprotein '[g/100g']]]*0.85</f>
        <v>5.9500000000000004E-2</v>
      </c>
      <c r="H154" s="11">
        <v>0.01</v>
      </c>
      <c r="I154" s="11">
        <f>Tabelle1[[#This Row],[TS]]-Tabelle1[[#This Row],[Rohprotein '[g/100g']]]-Tabelle1[[#This Row],[Rohfett '[g/100g']]]-Tabelle1[[#This Row],[Rohasche '[g/100g']]]-Tabelle1[[#This Row],[Rohfaser '[g/100g']]]</f>
        <v>25.249999999999993</v>
      </c>
      <c r="J154" s="11">
        <v>0</v>
      </c>
      <c r="K154" s="11">
        <v>0.05</v>
      </c>
      <c r="L154" s="11">
        <v>74.62</v>
      </c>
      <c r="M154" s="11">
        <f>100-Tabelle1[[#This Row],[Wasser '[g/100g']]]</f>
        <v>25.379999999999995</v>
      </c>
      <c r="N154" s="11">
        <v>13.03</v>
      </c>
      <c r="O154" s="11">
        <v>5.51</v>
      </c>
      <c r="P154" s="11">
        <v>2.72</v>
      </c>
      <c r="Q154" s="11">
        <v>3.69</v>
      </c>
      <c r="R154" s="11">
        <v>1.37</v>
      </c>
      <c r="S154" s="11"/>
      <c r="T154" s="11">
        <v>0.25090000000000001</v>
      </c>
      <c r="U154" s="11">
        <v>0.21318000000000001</v>
      </c>
      <c r="V154" s="11">
        <v>0</v>
      </c>
      <c r="W154" s="11">
        <v>5.25</v>
      </c>
      <c r="X154" s="11">
        <v>75.290000000000006</v>
      </c>
      <c r="Y154" s="11">
        <v>3.94</v>
      </c>
      <c r="Z154" s="11"/>
      <c r="AA154" s="11">
        <v>0</v>
      </c>
      <c r="AB154" s="11">
        <v>0</v>
      </c>
      <c r="AC154" s="11">
        <v>0</v>
      </c>
      <c r="AD154" s="11">
        <v>0</v>
      </c>
      <c r="AE154" s="11">
        <v>0.65</v>
      </c>
      <c r="AF154" s="11">
        <v>6.0000000000000001E-3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2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1">
        <v>5.0000000000000001E-3</v>
      </c>
      <c r="AT154" s="11">
        <v>0</v>
      </c>
      <c r="AU154" s="11">
        <v>2E-3</v>
      </c>
      <c r="AV154" s="11">
        <v>4.0000000000000001E-3</v>
      </c>
      <c r="AW154" s="11">
        <v>1E-3</v>
      </c>
      <c r="AX154" s="9">
        <f>Tabelle1[[#This Row],[Vitamin D3 '[µg/100g']]]*40</f>
        <v>0</v>
      </c>
      <c r="AY154" s="9">
        <f>Tabelle1[[#This Row],[Vitamin A '[µg/100g']]]*3.33</f>
        <v>0</v>
      </c>
      <c r="AZ154" s="9">
        <f>Tabelle1[[#This Row],[Vitamin E '[mg/100g']]]*1.49</f>
        <v>0</v>
      </c>
    </row>
    <row r="155" spans="1:52" hidden="1" x14ac:dyDescent="0.45">
      <c r="A155" t="s">
        <v>877</v>
      </c>
      <c r="B155" s="3" t="s">
        <v>769</v>
      </c>
      <c r="C155" s="4" t="s">
        <v>770</v>
      </c>
      <c r="D155" s="11">
        <v>18</v>
      </c>
      <c r="E155" s="11">
        <f>Tabelle1[[#This Row],[Energie '[kcal/100g']]]/239</f>
        <v>7.5313807531380755E-2</v>
      </c>
      <c r="F155" s="11">
        <v>1.1539999999999999</v>
      </c>
      <c r="G155" s="11">
        <f>Tabelle1[[#This Row],[Rohprotein '[g/100g']]]*0.85</f>
        <v>0.98089999999999988</v>
      </c>
      <c r="H155" s="11">
        <v>0.217</v>
      </c>
      <c r="I155" s="11">
        <f>Tabelle1[[#This Row],[TS]]-Tabelle1[[#This Row],[Rohprotein '[g/100g']]]-Tabelle1[[#This Row],[Rohfett '[g/100g']]]-Tabelle1[[#This Row],[Rohasche '[g/100g']]]-Tabelle1[[#This Row],[Rohfaser '[g/100g']]]</f>
        <v>1.4960000000000058</v>
      </c>
      <c r="J155" s="11">
        <v>0</v>
      </c>
      <c r="K155" s="11">
        <v>0.53300000000000003</v>
      </c>
      <c r="L155" s="11">
        <v>96.6</v>
      </c>
      <c r="M155" s="11">
        <f>100-Tabelle1[[#This Row],[Wasser '[g/100g']]]</f>
        <v>3.4000000000000057</v>
      </c>
      <c r="N155" s="11">
        <v>21</v>
      </c>
      <c r="O155" s="11">
        <v>16.832000000000001</v>
      </c>
      <c r="P155" s="11">
        <v>13</v>
      </c>
      <c r="Q155" s="11">
        <v>3</v>
      </c>
      <c r="R155" s="11">
        <v>197</v>
      </c>
      <c r="S155" s="11"/>
      <c r="T155" s="11">
        <v>0.248</v>
      </c>
      <c r="U155" s="11">
        <v>0.13</v>
      </c>
      <c r="V155" s="11">
        <v>0</v>
      </c>
      <c r="W155" s="11">
        <v>34</v>
      </c>
      <c r="X155" s="11">
        <v>110</v>
      </c>
      <c r="Y155" s="11">
        <v>2</v>
      </c>
      <c r="Z155" s="11"/>
      <c r="AA155" s="11">
        <v>0</v>
      </c>
      <c r="AB155" s="11">
        <v>3.3000000000000002E-2</v>
      </c>
      <c r="AC155" s="11">
        <v>23</v>
      </c>
      <c r="AD155" s="11">
        <v>3.9E-2</v>
      </c>
      <c r="AE155" s="11">
        <v>2.1000000000000001E-2</v>
      </c>
      <c r="AF155" s="11">
        <v>0.20699999999999999</v>
      </c>
      <c r="AG155" s="11">
        <v>8.0500000000000007</v>
      </c>
      <c r="AH155" s="11">
        <v>0</v>
      </c>
      <c r="AI155" s="11">
        <v>6.9569999999999999</v>
      </c>
      <c r="AJ155" s="11">
        <v>35</v>
      </c>
      <c r="AK155" s="11">
        <v>10</v>
      </c>
      <c r="AL155" s="11">
        <v>0.8</v>
      </c>
      <c r="AM155" s="11">
        <v>0</v>
      </c>
      <c r="AN155" s="11">
        <v>4.5999999999999999E-2</v>
      </c>
      <c r="AO155" s="11">
        <v>0</v>
      </c>
      <c r="AP155" s="11">
        <v>0</v>
      </c>
      <c r="AQ155" s="11">
        <v>0.05</v>
      </c>
      <c r="AR155" s="11">
        <v>0.05</v>
      </c>
      <c r="AS155" s="11">
        <v>4.9000000000000002E-2</v>
      </c>
      <c r="AT155" s="11">
        <v>0</v>
      </c>
      <c r="AU155" s="11">
        <v>8.9999999999999993E-3</v>
      </c>
      <c r="AV155" s="11">
        <v>2.8000000000000001E-2</v>
      </c>
      <c r="AW155" s="11">
        <v>7.0000000000000001E-3</v>
      </c>
      <c r="AX155" s="9">
        <f>Tabelle1[[#This Row],[Vitamin D3 '[µg/100g']]]*40</f>
        <v>0</v>
      </c>
      <c r="AY155" s="9">
        <f>Tabelle1[[#This Row],[Vitamin A '[µg/100g']]]*3.33</f>
        <v>76.59</v>
      </c>
      <c r="AZ155" s="9">
        <f>Tabelle1[[#This Row],[Vitamin E '[mg/100g']]]*1.49</f>
        <v>4.9170000000000005E-2</v>
      </c>
    </row>
    <row r="156" spans="1:52" hidden="1" x14ac:dyDescent="0.45">
      <c r="A156" t="s">
        <v>877</v>
      </c>
      <c r="B156" s="5" t="s">
        <v>771</v>
      </c>
      <c r="C156" s="6" t="s">
        <v>772</v>
      </c>
      <c r="D156" s="13">
        <v>17</v>
      </c>
      <c r="E156" s="11">
        <f>Tabelle1[[#This Row],[Energie '[kcal/100g']]]/239</f>
        <v>7.1129707112970716E-2</v>
      </c>
      <c r="F156" s="13">
        <v>1.0860000000000001</v>
      </c>
      <c r="G156" s="11">
        <f>Tabelle1[[#This Row],[Rohprotein '[g/100g']]]*0.85</f>
        <v>0.92310000000000003</v>
      </c>
      <c r="H156" s="13">
        <v>0.20499999999999999</v>
      </c>
      <c r="I156" s="11">
        <f>Tabelle1[[#This Row],[TS]]-Tabelle1[[#This Row],[Rohprotein '[g/100g']]]-Tabelle1[[#This Row],[Rohfett '[g/100g']]]-Tabelle1[[#This Row],[Rohasche '[g/100g']]]-Tabelle1[[#This Row],[Rohfaser '[g/100g']]]</f>
        <v>1.2470000000000057</v>
      </c>
      <c r="J156" s="11">
        <v>0</v>
      </c>
      <c r="K156" s="13">
        <v>0.36199999999999999</v>
      </c>
      <c r="L156" s="13">
        <v>97.1</v>
      </c>
      <c r="M156" s="13">
        <f>100-Tabelle1[[#This Row],[Wasser '[g/100g']]]</f>
        <v>2.9000000000000057</v>
      </c>
      <c r="N156" s="13">
        <v>21</v>
      </c>
      <c r="O156" s="13">
        <v>15.837</v>
      </c>
      <c r="P156" s="13">
        <v>8</v>
      </c>
      <c r="Q156" s="13">
        <v>3</v>
      </c>
      <c r="R156" s="13">
        <v>103</v>
      </c>
      <c r="S156" s="13"/>
      <c r="T156" s="13">
        <v>0.19400000000000001</v>
      </c>
      <c r="U156" s="13">
        <v>0.1</v>
      </c>
      <c r="V156" s="11">
        <v>0</v>
      </c>
      <c r="W156" s="13">
        <v>33</v>
      </c>
      <c r="X156" s="13">
        <v>100</v>
      </c>
      <c r="Y156" s="13">
        <v>2</v>
      </c>
      <c r="Z156" s="13"/>
      <c r="AA156" s="13">
        <v>0</v>
      </c>
      <c r="AB156" s="13">
        <v>3.4000000000000002E-2</v>
      </c>
      <c r="AC156" s="13">
        <v>3</v>
      </c>
      <c r="AD156" s="13">
        <v>0.03</v>
      </c>
      <c r="AE156" s="13">
        <v>1.4999999999999999E-2</v>
      </c>
      <c r="AF156" s="13">
        <v>0.14799999999999999</v>
      </c>
      <c r="AG156" s="13">
        <v>6.08</v>
      </c>
      <c r="AH156" s="13">
        <v>0</v>
      </c>
      <c r="AI156" s="13">
        <v>5.9089999999999998</v>
      </c>
      <c r="AJ156" s="13">
        <v>33</v>
      </c>
      <c r="AK156" s="13">
        <v>36</v>
      </c>
      <c r="AL156" s="13">
        <v>0.6</v>
      </c>
      <c r="AM156" s="13">
        <v>0</v>
      </c>
      <c r="AN156" s="13">
        <v>4.2999999999999997E-2</v>
      </c>
      <c r="AO156" s="13">
        <v>0</v>
      </c>
      <c r="AP156" s="13">
        <v>0</v>
      </c>
      <c r="AQ156" s="13">
        <v>4.7E-2</v>
      </c>
      <c r="AR156" s="13">
        <v>4.7E-2</v>
      </c>
      <c r="AS156" s="13">
        <v>4.5999999999999999E-2</v>
      </c>
      <c r="AT156" s="11">
        <v>0</v>
      </c>
      <c r="AU156" s="13">
        <v>8.0000000000000002E-3</v>
      </c>
      <c r="AV156" s="13">
        <v>2.7E-2</v>
      </c>
      <c r="AW156" s="13">
        <v>6.0000000000000001E-3</v>
      </c>
      <c r="AX156" s="9">
        <f>Tabelle1[[#This Row],[Vitamin D3 '[µg/100g']]]*40</f>
        <v>0</v>
      </c>
      <c r="AY156" s="9">
        <f>Tabelle1[[#This Row],[Vitamin A '[µg/100g']]]*3.33</f>
        <v>9.99</v>
      </c>
      <c r="AZ156" s="9">
        <f>Tabelle1[[#This Row],[Vitamin E '[mg/100g']]]*1.49</f>
        <v>5.0660000000000004E-2</v>
      </c>
    </row>
    <row r="157" spans="1:52" hidden="1" x14ac:dyDescent="0.45">
      <c r="A157" t="s">
        <v>877</v>
      </c>
      <c r="B157" s="3" t="s">
        <v>773</v>
      </c>
      <c r="C157" s="4" t="s">
        <v>774</v>
      </c>
      <c r="D157" s="11">
        <v>16</v>
      </c>
      <c r="E157" s="11">
        <f>Tabelle1[[#This Row],[Energie '[kcal/100g']]]/239</f>
        <v>6.6945606694560664E-2</v>
      </c>
      <c r="F157" s="11">
        <v>1.0620000000000001</v>
      </c>
      <c r="G157" s="11">
        <f>Tabelle1[[#This Row],[Rohprotein '[g/100g']]]*0.85</f>
        <v>0.90270000000000006</v>
      </c>
      <c r="H157" s="11">
        <v>0.2</v>
      </c>
      <c r="I157" s="11">
        <f>Tabelle1[[#This Row],[TS]]-Tabelle1[[#This Row],[Rohprotein '[g/100g']]]-Tabelle1[[#This Row],[Rohfett '[g/100g']]]-Tabelle1[[#This Row],[Rohasche '[g/100g']]]-Tabelle1[[#This Row],[Rohfaser '[g/100g']]]</f>
        <v>1.248</v>
      </c>
      <c r="J157" s="11">
        <v>0</v>
      </c>
      <c r="K157" s="11">
        <v>0.49</v>
      </c>
      <c r="L157" s="11">
        <v>97</v>
      </c>
      <c r="M157" s="11">
        <f>100-Tabelle1[[#This Row],[Wasser '[g/100g']]]</f>
        <v>3</v>
      </c>
      <c r="N157" s="11">
        <v>19</v>
      </c>
      <c r="O157" s="11">
        <v>15.484999999999999</v>
      </c>
      <c r="P157" s="11">
        <v>12</v>
      </c>
      <c r="Q157" s="11">
        <v>3</v>
      </c>
      <c r="R157" s="11">
        <v>181</v>
      </c>
      <c r="S157" s="11"/>
      <c r="T157" s="11">
        <v>0.22800000000000001</v>
      </c>
      <c r="U157" s="11">
        <v>0.12</v>
      </c>
      <c r="V157" s="11">
        <v>0</v>
      </c>
      <c r="W157" s="11">
        <v>31</v>
      </c>
      <c r="X157" s="11">
        <v>100</v>
      </c>
      <c r="Y157" s="11">
        <v>2</v>
      </c>
      <c r="Z157" s="11"/>
      <c r="AA157" s="11">
        <v>0</v>
      </c>
      <c r="AB157" s="11">
        <v>0.03</v>
      </c>
      <c r="AC157" s="11">
        <v>2</v>
      </c>
      <c r="AD157" s="11">
        <v>0.04</v>
      </c>
      <c r="AE157" s="11">
        <v>0.02</v>
      </c>
      <c r="AF157" s="11">
        <v>0.2</v>
      </c>
      <c r="AG157" s="11">
        <v>8.23</v>
      </c>
      <c r="AH157" s="11">
        <v>0</v>
      </c>
      <c r="AI157" s="11">
        <v>8</v>
      </c>
      <c r="AJ157" s="11">
        <v>32</v>
      </c>
      <c r="AK157" s="11">
        <v>66</v>
      </c>
      <c r="AL157" s="11">
        <v>0.8</v>
      </c>
      <c r="AM157" s="11">
        <v>0</v>
      </c>
      <c r="AN157" s="11">
        <v>4.2000000000000003E-2</v>
      </c>
      <c r="AO157" s="11">
        <v>0</v>
      </c>
      <c r="AP157" s="11">
        <v>0</v>
      </c>
      <c r="AQ157" s="11">
        <v>4.5999999999999999E-2</v>
      </c>
      <c r="AR157" s="11">
        <v>4.5999999999999999E-2</v>
      </c>
      <c r="AS157" s="11">
        <v>4.4999999999999998E-2</v>
      </c>
      <c r="AT157" s="11">
        <v>0</v>
      </c>
      <c r="AU157" s="11">
        <v>8.0000000000000002E-3</v>
      </c>
      <c r="AV157" s="11">
        <v>2.5999999999999999E-2</v>
      </c>
      <c r="AW157" s="11">
        <v>6.0000000000000001E-3</v>
      </c>
      <c r="AX157" s="9">
        <f>Tabelle1[[#This Row],[Vitamin D3 '[µg/100g']]]*40</f>
        <v>0</v>
      </c>
      <c r="AY157" s="9">
        <f>Tabelle1[[#This Row],[Vitamin A '[µg/100g']]]*3.33</f>
        <v>6.66</v>
      </c>
      <c r="AZ157" s="9">
        <f>Tabelle1[[#This Row],[Vitamin E '[mg/100g']]]*1.49</f>
        <v>4.4699999999999997E-2</v>
      </c>
    </row>
    <row r="158" spans="1:52" hidden="1" x14ac:dyDescent="0.45">
      <c r="A158" t="s">
        <v>534</v>
      </c>
      <c r="B158" s="3" t="s">
        <v>424</v>
      </c>
      <c r="C158" s="4" t="s">
        <v>425</v>
      </c>
      <c r="D158" s="11">
        <v>348</v>
      </c>
      <c r="E158" s="13">
        <f>Tabelle1[[#This Row],[Energie '[kcal/100g']]]/239</f>
        <v>1.4560669456066946</v>
      </c>
      <c r="F158" s="11">
        <v>13.22</v>
      </c>
      <c r="G158" s="13">
        <f>Tabelle1[[#This Row],[Rohprotein '[g/100g']]]*0.85</f>
        <v>11.237</v>
      </c>
      <c r="H158" s="11">
        <v>6.65</v>
      </c>
      <c r="I158" s="11">
        <f>Tabelle1[[#This Row],[TS]]-Tabelle1[[#This Row],[Rohprotein '[g/100g']]]-Tabelle1[[#This Row],[Rohfett '[g/100g']]]-Tabelle1[[#This Row],[Rohasche '[g/100g']]]-Tabelle1[[#This Row],[Rohfaser '[g/100g']]]</f>
        <v>68.225000000000009</v>
      </c>
      <c r="J158" s="11">
        <v>0</v>
      </c>
      <c r="K158" s="11">
        <v>1.835</v>
      </c>
      <c r="L158" s="11">
        <v>10.07</v>
      </c>
      <c r="M158" s="11">
        <f>100-Tabelle1[[#This Row],[Wasser '[g/100g']]]</f>
        <v>89.93</v>
      </c>
      <c r="N158" s="11">
        <v>44</v>
      </c>
      <c r="O158" s="11">
        <v>325.01</v>
      </c>
      <c r="P158" s="11">
        <v>121.30500000000001</v>
      </c>
      <c r="Q158" s="11">
        <v>1.98</v>
      </c>
      <c r="R158" s="11">
        <v>381.92700000000002</v>
      </c>
      <c r="S158" s="11"/>
      <c r="T158" s="11">
        <v>4.4366300000000001</v>
      </c>
      <c r="U158" s="11">
        <v>3.6421399999999999</v>
      </c>
      <c r="V158" s="11">
        <v>0</v>
      </c>
      <c r="W158" s="11">
        <v>409.61</v>
      </c>
      <c r="X158" s="11">
        <v>4934.3599999999997</v>
      </c>
      <c r="Y158" s="11">
        <v>0.79073499999999997</v>
      </c>
      <c r="Z158" s="11"/>
      <c r="AA158" s="11">
        <v>0</v>
      </c>
      <c r="AB158" s="11">
        <v>0.8</v>
      </c>
      <c r="AC158" s="11">
        <v>0</v>
      </c>
      <c r="AD158" s="11">
        <v>0.56200000000000006</v>
      </c>
      <c r="AE158" s="11">
        <v>2.8000000000000001E-2</v>
      </c>
      <c r="AF158" s="11">
        <v>1</v>
      </c>
      <c r="AG158" s="11">
        <v>98</v>
      </c>
      <c r="AH158" s="11">
        <v>0</v>
      </c>
      <c r="AI158" s="11">
        <v>0</v>
      </c>
      <c r="AJ158" s="11">
        <v>2.1</v>
      </c>
      <c r="AK158" s="11">
        <v>92.8</v>
      </c>
      <c r="AL158" s="11">
        <v>20</v>
      </c>
      <c r="AM158" s="11">
        <v>0</v>
      </c>
      <c r="AN158" s="11">
        <v>0.112</v>
      </c>
      <c r="AO158" s="11">
        <v>0</v>
      </c>
      <c r="AP158" s="11">
        <v>0</v>
      </c>
      <c r="AQ158" s="11">
        <v>2.57</v>
      </c>
      <c r="AR158" s="11">
        <v>2.57</v>
      </c>
      <c r="AS158" s="11">
        <v>0.87</v>
      </c>
      <c r="AT158" s="11">
        <v>0.39</v>
      </c>
      <c r="AU158" s="11">
        <v>0.3</v>
      </c>
      <c r="AV158" s="11">
        <v>0.5</v>
      </c>
      <c r="AW158" s="11">
        <v>0.24</v>
      </c>
      <c r="AX158" s="9">
        <f>Tabelle1[[#This Row],[Vitamin D3 '[µg/100g']]]*40</f>
        <v>0</v>
      </c>
      <c r="AY158" s="9">
        <f>Tabelle1[[#This Row],[Vitamin A '[µg/100g']]]*3.33</f>
        <v>0</v>
      </c>
      <c r="AZ158" s="9">
        <f>Tabelle1[[#This Row],[Vitamin E '[mg/100g']]]*1.49</f>
        <v>1.1919999999999999</v>
      </c>
    </row>
    <row r="159" spans="1:52" hidden="1" x14ac:dyDescent="0.45">
      <c r="A159" t="s">
        <v>534</v>
      </c>
      <c r="B159" s="3" t="s">
        <v>426</v>
      </c>
      <c r="C159" s="4" t="s">
        <v>427</v>
      </c>
      <c r="D159" s="11">
        <v>66</v>
      </c>
      <c r="E159" s="13">
        <f>Tabelle1[[#This Row],[Energie '[kcal/100g']]]/239</f>
        <v>0.27615062761506276</v>
      </c>
      <c r="F159" s="11">
        <v>2.4990000000000001</v>
      </c>
      <c r="G159" s="13">
        <f>Tabelle1[[#This Row],[Rohprotein '[g/100g']]]*0.85</f>
        <v>2.1241500000000002</v>
      </c>
      <c r="H159" s="11">
        <v>1.2569999999999999</v>
      </c>
      <c r="I159" s="11">
        <f>Tabelle1[[#This Row],[TS]]-Tabelle1[[#This Row],[Rohprotein '[g/100g']]]-Tabelle1[[#This Row],[Rohfett '[g/100g']]]-Tabelle1[[#This Row],[Rohasche '[g/100g']]]-Tabelle1[[#This Row],[Rohfaser '[g/100g']]]</f>
        <v>16.045999999999996</v>
      </c>
      <c r="J159" s="11">
        <v>0</v>
      </c>
      <c r="K159" s="11">
        <v>0.29799999999999999</v>
      </c>
      <c r="L159" s="11">
        <v>79.900000000000006</v>
      </c>
      <c r="M159" s="11">
        <f>100-Tabelle1[[#This Row],[Wasser '[g/100g']]]</f>
        <v>20.099999999999994</v>
      </c>
      <c r="N159" s="11">
        <v>8</v>
      </c>
      <c r="O159" s="11">
        <v>58.37</v>
      </c>
      <c r="P159" s="11">
        <v>22.931000000000001</v>
      </c>
      <c r="Q159" s="11">
        <v>0.37</v>
      </c>
      <c r="R159" s="11">
        <v>68.587999999999994</v>
      </c>
      <c r="S159" s="11"/>
      <c r="T159" s="11">
        <v>0.79674999999999996</v>
      </c>
      <c r="U159" s="11">
        <v>0.6885</v>
      </c>
      <c r="V159" s="11">
        <v>0</v>
      </c>
      <c r="W159" s="11">
        <v>73.56</v>
      </c>
      <c r="X159" s="11">
        <v>932.77</v>
      </c>
      <c r="Y159" s="11">
        <v>0.13453000000000001</v>
      </c>
      <c r="Z159" s="11"/>
      <c r="AA159" s="11">
        <v>0</v>
      </c>
      <c r="AB159" s="11">
        <v>0.151</v>
      </c>
      <c r="AC159" s="11">
        <v>0</v>
      </c>
      <c r="AD159" s="11">
        <v>8.5000000000000006E-2</v>
      </c>
      <c r="AE159" s="11">
        <v>5.0000000000000001E-3</v>
      </c>
      <c r="AF159" s="11">
        <v>0.17</v>
      </c>
      <c r="AG159" s="11">
        <v>17</v>
      </c>
      <c r="AH159" s="11">
        <v>0</v>
      </c>
      <c r="AI159" s="11">
        <v>0</v>
      </c>
      <c r="AJ159" s="11">
        <v>0.4</v>
      </c>
      <c r="AK159" s="11">
        <v>12.3</v>
      </c>
      <c r="AL159" s="11">
        <v>4</v>
      </c>
      <c r="AM159" s="11">
        <v>0</v>
      </c>
      <c r="AN159" s="11">
        <v>2.1000000000000001E-2</v>
      </c>
      <c r="AO159" s="11">
        <v>0</v>
      </c>
      <c r="AP159" s="11">
        <v>0</v>
      </c>
      <c r="AQ159" s="11">
        <v>0.48599999999999999</v>
      </c>
      <c r="AR159" s="11">
        <v>0.48599999999999999</v>
      </c>
      <c r="AS159" s="11">
        <v>0.16400000000000001</v>
      </c>
      <c r="AT159" s="11">
        <v>7.3999999999999996E-2</v>
      </c>
      <c r="AU159" s="11">
        <v>5.7000000000000002E-2</v>
      </c>
      <c r="AV159" s="11">
        <v>9.5000000000000001E-2</v>
      </c>
      <c r="AW159" s="11">
        <v>4.4999999999999998E-2</v>
      </c>
      <c r="AX159" s="9">
        <f>Tabelle1[[#This Row],[Vitamin D3 '[µg/100g']]]*40</f>
        <v>0</v>
      </c>
      <c r="AY159" s="9">
        <f>Tabelle1[[#This Row],[Vitamin A '[µg/100g']]]*3.33</f>
        <v>0</v>
      </c>
      <c r="AZ159" s="9">
        <f>Tabelle1[[#This Row],[Vitamin E '[mg/100g']]]*1.49</f>
        <v>0.22499</v>
      </c>
    </row>
    <row r="160" spans="1:52" hidden="1" x14ac:dyDescent="0.45">
      <c r="A160" t="s">
        <v>534</v>
      </c>
      <c r="B160" t="s">
        <v>428</v>
      </c>
      <c r="C160" t="s">
        <v>429</v>
      </c>
      <c r="D160" s="9">
        <v>371</v>
      </c>
      <c r="E160" s="13">
        <f>Tabelle1[[#This Row],[Energie '[kcal/100g']]]/239</f>
        <v>1.5523012552301256</v>
      </c>
      <c r="F160" s="9">
        <v>15.6</v>
      </c>
      <c r="G160" s="13">
        <f>Tabelle1[[#This Row],[Rohprotein '[g/100g']]]*0.85</f>
        <v>13.26</v>
      </c>
      <c r="H160" s="9">
        <v>7.7</v>
      </c>
      <c r="I160" s="11">
        <f>Tabelle1[[#This Row],[TS]]-Tabelle1[[#This Row],[Rohprotein '[g/100g']]]-Tabelle1[[#This Row],[Rohfett '[g/100g']]]-Tabelle1[[#This Row],[Rohasche '[g/100g']]]-Tabelle1[[#This Row],[Rohfaser '[g/100g']]]</f>
        <v>64.795000000000016</v>
      </c>
      <c r="J160" s="11">
        <v>0</v>
      </c>
      <c r="K160" s="9">
        <v>1.835</v>
      </c>
      <c r="L160" s="9">
        <v>10.07</v>
      </c>
      <c r="M160" s="9">
        <f>100-Tabelle1[[#This Row],[Wasser '[g/100g']]]</f>
        <v>89.93</v>
      </c>
      <c r="N160" s="9">
        <v>44</v>
      </c>
      <c r="O160" s="9">
        <v>325.01</v>
      </c>
      <c r="P160" s="9">
        <v>121.30500000000001</v>
      </c>
      <c r="Q160" s="9">
        <v>1.98</v>
      </c>
      <c r="R160" s="9">
        <v>381.92700000000002</v>
      </c>
      <c r="T160" s="9">
        <v>4.4366300000000001</v>
      </c>
      <c r="U160" s="9">
        <v>3.6421399999999999</v>
      </c>
      <c r="V160" s="11">
        <v>0</v>
      </c>
      <c r="W160" s="9">
        <v>409.61</v>
      </c>
      <c r="X160" s="9">
        <v>4934.3599999999997</v>
      </c>
      <c r="Y160" s="9">
        <v>0.79073499999999997</v>
      </c>
      <c r="AA160" s="9">
        <v>0</v>
      </c>
      <c r="AB160" s="9">
        <v>0.8</v>
      </c>
      <c r="AC160" s="9">
        <v>0</v>
      </c>
      <c r="AD160" s="9">
        <v>0.56200000000000006</v>
      </c>
      <c r="AE160" s="9">
        <v>2.8000000000000001E-2</v>
      </c>
      <c r="AF160" s="9">
        <v>1</v>
      </c>
      <c r="AG160" s="9">
        <v>98</v>
      </c>
      <c r="AH160" s="9">
        <v>0</v>
      </c>
      <c r="AI160" s="9">
        <v>0</v>
      </c>
      <c r="AJ160" s="9">
        <v>2.1</v>
      </c>
      <c r="AK160" s="9">
        <v>92.8</v>
      </c>
      <c r="AL160" s="9">
        <v>20</v>
      </c>
      <c r="AM160" s="9">
        <v>0</v>
      </c>
      <c r="AN160" s="9">
        <v>0.1</v>
      </c>
      <c r="AO160" s="9">
        <v>0</v>
      </c>
      <c r="AP160" s="9">
        <v>0</v>
      </c>
      <c r="AQ160" s="9">
        <v>3</v>
      </c>
      <c r="AR160" s="9">
        <v>3</v>
      </c>
      <c r="AS160" s="9">
        <v>1.1000000000000001</v>
      </c>
      <c r="AT160" s="9">
        <v>0.6</v>
      </c>
      <c r="AU160" s="9">
        <v>0.3</v>
      </c>
      <c r="AV160" s="9">
        <v>0.7</v>
      </c>
      <c r="AW160" s="9">
        <v>0.3</v>
      </c>
      <c r="AX160" s="9">
        <f>Tabelle1[[#This Row],[Vitamin D3 '[µg/100g']]]*40</f>
        <v>0</v>
      </c>
      <c r="AY160" s="9">
        <f>Tabelle1[[#This Row],[Vitamin A '[µg/100g']]]*3.33</f>
        <v>0</v>
      </c>
      <c r="AZ160" s="9">
        <f>Tabelle1[[#This Row],[Vitamin E '[mg/100g']]]*1.49</f>
        <v>1.1919999999999999</v>
      </c>
    </row>
    <row r="161" spans="1:52" hidden="1" x14ac:dyDescent="0.45">
      <c r="A161" t="s">
        <v>534</v>
      </c>
      <c r="B161" t="s">
        <v>430</v>
      </c>
      <c r="C161" t="s">
        <v>431</v>
      </c>
      <c r="D161" s="9">
        <v>360</v>
      </c>
      <c r="E161" s="13">
        <f>Tabelle1[[#This Row],[Energie '[kcal/100g']]]/239</f>
        <v>1.506276150627615</v>
      </c>
      <c r="F161" s="9">
        <v>14.238</v>
      </c>
      <c r="G161" s="13">
        <f>Tabelle1[[#This Row],[Rohprotein '[g/100g']]]*0.85</f>
        <v>12.1023</v>
      </c>
      <c r="H161" s="9">
        <v>7.15</v>
      </c>
      <c r="I161" s="11">
        <f>Tabelle1[[#This Row],[TS]]-Tabelle1[[#This Row],[Rohprotein '[g/100g']]]-Tabelle1[[#This Row],[Rohfett '[g/100g']]]-Tabelle1[[#This Row],[Rohasche '[g/100g']]]-Tabelle1[[#This Row],[Rohfaser '[g/100g']]]</f>
        <v>67.462000000000003</v>
      </c>
      <c r="J161" s="11">
        <v>0</v>
      </c>
      <c r="K161" s="9">
        <v>1.8</v>
      </c>
      <c r="L161" s="9">
        <v>9.35</v>
      </c>
      <c r="M161" s="9">
        <f>100-Tabelle1[[#This Row],[Wasser '[g/100g']]]</f>
        <v>90.65</v>
      </c>
      <c r="N161" s="9">
        <v>54.7</v>
      </c>
      <c r="O161" s="9">
        <v>405</v>
      </c>
      <c r="P161" s="9">
        <v>131</v>
      </c>
      <c r="Q161" s="9">
        <v>6</v>
      </c>
      <c r="R161" s="9">
        <v>268</v>
      </c>
      <c r="T161" s="9">
        <v>4.2</v>
      </c>
      <c r="U161" s="9">
        <v>3.6421399999999999</v>
      </c>
      <c r="V161" s="11">
        <v>0</v>
      </c>
      <c r="W161" s="9">
        <v>409.61</v>
      </c>
      <c r="X161" s="9">
        <v>4934.3599999999997</v>
      </c>
      <c r="Y161" s="9">
        <v>4.2</v>
      </c>
      <c r="AA161" s="9">
        <v>0</v>
      </c>
      <c r="AB161" s="9">
        <v>0.8</v>
      </c>
      <c r="AC161" s="9">
        <v>0</v>
      </c>
      <c r="AD161" s="9">
        <v>0.56000000000000005</v>
      </c>
      <c r="AE161" s="9">
        <v>0.12</v>
      </c>
      <c r="AF161" s="9">
        <v>0.93</v>
      </c>
      <c r="AG161" s="9">
        <v>200</v>
      </c>
      <c r="AH161" s="9">
        <v>0</v>
      </c>
      <c r="AI161" s="9">
        <v>0</v>
      </c>
      <c r="AJ161" s="9">
        <v>4</v>
      </c>
      <c r="AK161" s="9">
        <v>0</v>
      </c>
      <c r="AL161" s="9">
        <v>20</v>
      </c>
      <c r="AM161" s="9">
        <v>0</v>
      </c>
      <c r="AN161" s="9">
        <v>8.2000000000000003E-2</v>
      </c>
      <c r="AO161" s="9">
        <v>0</v>
      </c>
      <c r="AP161" s="9">
        <v>0</v>
      </c>
      <c r="AQ161" s="9">
        <v>2.93</v>
      </c>
      <c r="AR161" s="9">
        <v>2.93</v>
      </c>
      <c r="AS161" s="9">
        <v>0.97250000000000003</v>
      </c>
      <c r="AT161" s="9">
        <v>0.52549999999999997</v>
      </c>
      <c r="AU161" s="9">
        <v>0.318</v>
      </c>
      <c r="AV161" s="9">
        <v>0.625</v>
      </c>
      <c r="AW161" s="9">
        <v>0.28050000000000003</v>
      </c>
      <c r="AX161" s="9">
        <f>Tabelle1[[#This Row],[Vitamin D3 '[µg/100g']]]*40</f>
        <v>0</v>
      </c>
      <c r="AY161" s="9">
        <f>Tabelle1[[#This Row],[Vitamin A '[µg/100g']]]*3.33</f>
        <v>0</v>
      </c>
      <c r="AZ161" s="9">
        <f>Tabelle1[[#This Row],[Vitamin E '[mg/100g']]]*1.49</f>
        <v>1.1919999999999999</v>
      </c>
    </row>
    <row r="162" spans="1:52" hidden="1" x14ac:dyDescent="0.45">
      <c r="A162" t="s">
        <v>1151</v>
      </c>
      <c r="B162" s="14" t="s">
        <v>1029</v>
      </c>
      <c r="C162" s="14" t="s">
        <v>1030</v>
      </c>
      <c r="D162" s="15">
        <v>270</v>
      </c>
      <c r="E162" s="11">
        <f>Tabelle1[[#This Row],[Energie '[kcal/100g']]]/239</f>
        <v>1.1297071129707112</v>
      </c>
      <c r="F162" s="15">
        <v>27.89</v>
      </c>
      <c r="G162" s="11">
        <f>Tabelle1[[#This Row],[Rohprotein '[g/100g']]]*0.85</f>
        <v>23.706499999999998</v>
      </c>
      <c r="H162" s="15">
        <v>17.66</v>
      </c>
      <c r="I162" s="11">
        <f>Tabelle1[[#This Row],[TS]]-Tabelle1[[#This Row],[Rohprotein '[g/100g']]]-Tabelle1[[#This Row],[Rohfett '[g/100g']]]-Tabelle1[[#This Row],[Rohasche '[g/100g']]]-Tabelle1[[#This Row],[Rohfaser '[g/100g']]]</f>
        <v>-2.5299999999999989</v>
      </c>
      <c r="J162" s="11">
        <v>0</v>
      </c>
      <c r="K162" s="15">
        <v>2.97</v>
      </c>
      <c r="L162" s="15">
        <v>54.01</v>
      </c>
      <c r="M162" s="15">
        <f>100-Tabelle1[[#This Row],[Wasser '[g/100g']]]</f>
        <v>45.99</v>
      </c>
      <c r="N162" s="15">
        <v>11.3</v>
      </c>
      <c r="O162" s="15">
        <v>308.39999999999998</v>
      </c>
      <c r="P162" s="15">
        <v>26.8</v>
      </c>
      <c r="Q162" s="15">
        <v>194</v>
      </c>
      <c r="R162" s="15">
        <v>486.8</v>
      </c>
      <c r="S162" s="15"/>
      <c r="T162" s="15">
        <v>6.8578000000000001</v>
      </c>
      <c r="U162" s="15">
        <v>3.633</v>
      </c>
      <c r="V162" s="11">
        <v>0</v>
      </c>
      <c r="W162" s="15">
        <v>425.6</v>
      </c>
      <c r="X162" s="15">
        <v>94.8</v>
      </c>
      <c r="Y162" s="15">
        <v>0</v>
      </c>
      <c r="Z162" s="15"/>
      <c r="AA162" s="15">
        <v>1.4</v>
      </c>
      <c r="AB162" s="15">
        <v>4.0599999999999996</v>
      </c>
      <c r="AC162" s="15">
        <v>0</v>
      </c>
      <c r="AD162" s="15">
        <v>0.36560999999999999</v>
      </c>
      <c r="AE162" s="15">
        <v>2.0135000000000001</v>
      </c>
      <c r="AF162" s="15">
        <v>15.3</v>
      </c>
      <c r="AG162" s="15">
        <v>242</v>
      </c>
      <c r="AH162" s="15">
        <v>0.3</v>
      </c>
      <c r="AI162" s="15">
        <v>10.02</v>
      </c>
      <c r="AJ162" s="15">
        <v>178.7</v>
      </c>
      <c r="AK162" s="15">
        <v>24</v>
      </c>
      <c r="AL162" s="15">
        <v>5.58</v>
      </c>
      <c r="AM162" s="15">
        <v>0</v>
      </c>
      <c r="AN162" s="15">
        <v>0.2727</v>
      </c>
      <c r="AO162" s="15">
        <v>0</v>
      </c>
      <c r="AP162" s="15">
        <v>0</v>
      </c>
      <c r="AQ162" s="15">
        <v>3.41</v>
      </c>
      <c r="AR162" s="15">
        <v>3.0779999999999998</v>
      </c>
      <c r="AS162" s="15">
        <v>1.8369899999999999</v>
      </c>
      <c r="AT162" s="15">
        <v>0.51254</v>
      </c>
      <c r="AU162" s="15">
        <v>0.76295000000000002</v>
      </c>
      <c r="AV162" s="15">
        <v>2.31054</v>
      </c>
      <c r="AW162" s="15">
        <v>0.78247</v>
      </c>
      <c r="AX162" s="9">
        <f>Tabelle1[[#This Row],[Vitamin D3 '[µg/100g']]]*40</f>
        <v>56</v>
      </c>
      <c r="AY162" s="9">
        <f>Tabelle1[[#This Row],[Vitamin A '[µg/100g']]]*3.33</f>
        <v>0</v>
      </c>
      <c r="AZ162" s="9">
        <f>Tabelle1[[#This Row],[Vitamin E '[mg/100g']]]*1.49</f>
        <v>6.0493999999999994</v>
      </c>
    </row>
    <row r="163" spans="1:52" hidden="1" x14ac:dyDescent="0.45">
      <c r="A163" t="s">
        <v>1151</v>
      </c>
      <c r="B163" t="s">
        <v>1031</v>
      </c>
      <c r="C163" t="s">
        <v>1032</v>
      </c>
      <c r="D163" s="9">
        <v>152</v>
      </c>
      <c r="E163" s="11">
        <f>Tabelle1[[#This Row],[Energie '[kcal/100g']]]/239</f>
        <v>0.63598326359832635</v>
      </c>
      <c r="F163" s="9">
        <v>15.85</v>
      </c>
      <c r="G163" s="11">
        <f>Tabelle1[[#This Row],[Rohprotein '[g/100g']]]*0.85</f>
        <v>13.4725</v>
      </c>
      <c r="H163" s="9">
        <v>9.8699999999999992</v>
      </c>
      <c r="I163" s="11">
        <f>Tabelle1[[#This Row],[TS]]-Tabelle1[[#This Row],[Rohprotein '[g/100g']]]-Tabelle1[[#This Row],[Rohfett '[g/100g']]]-Tabelle1[[#This Row],[Rohasche '[g/100g']]]-Tabelle1[[#This Row],[Rohfaser '[g/100g']]]</f>
        <v>-2.5399999999999938</v>
      </c>
      <c r="J163" s="11">
        <v>0</v>
      </c>
      <c r="K163" s="9">
        <v>1.33</v>
      </c>
      <c r="L163" s="9">
        <v>75.489999999999995</v>
      </c>
      <c r="M163" s="9">
        <f>100-Tabelle1[[#This Row],[Wasser '[g/100g']]]</f>
        <v>24.510000000000005</v>
      </c>
      <c r="N163" s="9">
        <v>5.8</v>
      </c>
      <c r="O163" s="9">
        <v>153.69999999999999</v>
      </c>
      <c r="P163" s="9">
        <v>14.2</v>
      </c>
      <c r="Q163" s="9">
        <v>55.3</v>
      </c>
      <c r="R163" s="9">
        <v>163.69999999999999</v>
      </c>
      <c r="T163" s="9">
        <v>3.4954000000000001</v>
      </c>
      <c r="U163" s="9">
        <v>1.9791000000000001</v>
      </c>
      <c r="V163" s="11">
        <v>0</v>
      </c>
      <c r="W163" s="9">
        <v>151.5</v>
      </c>
      <c r="X163" s="9">
        <v>57.4</v>
      </c>
      <c r="Y163" s="15">
        <v>0</v>
      </c>
      <c r="Z163" s="15"/>
      <c r="AA163" s="9">
        <v>0.68</v>
      </c>
      <c r="AB163" s="9">
        <v>1.97</v>
      </c>
      <c r="AC163" s="9">
        <v>5</v>
      </c>
      <c r="AD163" s="9">
        <v>0.17387</v>
      </c>
      <c r="AE163" s="9">
        <v>1.1577599999999999</v>
      </c>
      <c r="AF163" s="9">
        <v>6.9</v>
      </c>
      <c r="AG163" s="9">
        <v>159</v>
      </c>
      <c r="AH163" s="9">
        <v>0.1</v>
      </c>
      <c r="AI163" s="9">
        <v>5.76</v>
      </c>
      <c r="AJ163" s="9">
        <v>86.5</v>
      </c>
      <c r="AK163" s="9">
        <v>2</v>
      </c>
      <c r="AL163" s="9">
        <v>2.78</v>
      </c>
      <c r="AM163" s="9">
        <v>0</v>
      </c>
      <c r="AN163" s="9">
        <v>0.15240000000000001</v>
      </c>
      <c r="AO163" s="9">
        <v>0.04</v>
      </c>
      <c r="AP163" s="9">
        <v>0</v>
      </c>
      <c r="AQ163" s="9">
        <v>1.905</v>
      </c>
      <c r="AR163" s="9">
        <v>1.7190000000000001</v>
      </c>
      <c r="AS163" s="9">
        <v>1.04379</v>
      </c>
      <c r="AT163" s="9">
        <v>0.29122999999999999</v>
      </c>
      <c r="AU163" s="9">
        <v>0.43351000000000001</v>
      </c>
      <c r="AV163" s="9">
        <v>1.3128599999999999</v>
      </c>
      <c r="AW163" s="9">
        <v>0.4446</v>
      </c>
      <c r="AX163" s="9">
        <f>Tabelle1[[#This Row],[Vitamin D3 '[µg/100g']]]*40</f>
        <v>27.200000000000003</v>
      </c>
      <c r="AY163" s="9">
        <f>Tabelle1[[#This Row],[Vitamin A '[µg/100g']]]*3.33</f>
        <v>16.649999999999999</v>
      </c>
      <c r="AZ163" s="9">
        <f>Tabelle1[[#This Row],[Vitamin E '[mg/100g']]]*1.49</f>
        <v>2.9352999999999998</v>
      </c>
    </row>
    <row r="164" spans="1:52" hidden="1" x14ac:dyDescent="0.45">
      <c r="A164" t="s">
        <v>1151</v>
      </c>
      <c r="B164" t="s">
        <v>1033</v>
      </c>
      <c r="C164" t="s">
        <v>1034</v>
      </c>
      <c r="D164" s="9">
        <v>165</v>
      </c>
      <c r="E164" s="11">
        <f>Tabelle1[[#This Row],[Energie '[kcal/100g']]]/239</f>
        <v>0.69037656903765687</v>
      </c>
      <c r="F164" s="9">
        <v>13.09</v>
      </c>
      <c r="G164" s="11">
        <f>Tabelle1[[#This Row],[Rohprotein '[g/100g']]]*0.85</f>
        <v>11.1265</v>
      </c>
      <c r="H164" s="9">
        <v>12.5</v>
      </c>
      <c r="I164" s="11">
        <f>Tabelle1[[#This Row],[TS]]-Tabelle1[[#This Row],[Rohprotein '[g/100g']]]-Tabelle1[[#This Row],[Rohfett '[g/100g']]]-Tabelle1[[#This Row],[Rohasche '[g/100g']]]-Tabelle1[[#This Row],[Rohfaser '[g/100g']]]</f>
        <v>-2.5299999999999998</v>
      </c>
      <c r="J164" s="11">
        <v>0</v>
      </c>
      <c r="K164" s="9">
        <v>1.44</v>
      </c>
      <c r="L164" s="9">
        <v>75.5</v>
      </c>
      <c r="M164" s="9">
        <f>100-Tabelle1[[#This Row],[Wasser '[g/100g']]]</f>
        <v>24.5</v>
      </c>
      <c r="N164" s="9">
        <v>5.2</v>
      </c>
      <c r="O164" s="9">
        <v>166.9</v>
      </c>
      <c r="P164" s="9">
        <v>15.4</v>
      </c>
      <c r="Q164" s="9">
        <v>105</v>
      </c>
      <c r="R164" s="9">
        <v>248.8</v>
      </c>
      <c r="T164" s="9">
        <v>3.3206000000000002</v>
      </c>
      <c r="U164" s="9">
        <v>1.6712</v>
      </c>
      <c r="V164" s="11">
        <v>0</v>
      </c>
      <c r="W164" s="9">
        <v>230.3</v>
      </c>
      <c r="X164" s="9">
        <v>43.6</v>
      </c>
      <c r="Y164" s="15">
        <v>0</v>
      </c>
      <c r="Z164" s="15"/>
      <c r="AA164" s="9">
        <v>0.86</v>
      </c>
      <c r="AB164" s="9">
        <v>2.4900000000000002</v>
      </c>
      <c r="AC164" s="9">
        <v>0</v>
      </c>
      <c r="AD164" s="9">
        <v>0.24026</v>
      </c>
      <c r="AE164" s="9">
        <v>0.92620999999999998</v>
      </c>
      <c r="AF164" s="9">
        <v>8.8000000000000007</v>
      </c>
      <c r="AG164" s="9">
        <v>202</v>
      </c>
      <c r="AH164" s="9">
        <v>0.2</v>
      </c>
      <c r="AI164" s="9">
        <v>5.76</v>
      </c>
      <c r="AJ164" s="9">
        <v>109.6</v>
      </c>
      <c r="AK164" s="9">
        <v>4</v>
      </c>
      <c r="AL164" s="9">
        <v>3.02</v>
      </c>
      <c r="AM164" s="9">
        <v>0</v>
      </c>
      <c r="AN164" s="9">
        <v>0.193</v>
      </c>
      <c r="AO164" s="9">
        <v>0</v>
      </c>
      <c r="AP164" s="9">
        <v>0</v>
      </c>
      <c r="AQ164" s="9">
        <v>2.4129999999999998</v>
      </c>
      <c r="AR164" s="9">
        <v>2.1779999999999999</v>
      </c>
      <c r="AS164" s="9">
        <v>0.86226000000000003</v>
      </c>
      <c r="AT164" s="9">
        <v>0.24057999999999999</v>
      </c>
      <c r="AU164" s="9">
        <v>0.35811999999999999</v>
      </c>
      <c r="AV164" s="9">
        <v>1.0845400000000001</v>
      </c>
      <c r="AW164" s="9">
        <v>0.36728</v>
      </c>
      <c r="AX164" s="9">
        <f>Tabelle1[[#This Row],[Vitamin D3 '[µg/100g']]]*40</f>
        <v>34.4</v>
      </c>
      <c r="AY164" s="9">
        <f>Tabelle1[[#This Row],[Vitamin A '[µg/100g']]]*3.33</f>
        <v>0</v>
      </c>
      <c r="AZ164" s="9">
        <f>Tabelle1[[#This Row],[Vitamin E '[mg/100g']]]*1.49</f>
        <v>3.7101000000000002</v>
      </c>
    </row>
    <row r="165" spans="1:52" hidden="1" x14ac:dyDescent="0.45">
      <c r="A165" t="s">
        <v>1151</v>
      </c>
      <c r="B165" s="14" t="s">
        <v>1035</v>
      </c>
      <c r="C165" s="14" t="s">
        <v>1036</v>
      </c>
      <c r="D165" s="15">
        <v>159</v>
      </c>
      <c r="E165" s="11">
        <f>Tabelle1[[#This Row],[Energie '[kcal/100g']]]/239</f>
        <v>0.66527196652719667</v>
      </c>
      <c r="F165" s="15">
        <v>24.36</v>
      </c>
      <c r="G165" s="11">
        <f>Tabelle1[[#This Row],[Rohprotein '[g/100g']]]*0.85</f>
        <v>20.706</v>
      </c>
      <c r="H165" s="15">
        <v>6.1</v>
      </c>
      <c r="I165" s="11">
        <f>Tabelle1[[#This Row],[TS]]-Tabelle1[[#This Row],[Rohprotein '[g/100g']]]-Tabelle1[[#This Row],[Rohfett '[g/100g']]]-Tabelle1[[#This Row],[Rohasche '[g/100g']]]-Tabelle1[[#This Row],[Rohfaser '[g/100g']]]</f>
        <v>-0.16000000000000414</v>
      </c>
      <c r="J165" s="11">
        <v>0</v>
      </c>
      <c r="K165" s="15">
        <v>2.69</v>
      </c>
      <c r="L165" s="15">
        <v>67.010000000000005</v>
      </c>
      <c r="M165" s="15">
        <f>100-Tabelle1[[#This Row],[Wasser '[g/100g']]]</f>
        <v>32.989999999999995</v>
      </c>
      <c r="N165" s="15">
        <v>8.6999999999999993</v>
      </c>
      <c r="O165" s="15">
        <v>312.5</v>
      </c>
      <c r="P165" s="15">
        <v>22.1</v>
      </c>
      <c r="Q165" s="15">
        <v>140</v>
      </c>
      <c r="R165" s="15">
        <v>291.39999999999998</v>
      </c>
      <c r="S165" s="15"/>
      <c r="T165" s="15">
        <v>16.305399999999999</v>
      </c>
      <c r="U165" s="15">
        <v>3.2054999999999998</v>
      </c>
      <c r="V165" s="11">
        <v>0</v>
      </c>
      <c r="W165" s="15">
        <v>354.7</v>
      </c>
      <c r="X165" s="15">
        <v>355</v>
      </c>
      <c r="Y165" s="15">
        <v>0</v>
      </c>
      <c r="Z165" s="15"/>
      <c r="AA165" s="15">
        <v>0.95</v>
      </c>
      <c r="AB165" s="15">
        <v>2.4</v>
      </c>
      <c r="AC165" s="15">
        <v>9716</v>
      </c>
      <c r="AD165" s="15">
        <v>0.47828999999999999</v>
      </c>
      <c r="AE165" s="15">
        <v>1.7742899999999999</v>
      </c>
      <c r="AF165" s="15">
        <v>17</v>
      </c>
      <c r="AG165" s="15">
        <v>726</v>
      </c>
      <c r="AH165" s="15">
        <v>9.18</v>
      </c>
      <c r="AI165" s="15">
        <v>25.3</v>
      </c>
      <c r="AJ165" s="15">
        <v>48.9</v>
      </c>
      <c r="AK165" s="15">
        <v>270</v>
      </c>
      <c r="AL165" s="15">
        <v>77.760000000000005</v>
      </c>
      <c r="AM165" s="15">
        <v>0</v>
      </c>
      <c r="AN165" s="15">
        <v>0.16259999999999999</v>
      </c>
      <c r="AO165" s="15">
        <v>1.7000000000000001E-2</v>
      </c>
      <c r="AP165" s="15">
        <v>1E-3</v>
      </c>
      <c r="AQ165" s="15">
        <v>1.266</v>
      </c>
      <c r="AR165" s="15">
        <v>0.86599999999999999</v>
      </c>
      <c r="AS165" s="15">
        <v>1.5306500000000001</v>
      </c>
      <c r="AT165" s="15">
        <v>0.46016000000000001</v>
      </c>
      <c r="AU165" s="15">
        <v>0.74117</v>
      </c>
      <c r="AV165" s="15">
        <v>1.92835</v>
      </c>
      <c r="AW165" s="15">
        <v>0.58684999999999998</v>
      </c>
      <c r="AX165" s="9">
        <f>Tabelle1[[#This Row],[Vitamin D3 '[µg/100g']]]*40</f>
        <v>38</v>
      </c>
      <c r="AY165" s="9">
        <f>Tabelle1[[#This Row],[Vitamin A '[µg/100g']]]*3.33</f>
        <v>32354.280000000002</v>
      </c>
      <c r="AZ165" s="9">
        <f>Tabelle1[[#This Row],[Vitamin E '[mg/100g']]]*1.49</f>
        <v>3.5760000000000001</v>
      </c>
    </row>
    <row r="166" spans="1:52" hidden="1" x14ac:dyDescent="0.45">
      <c r="A166" t="s">
        <v>1151</v>
      </c>
      <c r="B166" s="14" t="s">
        <v>1037</v>
      </c>
      <c r="C166" s="14" t="s">
        <v>1038</v>
      </c>
      <c r="D166" s="15">
        <v>112</v>
      </c>
      <c r="E166" s="11">
        <f>Tabelle1[[#This Row],[Energie '[kcal/100g']]]/239</f>
        <v>0.46861924686192469</v>
      </c>
      <c r="F166" s="15">
        <v>17.440000000000001</v>
      </c>
      <c r="G166" s="11">
        <f>Tabelle1[[#This Row],[Rohprotein '[g/100g']]]*0.85</f>
        <v>14.824</v>
      </c>
      <c r="H166" s="15">
        <v>4.1500000000000004</v>
      </c>
      <c r="I166" s="11">
        <f>Tabelle1[[#This Row],[TS]]-Tabelle1[[#This Row],[Rohprotein '[g/100g']]]-Tabelle1[[#This Row],[Rohfett '[g/100g']]]-Tabelle1[[#This Row],[Rohasche '[g/100g']]]-Tabelle1[[#This Row],[Rohfaser '[g/100g']]]</f>
        <v>-0.73000000000000442</v>
      </c>
      <c r="J166" s="11">
        <v>0</v>
      </c>
      <c r="K166" s="15">
        <v>2.44</v>
      </c>
      <c r="L166" s="15">
        <v>76.7</v>
      </c>
      <c r="M166" s="15">
        <f>100-Tabelle1[[#This Row],[Wasser '[g/100g']]]</f>
        <v>23.299999999999997</v>
      </c>
      <c r="N166" s="15">
        <v>5.9</v>
      </c>
      <c r="O166" s="15">
        <v>265.60000000000002</v>
      </c>
      <c r="P166" s="15">
        <v>17.7</v>
      </c>
      <c r="Q166" s="15">
        <v>112</v>
      </c>
      <c r="R166" s="15">
        <v>264.2</v>
      </c>
      <c r="S166" s="15"/>
      <c r="T166" s="15">
        <v>11.671200000000001</v>
      </c>
      <c r="U166" s="15">
        <v>2.5644</v>
      </c>
      <c r="V166" s="11">
        <v>0</v>
      </c>
      <c r="W166" s="15">
        <v>301.5</v>
      </c>
      <c r="X166" s="15">
        <v>241.4</v>
      </c>
      <c r="Y166" s="15">
        <v>0</v>
      </c>
      <c r="Z166" s="15"/>
      <c r="AA166" s="15">
        <v>0.68</v>
      </c>
      <c r="AB166" s="15">
        <v>1.63</v>
      </c>
      <c r="AC166" s="15">
        <v>0</v>
      </c>
      <c r="AD166" s="15">
        <v>0.38263000000000003</v>
      </c>
      <c r="AE166" s="15">
        <v>1.2700199999999999</v>
      </c>
      <c r="AF166" s="15">
        <v>13.6</v>
      </c>
      <c r="AG166" s="15">
        <v>617</v>
      </c>
      <c r="AH166" s="15">
        <v>8.32</v>
      </c>
      <c r="AI166" s="15">
        <v>22.94</v>
      </c>
      <c r="AJ166" s="15">
        <v>33.200000000000003</v>
      </c>
      <c r="AK166" s="15">
        <v>4</v>
      </c>
      <c r="AL166" s="15">
        <v>62.21</v>
      </c>
      <c r="AM166" s="15">
        <v>0</v>
      </c>
      <c r="AN166" s="15">
        <v>0.1105</v>
      </c>
      <c r="AO166" s="15">
        <v>0</v>
      </c>
      <c r="AP166" s="15">
        <v>0</v>
      </c>
      <c r="AQ166" s="15">
        <v>0.86099999999999999</v>
      </c>
      <c r="AR166" s="15">
        <v>0.58899999999999997</v>
      </c>
      <c r="AS166" s="15">
        <v>1.09562</v>
      </c>
      <c r="AT166" s="15">
        <v>0.32938000000000001</v>
      </c>
      <c r="AU166" s="15">
        <v>0.53051999999999999</v>
      </c>
      <c r="AV166" s="15">
        <v>1.38029</v>
      </c>
      <c r="AW166" s="15">
        <v>0.42005999999999999</v>
      </c>
      <c r="AX166" s="9">
        <f>Tabelle1[[#This Row],[Vitamin D3 '[µg/100g']]]*40</f>
        <v>27.200000000000003</v>
      </c>
      <c r="AY166" s="9">
        <f>Tabelle1[[#This Row],[Vitamin A '[µg/100g']]]*3.33</f>
        <v>0</v>
      </c>
      <c r="AZ166" s="9">
        <f>Tabelle1[[#This Row],[Vitamin E '[mg/100g']]]*1.49</f>
        <v>2.4286999999999996</v>
      </c>
    </row>
    <row r="167" spans="1:52" hidden="1" x14ac:dyDescent="0.45">
      <c r="A167" t="s">
        <v>1151</v>
      </c>
      <c r="B167" s="14" t="s">
        <v>1039</v>
      </c>
      <c r="C167" s="14" t="s">
        <v>1040</v>
      </c>
      <c r="D167" s="15">
        <v>174</v>
      </c>
      <c r="E167" s="11">
        <f>Tabelle1[[#This Row],[Energie '[kcal/100g']]]/239</f>
        <v>0.72803347280334729</v>
      </c>
      <c r="F167" s="15">
        <v>24.553999999999998</v>
      </c>
      <c r="G167" s="11">
        <f>Tabelle1[[#This Row],[Rohprotein '[g/100g']]]*0.85</f>
        <v>20.870899999999999</v>
      </c>
      <c r="H167" s="15">
        <v>8.4</v>
      </c>
      <c r="I167" s="11">
        <f>Tabelle1[[#This Row],[TS]]-Tabelle1[[#This Row],[Rohprotein '[g/100g']]]-Tabelle1[[#This Row],[Rohfett '[g/100g']]]-Tabelle1[[#This Row],[Rohasche '[g/100g']]]-Tabelle1[[#This Row],[Rohfaser '[g/100g']]]</f>
        <v>3.3380000000000027</v>
      </c>
      <c r="J167" s="11">
        <v>0</v>
      </c>
      <c r="K167" s="15">
        <v>1.3080000000000001</v>
      </c>
      <c r="L167" s="15">
        <v>62.4</v>
      </c>
      <c r="M167" s="15">
        <f>100-Tabelle1[[#This Row],[Wasser '[g/100g']]]</f>
        <v>37.6</v>
      </c>
      <c r="N167" s="15">
        <v>6</v>
      </c>
      <c r="O167" s="15">
        <v>209</v>
      </c>
      <c r="P167" s="15">
        <v>21</v>
      </c>
      <c r="Q167" s="15">
        <v>154</v>
      </c>
      <c r="R167" s="15">
        <v>305</v>
      </c>
      <c r="S167" s="15"/>
      <c r="T167" s="15">
        <v>8.9149999999999991</v>
      </c>
      <c r="U167" s="15">
        <v>3.262</v>
      </c>
      <c r="V167" s="11">
        <v>0</v>
      </c>
      <c r="W167" s="15">
        <v>658</v>
      </c>
      <c r="X167" s="15">
        <v>77</v>
      </c>
      <c r="Y167" s="15">
        <v>1.3</v>
      </c>
      <c r="Z167" s="15"/>
      <c r="AA167" s="15">
        <v>0</v>
      </c>
      <c r="AB167" s="15">
        <v>0.8</v>
      </c>
      <c r="AC167" s="15">
        <v>8</v>
      </c>
      <c r="AD167" s="15">
        <v>0.28599999999999998</v>
      </c>
      <c r="AE167" s="15">
        <v>1.0580000000000001</v>
      </c>
      <c r="AF167" s="15">
        <v>4.9539999999999997</v>
      </c>
      <c r="AG167" s="15">
        <v>200</v>
      </c>
      <c r="AH167" s="15">
        <v>5.6</v>
      </c>
      <c r="AI167" s="15">
        <v>9</v>
      </c>
      <c r="AJ167" s="15">
        <v>0</v>
      </c>
      <c r="AK167" s="15">
        <v>2</v>
      </c>
      <c r="AL167" s="15">
        <v>6</v>
      </c>
      <c r="AM167" s="15">
        <v>0</v>
      </c>
      <c r="AN167" s="15">
        <v>0</v>
      </c>
      <c r="AO167" s="15">
        <v>0</v>
      </c>
      <c r="AP167" s="15">
        <v>0</v>
      </c>
      <c r="AQ167" s="15">
        <v>0</v>
      </c>
      <c r="AR167" s="15">
        <v>0</v>
      </c>
      <c r="AS167" s="15">
        <v>0</v>
      </c>
      <c r="AT167" s="15">
        <v>0</v>
      </c>
      <c r="AU167" s="15">
        <v>0.61399999999999999</v>
      </c>
      <c r="AV167" s="15">
        <v>2.09</v>
      </c>
      <c r="AW167" s="15">
        <v>0.54100000000000004</v>
      </c>
      <c r="AX167" s="9">
        <f>Tabelle1[[#This Row],[Vitamin D3 '[µg/100g']]]*40</f>
        <v>0</v>
      </c>
      <c r="AY167" s="9">
        <f>Tabelle1[[#This Row],[Vitamin A '[µg/100g']]]*3.33</f>
        <v>26.64</v>
      </c>
      <c r="AZ167" s="9">
        <f>Tabelle1[[#This Row],[Vitamin E '[mg/100g']]]*1.49</f>
        <v>1.1919999999999999</v>
      </c>
    </row>
    <row r="168" spans="1:52" hidden="1" x14ac:dyDescent="0.45">
      <c r="A168" t="s">
        <v>1151</v>
      </c>
      <c r="B168" t="s">
        <v>1041</v>
      </c>
      <c r="C168" t="s">
        <v>1042</v>
      </c>
      <c r="D168" s="9">
        <v>213</v>
      </c>
      <c r="E168" s="11">
        <f>Tabelle1[[#This Row],[Energie '[kcal/100g']]]/239</f>
        <v>0.89121338912133896</v>
      </c>
      <c r="F168" s="9">
        <v>30.113</v>
      </c>
      <c r="G168" s="11">
        <f>Tabelle1[[#This Row],[Rohprotein '[g/100g']]]*0.85</f>
        <v>25.596049999999998</v>
      </c>
      <c r="H168" s="9">
        <v>10.3</v>
      </c>
      <c r="I168" s="11">
        <f>Tabelle1[[#This Row],[TS]]-Tabelle1[[#This Row],[Rohprotein '[g/100g']]]-Tabelle1[[#This Row],[Rohfett '[g/100g']]]-Tabelle1[[#This Row],[Rohasche '[g/100g']]]-Tabelle1[[#This Row],[Rohfaser '[g/100g']]]</f>
        <v>3.3660000000000014</v>
      </c>
      <c r="J168" s="11">
        <v>0</v>
      </c>
      <c r="K168" s="9">
        <v>1.321</v>
      </c>
      <c r="L168" s="9">
        <v>54.9</v>
      </c>
      <c r="M168" s="9">
        <f>100-Tabelle1[[#This Row],[Wasser '[g/100g']]]</f>
        <v>45.1</v>
      </c>
      <c r="N168" s="9">
        <v>6</v>
      </c>
      <c r="O168" s="9">
        <v>242</v>
      </c>
      <c r="P168" s="9">
        <v>20</v>
      </c>
      <c r="Q168" s="9">
        <v>134</v>
      </c>
      <c r="R168" s="9">
        <v>257</v>
      </c>
      <c r="T168" s="9">
        <v>11.509</v>
      </c>
      <c r="U168" s="9">
        <v>4</v>
      </c>
      <c r="V168" s="11">
        <v>0</v>
      </c>
      <c r="W168" s="9">
        <v>807</v>
      </c>
      <c r="X168" s="9">
        <v>94</v>
      </c>
      <c r="Y168" s="9">
        <v>1.2</v>
      </c>
      <c r="AA168" s="9">
        <v>0</v>
      </c>
      <c r="AB168" s="9">
        <v>0.98</v>
      </c>
      <c r="AC168" s="9">
        <v>69.599999999999994</v>
      </c>
      <c r="AD168" s="9">
        <v>0.23400000000000001</v>
      </c>
      <c r="AE168" s="9">
        <v>1.0549999999999999</v>
      </c>
      <c r="AF168" s="9">
        <v>4.774</v>
      </c>
      <c r="AG168" s="9">
        <v>190</v>
      </c>
      <c r="AH168" s="9">
        <v>5.9</v>
      </c>
      <c r="AI168" s="9">
        <v>10</v>
      </c>
      <c r="AJ168" s="9">
        <v>0</v>
      </c>
      <c r="AK168" s="9">
        <v>43</v>
      </c>
      <c r="AL168" s="9">
        <v>5</v>
      </c>
      <c r="AM168" s="9">
        <v>0</v>
      </c>
      <c r="AN168" s="9">
        <v>0</v>
      </c>
      <c r="AO168" s="9">
        <v>8.2000000000000007E-3</v>
      </c>
      <c r="AP168" s="9">
        <v>2.8E-3</v>
      </c>
      <c r="AQ168" s="15">
        <v>0</v>
      </c>
      <c r="AR168" s="9">
        <v>0</v>
      </c>
      <c r="AS168" s="9">
        <v>0</v>
      </c>
      <c r="AT168" s="9">
        <v>0</v>
      </c>
      <c r="AU168" s="9">
        <v>0.753</v>
      </c>
      <c r="AV168" s="9">
        <v>2.5630000000000002</v>
      </c>
      <c r="AW168" s="9">
        <v>0.66300000000000003</v>
      </c>
      <c r="AX168" s="9">
        <f>Tabelle1[[#This Row],[Vitamin D3 '[µg/100g']]]*40</f>
        <v>0</v>
      </c>
      <c r="AY168" s="9">
        <f>Tabelle1[[#This Row],[Vitamin A '[µg/100g']]]*3.33</f>
        <v>231.76799999999997</v>
      </c>
      <c r="AZ168" s="9">
        <f>Tabelle1[[#This Row],[Vitamin E '[mg/100g']]]*1.49</f>
        <v>1.4601999999999999</v>
      </c>
    </row>
    <row r="169" spans="1:52" hidden="1" x14ac:dyDescent="0.45">
      <c r="A169" t="s">
        <v>1151</v>
      </c>
      <c r="B169" s="14" t="s">
        <v>1043</v>
      </c>
      <c r="C169" s="14" t="s">
        <v>1044</v>
      </c>
      <c r="D169" s="15">
        <v>146</v>
      </c>
      <c r="E169" s="11">
        <f>Tabelle1[[#This Row],[Energie '[kcal/100g']]]/239</f>
        <v>0.61087866108786615</v>
      </c>
      <c r="F169" s="15">
        <v>22.885999999999999</v>
      </c>
      <c r="G169" s="11">
        <f>Tabelle1[[#This Row],[Rohprotein '[g/100g']]]*0.85</f>
        <v>19.453099999999999</v>
      </c>
      <c r="H169" s="15">
        <v>4.4889999999999999</v>
      </c>
      <c r="I169" s="11">
        <f>Tabelle1[[#This Row],[TS]]-Tabelle1[[#This Row],[Rohprotein '[g/100g']]]-Tabelle1[[#This Row],[Rohfett '[g/100g']]]-Tabelle1[[#This Row],[Rohasche '[g/100g']]]-Tabelle1[[#This Row],[Rohfaser '[g/100g']]]</f>
        <v>3.4289999999999967</v>
      </c>
      <c r="J169" s="11">
        <v>0</v>
      </c>
      <c r="K169" s="15">
        <v>1.2190000000000001</v>
      </c>
      <c r="L169" s="15">
        <v>67.977000000000004</v>
      </c>
      <c r="M169" s="15">
        <f>100-Tabelle1[[#This Row],[Wasser '[g/100g']]]</f>
        <v>32.022999999999996</v>
      </c>
      <c r="N169" s="15">
        <v>4.9000000000000004</v>
      </c>
      <c r="O169" s="15">
        <v>331</v>
      </c>
      <c r="P169" s="15">
        <v>17</v>
      </c>
      <c r="Q169" s="15">
        <v>92</v>
      </c>
      <c r="R169" s="15">
        <v>240</v>
      </c>
      <c r="S169" s="15"/>
      <c r="T169" s="15">
        <v>13.385999999999999</v>
      </c>
      <c r="U169" s="15">
        <v>4.202</v>
      </c>
      <c r="V169" s="11">
        <v>0</v>
      </c>
      <c r="W169" s="15">
        <v>8400</v>
      </c>
      <c r="X169" s="15">
        <v>300</v>
      </c>
      <c r="Y169" s="15">
        <v>3</v>
      </c>
      <c r="Z169" s="15"/>
      <c r="AA169" s="15">
        <v>2</v>
      </c>
      <c r="AB169" s="15">
        <v>1.4</v>
      </c>
      <c r="AC169" s="15">
        <v>7558</v>
      </c>
      <c r="AD169" s="15">
        <v>0.34799999999999998</v>
      </c>
      <c r="AE169" s="15">
        <v>3.5950000000000002</v>
      </c>
      <c r="AF169" s="15">
        <v>14.778</v>
      </c>
      <c r="AG169" s="15">
        <v>336</v>
      </c>
      <c r="AH169" s="15">
        <v>30</v>
      </c>
      <c r="AI169" s="15">
        <v>26.164999999999999</v>
      </c>
      <c r="AJ169" s="15">
        <v>0.5</v>
      </c>
      <c r="AK169" s="15">
        <v>222</v>
      </c>
      <c r="AL169" s="15">
        <v>126</v>
      </c>
      <c r="AM169" s="15">
        <v>0</v>
      </c>
      <c r="AN169" s="15">
        <v>0.126</v>
      </c>
      <c r="AO169" s="15">
        <v>0.02</v>
      </c>
      <c r="AP169" s="15">
        <v>0</v>
      </c>
      <c r="AQ169" s="15">
        <v>0.49</v>
      </c>
      <c r="AR169" s="15">
        <v>0.44400000000000001</v>
      </c>
      <c r="AS169" s="15">
        <v>1.2090000000000001</v>
      </c>
      <c r="AT169" s="15">
        <v>0.33500000000000002</v>
      </c>
      <c r="AU169" s="15">
        <v>0.84199999999999997</v>
      </c>
      <c r="AV169" s="15">
        <v>1.9430000000000001</v>
      </c>
      <c r="AW169" s="15">
        <v>0.55100000000000005</v>
      </c>
      <c r="AX169" s="9">
        <f>Tabelle1[[#This Row],[Vitamin D3 '[µg/100g']]]*40</f>
        <v>80</v>
      </c>
      <c r="AY169" s="9">
        <f>Tabelle1[[#This Row],[Vitamin A '[µg/100g']]]*3.33</f>
        <v>25168.14</v>
      </c>
      <c r="AZ169" s="9">
        <f>Tabelle1[[#This Row],[Vitamin E '[mg/100g']]]*1.49</f>
        <v>2.0859999999999999</v>
      </c>
    </row>
    <row r="170" spans="1:52" hidden="1" x14ac:dyDescent="0.45">
      <c r="A170" t="s">
        <v>1151</v>
      </c>
      <c r="B170" s="14" t="s">
        <v>1045</v>
      </c>
      <c r="C170" s="14" t="s">
        <v>1046</v>
      </c>
      <c r="D170" s="15">
        <v>132</v>
      </c>
      <c r="E170" s="11">
        <f>Tabelle1[[#This Row],[Energie '[kcal/100g']]]/239</f>
        <v>0.55230125523012552</v>
      </c>
      <c r="F170" s="15">
        <v>21.2</v>
      </c>
      <c r="G170" s="11">
        <f>Tabelle1[[#This Row],[Rohprotein '[g/100g']]]*0.85</f>
        <v>18.02</v>
      </c>
      <c r="H170" s="15">
        <v>3.95</v>
      </c>
      <c r="I170" s="11">
        <f>Tabelle1[[#This Row],[TS]]-Tabelle1[[#This Row],[Rohprotein '[g/100g']]]-Tabelle1[[#This Row],[Rohfett '[g/100g']]]-Tabelle1[[#This Row],[Rohasche '[g/100g']]]-Tabelle1[[#This Row],[Rohfaser '[g/100g']]]</f>
        <v>3.0199999999999951</v>
      </c>
      <c r="J170" s="11">
        <v>0</v>
      </c>
      <c r="K170" s="15">
        <v>1.43</v>
      </c>
      <c r="L170" s="15">
        <v>70.400000000000006</v>
      </c>
      <c r="M170" s="15">
        <f>100-Tabelle1[[#This Row],[Wasser '[g/100g']]]</f>
        <v>29.599999999999994</v>
      </c>
      <c r="N170" s="15">
        <v>4.3</v>
      </c>
      <c r="O170" s="15">
        <v>364</v>
      </c>
      <c r="P170" s="15">
        <v>18</v>
      </c>
      <c r="Q170" s="15">
        <v>95</v>
      </c>
      <c r="R170" s="15">
        <v>282</v>
      </c>
      <c r="S170" s="15"/>
      <c r="T170" s="15">
        <v>12.4</v>
      </c>
      <c r="U170" s="15">
        <v>4.3499999999999996</v>
      </c>
      <c r="V170" s="11">
        <v>0</v>
      </c>
      <c r="W170" s="15">
        <v>9200</v>
      </c>
      <c r="X170" s="15">
        <v>260</v>
      </c>
      <c r="Y170" s="15">
        <v>3.3</v>
      </c>
      <c r="Z170" s="15"/>
      <c r="AA170" s="15">
        <v>2</v>
      </c>
      <c r="AB170" s="15">
        <v>1.2</v>
      </c>
      <c r="AC170" s="15">
        <v>4050</v>
      </c>
      <c r="AD170" s="15">
        <v>0.36</v>
      </c>
      <c r="AE170" s="15">
        <v>3.33</v>
      </c>
      <c r="AF170" s="15">
        <v>15.3</v>
      </c>
      <c r="AG170" s="15">
        <v>370</v>
      </c>
      <c r="AH170" s="15">
        <v>35</v>
      </c>
      <c r="AI170" s="15">
        <v>30.7</v>
      </c>
      <c r="AJ170" s="15">
        <v>0.5</v>
      </c>
      <c r="AK170" s="15">
        <v>40.799999999999997</v>
      </c>
      <c r="AL170" s="15">
        <v>130</v>
      </c>
      <c r="AM170" s="15">
        <v>0</v>
      </c>
      <c r="AN170" s="15">
        <v>0.111</v>
      </c>
      <c r="AO170" s="15">
        <v>0</v>
      </c>
      <c r="AP170" s="15">
        <v>0</v>
      </c>
      <c r="AQ170" s="15">
        <v>0.432</v>
      </c>
      <c r="AR170" s="15">
        <v>0.39100000000000001</v>
      </c>
      <c r="AS170" s="15">
        <v>1.1200000000000001</v>
      </c>
      <c r="AT170" s="15">
        <v>0.31</v>
      </c>
      <c r="AU170" s="15">
        <v>0.78</v>
      </c>
      <c r="AV170" s="15">
        <v>1.8</v>
      </c>
      <c r="AW170" s="15">
        <v>0.51</v>
      </c>
      <c r="AX170" s="9">
        <f>Tabelle1[[#This Row],[Vitamin D3 '[µg/100g']]]*40</f>
        <v>80</v>
      </c>
      <c r="AY170" s="9">
        <f>Tabelle1[[#This Row],[Vitamin A '[µg/100g']]]*3.33</f>
        <v>13486.5</v>
      </c>
      <c r="AZ170" s="9">
        <f>Tabelle1[[#This Row],[Vitamin E '[mg/100g']]]*1.49</f>
        <v>1.788</v>
      </c>
    </row>
    <row r="171" spans="1:52" hidden="1" x14ac:dyDescent="0.45">
      <c r="A171" t="s">
        <v>1151</v>
      </c>
      <c r="B171" s="14" t="s">
        <v>1047</v>
      </c>
      <c r="C171" s="14" t="s">
        <v>1048</v>
      </c>
      <c r="D171" s="15">
        <v>92</v>
      </c>
      <c r="E171" s="11">
        <f>Tabelle1[[#This Row],[Energie '[kcal/100g']]]/239</f>
        <v>0.38493723849372385</v>
      </c>
      <c r="F171" s="15">
        <v>18.399999999999999</v>
      </c>
      <c r="G171" s="11">
        <f>Tabelle1[[#This Row],[Rohprotein '[g/100g']]]*0.85</f>
        <v>15.639999999999999</v>
      </c>
      <c r="H171" s="15">
        <v>2.044</v>
      </c>
      <c r="I171" s="11">
        <f>Tabelle1[[#This Row],[TS]]-Tabelle1[[#This Row],[Rohprotein '[g/100g']]]-Tabelle1[[#This Row],[Rohfett '[g/100g']]]-Tabelle1[[#This Row],[Rohasche '[g/100g']]]-Tabelle1[[#This Row],[Rohfaser '[g/100g']]]</f>
        <v>0.20100000000000151</v>
      </c>
      <c r="J171" s="11">
        <v>0</v>
      </c>
      <c r="K171" s="15">
        <v>0.73299999999999998</v>
      </c>
      <c r="L171" s="15">
        <v>78.622</v>
      </c>
      <c r="M171" s="15">
        <f>100-Tabelle1[[#This Row],[Wasser '[g/100g']]]</f>
        <v>21.378</v>
      </c>
      <c r="N171" s="15">
        <v>15</v>
      </c>
      <c r="O171" s="15">
        <v>51</v>
      </c>
      <c r="P171" s="15">
        <v>12</v>
      </c>
      <c r="Q171" s="15">
        <v>137</v>
      </c>
      <c r="R171" s="15">
        <v>195</v>
      </c>
      <c r="S171" s="15"/>
      <c r="T171" s="15">
        <v>6.7560000000000002</v>
      </c>
      <c r="U171" s="15">
        <v>1.7</v>
      </c>
      <c r="V171" s="11">
        <v>0</v>
      </c>
      <c r="W171" s="15">
        <v>226</v>
      </c>
      <c r="X171" s="15">
        <v>21</v>
      </c>
      <c r="Y171" s="15">
        <v>0</v>
      </c>
      <c r="Z171" s="15"/>
      <c r="AA171" s="15">
        <v>0</v>
      </c>
      <c r="AB171" s="15">
        <v>0</v>
      </c>
      <c r="AC171" s="15">
        <v>24</v>
      </c>
      <c r="AD171" s="15">
        <v>8.5999999999999993E-2</v>
      </c>
      <c r="AE171" s="15">
        <v>0.41799999999999998</v>
      </c>
      <c r="AF171" s="15">
        <v>2.6110000000000002</v>
      </c>
      <c r="AG171" s="15">
        <v>60</v>
      </c>
      <c r="AH171" s="15">
        <v>3</v>
      </c>
      <c r="AI171" s="15">
        <v>24.111000000000001</v>
      </c>
      <c r="AJ171" s="15">
        <v>0</v>
      </c>
      <c r="AK171" s="15">
        <v>9</v>
      </c>
      <c r="AL171" s="15">
        <v>0</v>
      </c>
      <c r="AM171" s="15">
        <v>0</v>
      </c>
      <c r="AN171" s="15">
        <v>0.23400000000000001</v>
      </c>
      <c r="AO171" s="15">
        <v>5.2999999999999999E-2</v>
      </c>
      <c r="AP171" s="15">
        <v>6.8000000000000005E-2</v>
      </c>
      <c r="AQ171" s="15">
        <v>9.7000000000000003E-2</v>
      </c>
      <c r="AR171" s="15">
        <v>6.4000000000000001E-2</v>
      </c>
      <c r="AS171" s="15">
        <v>1.1399999999999999</v>
      </c>
      <c r="AT171" s="15">
        <v>0</v>
      </c>
      <c r="AU171" s="15">
        <v>0.46</v>
      </c>
      <c r="AV171" s="15">
        <v>1.36</v>
      </c>
      <c r="AW171" s="15">
        <v>0.37</v>
      </c>
      <c r="AX171" s="9">
        <f>Tabelle1[[#This Row],[Vitamin D3 '[µg/100g']]]*40</f>
        <v>0</v>
      </c>
      <c r="AY171" s="9">
        <f>Tabelle1[[#This Row],[Vitamin A '[µg/100g']]]*3.33</f>
        <v>79.92</v>
      </c>
      <c r="AZ171" s="9">
        <f>Tabelle1[[#This Row],[Vitamin E '[mg/100g']]]*1.49</f>
        <v>0</v>
      </c>
    </row>
    <row r="172" spans="1:52" hidden="1" x14ac:dyDescent="0.45">
      <c r="A172" t="s">
        <v>1151</v>
      </c>
      <c r="B172" s="14" t="s">
        <v>1049</v>
      </c>
      <c r="C172" s="14" t="s">
        <v>1050</v>
      </c>
      <c r="D172" s="15">
        <v>94</v>
      </c>
      <c r="E172" s="11">
        <f>Tabelle1[[#This Row],[Energie '[kcal/100g']]]/239</f>
        <v>0.39330543933054396</v>
      </c>
      <c r="F172" s="15">
        <v>18.399999999999999</v>
      </c>
      <c r="G172" s="11">
        <f>Tabelle1[[#This Row],[Rohprotein '[g/100g']]]*0.85</f>
        <v>15.639999999999999</v>
      </c>
      <c r="H172" s="15">
        <v>2.2999999999999998</v>
      </c>
      <c r="I172" s="11">
        <f>Tabelle1[[#This Row],[TS]]-Tabelle1[[#This Row],[Rohprotein '[g/100g']]]-Tabelle1[[#This Row],[Rohfett '[g/100g']]]-Tabelle1[[#This Row],[Rohasche '[g/100g']]]-Tabelle1[[#This Row],[Rohfaser '[g/100g']]]</f>
        <v>0.20000000000000151</v>
      </c>
      <c r="J172" s="11">
        <v>0</v>
      </c>
      <c r="K172" s="15">
        <v>1.1000000000000001</v>
      </c>
      <c r="L172" s="15">
        <v>78</v>
      </c>
      <c r="M172" s="15">
        <f>100-Tabelle1[[#This Row],[Wasser '[g/100g']]]</f>
        <v>22</v>
      </c>
      <c r="N172" s="15">
        <v>17</v>
      </c>
      <c r="O172" s="15">
        <v>66</v>
      </c>
      <c r="P172" s="15">
        <v>14</v>
      </c>
      <c r="Q172" s="15">
        <v>205</v>
      </c>
      <c r="R172" s="15">
        <v>292</v>
      </c>
      <c r="S172" s="15"/>
      <c r="T172" s="15">
        <v>6.4</v>
      </c>
      <c r="U172" s="15">
        <v>1.8</v>
      </c>
      <c r="V172" s="11">
        <v>0</v>
      </c>
      <c r="W172" s="15">
        <v>254</v>
      </c>
      <c r="X172" s="15">
        <v>19</v>
      </c>
      <c r="Y172" s="15">
        <v>0</v>
      </c>
      <c r="Z172" s="15"/>
      <c r="AA172" s="15">
        <v>0</v>
      </c>
      <c r="AB172" s="15">
        <v>0</v>
      </c>
      <c r="AC172" s="15">
        <v>55</v>
      </c>
      <c r="AD172" s="15">
        <v>0.11</v>
      </c>
      <c r="AE172" s="15">
        <v>0.47</v>
      </c>
      <c r="AF172" s="15">
        <v>4.7</v>
      </c>
      <c r="AG172" s="15">
        <v>110</v>
      </c>
      <c r="AH172" s="15">
        <v>5</v>
      </c>
      <c r="AI172" s="15">
        <v>31</v>
      </c>
      <c r="AJ172" s="15">
        <v>0</v>
      </c>
      <c r="AK172" s="15">
        <v>11</v>
      </c>
      <c r="AL172" s="15">
        <v>0</v>
      </c>
      <c r="AM172" s="15">
        <v>0</v>
      </c>
      <c r="AN172" s="15">
        <v>0.26300000000000001</v>
      </c>
      <c r="AO172" s="15">
        <v>5.7000000000000002E-2</v>
      </c>
      <c r="AP172" s="15">
        <v>7.1999999999999995E-2</v>
      </c>
      <c r="AQ172" s="15">
        <v>0.11</v>
      </c>
      <c r="AR172" s="15">
        <v>7.1999999999999995E-2</v>
      </c>
      <c r="AS172" s="15">
        <v>1.1399999999999999</v>
      </c>
      <c r="AT172" s="15">
        <v>0</v>
      </c>
      <c r="AU172" s="15">
        <v>0.46</v>
      </c>
      <c r="AV172" s="15">
        <v>1.36</v>
      </c>
      <c r="AW172" s="15">
        <v>0.37</v>
      </c>
      <c r="AX172" s="9">
        <f>Tabelle1[[#This Row],[Vitamin D3 '[µg/100g']]]*40</f>
        <v>0</v>
      </c>
      <c r="AY172" s="9">
        <f>Tabelle1[[#This Row],[Vitamin A '[µg/100g']]]*3.33</f>
        <v>183.15</v>
      </c>
      <c r="AZ172" s="9">
        <f>Tabelle1[[#This Row],[Vitamin E '[mg/100g']]]*1.49</f>
        <v>0</v>
      </c>
    </row>
    <row r="173" spans="1:52" hidden="1" x14ac:dyDescent="0.45">
      <c r="A173" t="s">
        <v>1151</v>
      </c>
      <c r="B173" s="14" t="s">
        <v>1051</v>
      </c>
      <c r="C173" s="14" t="s">
        <v>1052</v>
      </c>
      <c r="D173" s="15">
        <v>108</v>
      </c>
      <c r="E173" s="11">
        <f>Tabelle1[[#This Row],[Energie '[kcal/100g']]]/239</f>
        <v>0.45188284518828453</v>
      </c>
      <c r="F173" s="15">
        <v>18</v>
      </c>
      <c r="G173" s="11">
        <f>Tabelle1[[#This Row],[Rohprotein '[g/100g']]]*0.85</f>
        <v>15.299999999999999</v>
      </c>
      <c r="H173" s="15">
        <v>4</v>
      </c>
      <c r="I173" s="11">
        <f>Tabelle1[[#This Row],[TS]]-Tabelle1[[#This Row],[Rohprotein '[g/100g']]]-Tabelle1[[#This Row],[Rohfett '[g/100g']]]-Tabelle1[[#This Row],[Rohasche '[g/100g']]]-Tabelle1[[#This Row],[Rohfaser '[g/100g']]]</f>
        <v>0.3499999999999972</v>
      </c>
      <c r="J173" s="11">
        <v>0</v>
      </c>
      <c r="K173" s="15">
        <v>1.45</v>
      </c>
      <c r="L173" s="15">
        <v>76.2</v>
      </c>
      <c r="M173" s="15">
        <f>100-Tabelle1[[#This Row],[Wasser '[g/100g']]]</f>
        <v>23.799999999999997</v>
      </c>
      <c r="N173" s="15">
        <v>9</v>
      </c>
      <c r="O173" s="15">
        <v>280</v>
      </c>
      <c r="P173" s="15">
        <v>21</v>
      </c>
      <c r="Q173" s="15">
        <v>84</v>
      </c>
      <c r="R173" s="15">
        <v>358</v>
      </c>
      <c r="S173" s="15"/>
      <c r="T173" s="15">
        <v>41.9</v>
      </c>
      <c r="U173" s="15">
        <v>2.84</v>
      </c>
      <c r="V173" s="11">
        <v>0</v>
      </c>
      <c r="W173" s="15">
        <v>121</v>
      </c>
      <c r="X173" s="15">
        <v>51</v>
      </c>
      <c r="Y173" s="15">
        <v>0</v>
      </c>
      <c r="Z173" s="15"/>
      <c r="AA173" s="15">
        <v>0</v>
      </c>
      <c r="AB173" s="15">
        <v>0</v>
      </c>
      <c r="AC173" s="15">
        <v>27</v>
      </c>
      <c r="AD173" s="15">
        <v>0.09</v>
      </c>
      <c r="AE173" s="15">
        <v>0.27</v>
      </c>
      <c r="AF173" s="15">
        <v>4.7</v>
      </c>
      <c r="AG173" s="15">
        <v>110</v>
      </c>
      <c r="AH173" s="15">
        <v>6.7</v>
      </c>
      <c r="AI173" s="15">
        <v>23.2</v>
      </c>
      <c r="AJ173" s="15">
        <v>0</v>
      </c>
      <c r="AK173" s="15">
        <v>12</v>
      </c>
      <c r="AL173" s="15">
        <v>0</v>
      </c>
      <c r="AM173" s="15">
        <v>0</v>
      </c>
      <c r="AN173" s="15">
        <v>0.13</v>
      </c>
      <c r="AO173" s="15">
        <v>0.06</v>
      </c>
      <c r="AP173" s="15">
        <v>7.5999999999999998E-2</v>
      </c>
      <c r="AQ173" s="15">
        <v>0.123</v>
      </c>
      <c r="AR173" s="15">
        <v>8.6999999999999994E-2</v>
      </c>
      <c r="AS173" s="15">
        <v>1.04</v>
      </c>
      <c r="AT173" s="15">
        <v>0</v>
      </c>
      <c r="AU173" s="15">
        <v>0.49</v>
      </c>
      <c r="AV173" s="15">
        <v>1.57</v>
      </c>
      <c r="AW173" s="15">
        <v>0.34</v>
      </c>
      <c r="AX173" s="9">
        <f>Tabelle1[[#This Row],[Vitamin D3 '[µg/100g']]]*40</f>
        <v>0</v>
      </c>
      <c r="AY173" s="9">
        <f>Tabelle1[[#This Row],[Vitamin A '[µg/100g']]]*3.33</f>
        <v>89.91</v>
      </c>
      <c r="AZ173" s="9">
        <f>Tabelle1[[#This Row],[Vitamin E '[mg/100g']]]*1.49</f>
        <v>0</v>
      </c>
    </row>
    <row r="174" spans="1:52" hidden="1" x14ac:dyDescent="0.45">
      <c r="A174" t="s">
        <v>1151</v>
      </c>
      <c r="B174" t="s">
        <v>1053</v>
      </c>
      <c r="C174" t="s">
        <v>1054</v>
      </c>
      <c r="D174" s="9">
        <v>169</v>
      </c>
      <c r="E174" s="11">
        <f>Tabelle1[[#This Row],[Energie '[kcal/100g']]]/239</f>
        <v>0.70711297071129708</v>
      </c>
      <c r="F174" s="9">
        <v>31.35</v>
      </c>
      <c r="G174" s="11">
        <f>Tabelle1[[#This Row],[Rohprotein '[g/100g']]]*0.85</f>
        <v>26.647500000000001</v>
      </c>
      <c r="H174" s="9">
        <v>4.8479999999999999</v>
      </c>
      <c r="I174" s="11">
        <f>Tabelle1[[#This Row],[TS]]-Tabelle1[[#This Row],[Rohprotein '[g/100g']]]-Tabelle1[[#This Row],[Rohfett '[g/100g']]]-Tabelle1[[#This Row],[Rohasche '[g/100g']]]-Tabelle1[[#This Row],[Rohfaser '[g/100g']]]</f>
        <v>0.70000000000000062</v>
      </c>
      <c r="J174" s="11">
        <v>0</v>
      </c>
      <c r="K174" s="9">
        <v>1.778</v>
      </c>
      <c r="L174" s="9">
        <v>61.323999999999998</v>
      </c>
      <c r="M174" s="9">
        <f>100-Tabelle1[[#This Row],[Wasser '[g/100g']]]</f>
        <v>38.676000000000002</v>
      </c>
      <c r="N174" s="9">
        <v>26</v>
      </c>
      <c r="O174" s="9">
        <v>419</v>
      </c>
      <c r="P174" s="9">
        <v>29</v>
      </c>
      <c r="Q174" s="9">
        <v>277</v>
      </c>
      <c r="R174" s="9">
        <v>353</v>
      </c>
      <c r="T174" s="9">
        <v>14.25</v>
      </c>
      <c r="U174" s="9">
        <v>3.7229999999999999</v>
      </c>
      <c r="V174" s="11">
        <v>0</v>
      </c>
      <c r="W174" s="9">
        <v>560</v>
      </c>
      <c r="X174" s="9">
        <v>220</v>
      </c>
      <c r="Y174" s="15">
        <v>0</v>
      </c>
      <c r="Z174" s="15"/>
      <c r="AA174" s="9">
        <v>0.2</v>
      </c>
      <c r="AB174" s="9">
        <v>0.73799999999999999</v>
      </c>
      <c r="AC174" s="9">
        <v>528</v>
      </c>
      <c r="AD174" s="9">
        <v>0.83299999999999996</v>
      </c>
      <c r="AE174" s="9">
        <v>4.4649999999999999</v>
      </c>
      <c r="AF174" s="9">
        <v>12.121</v>
      </c>
      <c r="AG174" s="9">
        <v>610</v>
      </c>
      <c r="AH174" s="9">
        <v>88</v>
      </c>
      <c r="AI174" s="9">
        <v>18</v>
      </c>
      <c r="AJ174" s="15">
        <v>0</v>
      </c>
      <c r="AK174" s="9">
        <v>10</v>
      </c>
      <c r="AL174" s="9">
        <v>52</v>
      </c>
      <c r="AM174" s="9">
        <v>0</v>
      </c>
      <c r="AN174" s="9">
        <v>0.19800000000000001</v>
      </c>
      <c r="AO174" s="9">
        <v>8.2000000000000003E-2</v>
      </c>
      <c r="AP174" s="9">
        <v>0.05</v>
      </c>
      <c r="AQ174" s="9">
        <v>0</v>
      </c>
      <c r="AR174" s="9">
        <v>0</v>
      </c>
      <c r="AS174" s="9">
        <v>1.919</v>
      </c>
      <c r="AT174" s="9">
        <v>0.38</v>
      </c>
      <c r="AU174" s="9">
        <v>0.79800000000000004</v>
      </c>
      <c r="AV174" s="9">
        <v>2.4700000000000002</v>
      </c>
      <c r="AW174" s="9">
        <v>0.64600000000000002</v>
      </c>
      <c r="AX174" s="9">
        <f>Tabelle1[[#This Row],[Vitamin D3 '[µg/100g']]]*40</f>
        <v>8</v>
      </c>
      <c r="AY174" s="9">
        <f>Tabelle1[[#This Row],[Vitamin A '[µg/100g']]]*3.33</f>
        <v>1758.24</v>
      </c>
      <c r="AZ174" s="9">
        <f>Tabelle1[[#This Row],[Vitamin E '[mg/100g']]]*1.49</f>
        <v>1.09962</v>
      </c>
    </row>
    <row r="175" spans="1:52" hidden="1" x14ac:dyDescent="0.45">
      <c r="A175" t="s">
        <v>1151</v>
      </c>
      <c r="B175" s="14" t="s">
        <v>1055</v>
      </c>
      <c r="C175" s="14" t="s">
        <v>1056</v>
      </c>
      <c r="D175" s="15">
        <v>93</v>
      </c>
      <c r="E175" s="11">
        <f>Tabelle1[[#This Row],[Energie '[kcal/100g']]]/239</f>
        <v>0.38912133891213391</v>
      </c>
      <c r="F175" s="15">
        <v>16.5</v>
      </c>
      <c r="G175" s="11">
        <f>Tabelle1[[#This Row],[Rohprotein '[g/100g']]]*0.85</f>
        <v>14.025</v>
      </c>
      <c r="H175" s="15">
        <v>3.03</v>
      </c>
      <c r="I175" s="11">
        <f>Tabelle1[[#This Row],[TS]]-Tabelle1[[#This Row],[Rohprotein '[g/100g']]]-Tabelle1[[#This Row],[Rohfett '[g/100g']]]-Tabelle1[[#This Row],[Rohasche '[g/100g']]]-Tabelle1[[#This Row],[Rohfaser '[g/100g']]]</f>
        <v>0.70000000000000018</v>
      </c>
      <c r="J175" s="11">
        <v>0</v>
      </c>
      <c r="K175" s="15">
        <v>1.27</v>
      </c>
      <c r="L175" s="15">
        <v>78.5</v>
      </c>
      <c r="M175" s="15">
        <f>100-Tabelle1[[#This Row],[Wasser '[g/100g']]]</f>
        <v>21.5</v>
      </c>
      <c r="N175" s="15">
        <v>13</v>
      </c>
      <c r="O175" s="15">
        <v>262</v>
      </c>
      <c r="P175" s="15">
        <v>17</v>
      </c>
      <c r="Q175" s="15">
        <v>198</v>
      </c>
      <c r="R175" s="15">
        <v>252</v>
      </c>
      <c r="S175" s="15"/>
      <c r="T175" s="15">
        <v>7.5</v>
      </c>
      <c r="U175" s="15">
        <v>2.19</v>
      </c>
      <c r="V175" s="11">
        <v>0</v>
      </c>
      <c r="W175" s="15">
        <v>350</v>
      </c>
      <c r="X175" s="15">
        <v>110</v>
      </c>
      <c r="Y175" s="15">
        <v>0</v>
      </c>
      <c r="Z175" s="15"/>
      <c r="AA175" s="15">
        <v>0.1</v>
      </c>
      <c r="AB175" s="15">
        <v>0.41</v>
      </c>
      <c r="AC175" s="15">
        <v>95</v>
      </c>
      <c r="AD175" s="15">
        <v>0.49</v>
      </c>
      <c r="AE175" s="15">
        <v>2.35</v>
      </c>
      <c r="AF175" s="15">
        <v>7.13</v>
      </c>
      <c r="AG175" s="15">
        <v>380</v>
      </c>
      <c r="AH175" s="15">
        <v>63</v>
      </c>
      <c r="AI175" s="15">
        <v>12</v>
      </c>
      <c r="AJ175" s="15">
        <v>0</v>
      </c>
      <c r="AK175" s="15">
        <v>4</v>
      </c>
      <c r="AL175" s="15">
        <v>37</v>
      </c>
      <c r="AM175" s="15">
        <v>0</v>
      </c>
      <c r="AN175" s="15">
        <v>0.123</v>
      </c>
      <c r="AO175" s="15">
        <v>0.02</v>
      </c>
      <c r="AP175" s="15">
        <v>0.01</v>
      </c>
      <c r="AQ175" s="15">
        <v>0</v>
      </c>
      <c r="AR175" s="15">
        <v>0</v>
      </c>
      <c r="AS175" s="15">
        <v>1.01</v>
      </c>
      <c r="AT175" s="15">
        <v>0.2</v>
      </c>
      <c r="AU175" s="15">
        <v>0.42</v>
      </c>
      <c r="AV175" s="15">
        <v>1.3</v>
      </c>
      <c r="AW175" s="15">
        <v>0.34</v>
      </c>
      <c r="AX175" s="9">
        <f>Tabelle1[[#This Row],[Vitamin D3 '[µg/100g']]]*40</f>
        <v>4</v>
      </c>
      <c r="AY175" s="9">
        <f>Tabelle1[[#This Row],[Vitamin A '[µg/100g']]]*3.33</f>
        <v>316.35000000000002</v>
      </c>
      <c r="AZ175" s="9">
        <f>Tabelle1[[#This Row],[Vitamin E '[mg/100g']]]*1.49</f>
        <v>0.6109</v>
      </c>
    </row>
    <row r="176" spans="1:52" hidden="1" x14ac:dyDescent="0.45">
      <c r="A176" t="s">
        <v>972</v>
      </c>
      <c r="B176" t="s">
        <v>957</v>
      </c>
      <c r="C176" t="s">
        <v>958</v>
      </c>
      <c r="D176" s="9">
        <v>900</v>
      </c>
      <c r="E176" s="11">
        <f>Tabelle1[[#This Row],[Energie '[kcal/100g']]]/239</f>
        <v>3.7656903765690375</v>
      </c>
      <c r="F176" s="9">
        <v>0</v>
      </c>
      <c r="G176" s="11">
        <f>Tabelle1[[#This Row],[Rohprotein '[g/100g']]]*0.85</f>
        <v>0</v>
      </c>
      <c r="H176" s="9">
        <v>100</v>
      </c>
      <c r="I176" s="11">
        <f>Tabelle1[[#This Row],[TS]]-Tabelle1[[#This Row],[Rohprotein '[g/100g']]]-Tabelle1[[#This Row],[Rohfett '[g/100g']]]-Tabelle1[[#This Row],[Rohasche '[g/100g']]]-Tabelle1[[#This Row],[Rohfaser '[g/100g']]]</f>
        <v>0</v>
      </c>
      <c r="J176" s="11">
        <v>0</v>
      </c>
      <c r="K176" s="15">
        <v>0</v>
      </c>
      <c r="L176" s="9">
        <v>0</v>
      </c>
      <c r="M176" s="9">
        <f>100-Tabelle1[[#This Row],[Wasser '[g/100g']]]</f>
        <v>100</v>
      </c>
      <c r="N176" s="9">
        <v>0.44170100000000001</v>
      </c>
      <c r="O176" s="9">
        <v>1.702</v>
      </c>
      <c r="P176" s="9">
        <v>0.44547100000000001</v>
      </c>
      <c r="Q176" s="9">
        <v>1.65</v>
      </c>
      <c r="R176" s="9">
        <v>0.67801500000000003</v>
      </c>
      <c r="T176" s="9">
        <v>0.11557199999999999</v>
      </c>
      <c r="U176" s="9">
        <v>4.0109800000000001E-2</v>
      </c>
      <c r="V176" s="11">
        <v>0</v>
      </c>
      <c r="W176" s="9">
        <v>2.4990000000000001</v>
      </c>
      <c r="X176" s="9">
        <v>1.3640000000000001</v>
      </c>
      <c r="Y176" s="9">
        <v>0.01</v>
      </c>
      <c r="AA176" s="9">
        <v>0</v>
      </c>
      <c r="AB176" s="9">
        <v>5.8</v>
      </c>
      <c r="AC176" s="9">
        <v>21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121</v>
      </c>
      <c r="AK176" s="15">
        <v>0</v>
      </c>
      <c r="AL176" s="9">
        <v>0</v>
      </c>
      <c r="AM176" s="9">
        <v>0</v>
      </c>
      <c r="AN176" s="9">
        <v>18.8</v>
      </c>
      <c r="AO176" s="9">
        <v>0</v>
      </c>
      <c r="AP176" s="9">
        <v>0</v>
      </c>
      <c r="AQ176" s="9">
        <v>52.6</v>
      </c>
      <c r="AR176" s="9">
        <v>52.6</v>
      </c>
      <c r="AS176" s="9">
        <v>0</v>
      </c>
      <c r="AT176" s="9">
        <v>0</v>
      </c>
      <c r="AU176" s="9">
        <v>0</v>
      </c>
      <c r="AV176" s="9">
        <v>0</v>
      </c>
      <c r="AW176" s="9">
        <v>0</v>
      </c>
      <c r="AX176" s="9">
        <f>Tabelle1[[#This Row],[Vitamin D3 '[µg/100g']]]*40</f>
        <v>0</v>
      </c>
      <c r="AY176" s="9">
        <f>Tabelle1[[#This Row],[Vitamin A '[µg/100g']]]*3.33</f>
        <v>69.930000000000007</v>
      </c>
      <c r="AZ176" s="9">
        <f>Tabelle1[[#This Row],[Vitamin E '[mg/100g']]]*1.49</f>
        <v>8.6419999999999995</v>
      </c>
    </row>
    <row r="177" spans="1:52" hidden="1" x14ac:dyDescent="0.45">
      <c r="A177" t="s">
        <v>641</v>
      </c>
      <c r="B177" t="s">
        <v>567</v>
      </c>
      <c r="C177" t="s">
        <v>568</v>
      </c>
      <c r="D177" s="9">
        <v>391</v>
      </c>
      <c r="E177" s="11">
        <f>Tabelle1[[#This Row],[Energie '[kcal/100g']]]/239</f>
        <v>1.6359832635983265</v>
      </c>
      <c r="F177" s="9">
        <v>35.6</v>
      </c>
      <c r="G177" s="11">
        <f>Tabelle1[[#This Row],[Rohprotein '[g/100g']]]*0.85</f>
        <v>30.26</v>
      </c>
      <c r="H177" s="9">
        <v>27.43</v>
      </c>
      <c r="I177" s="11">
        <f>Tabelle1[[#This Row],[TS]]-Tabelle1[[#This Row],[Rohprotein '[g/100g']]]-Tabelle1[[#This Row],[Rohfett '[g/100g']]]-Tabelle1[[#This Row],[Rohasche '[g/100g']]]-Tabelle1[[#This Row],[Rohfaser '[g/100g']]]</f>
        <v>1.3630000000000022</v>
      </c>
      <c r="J177" s="11">
        <v>0</v>
      </c>
      <c r="K177" s="9">
        <v>5.0629999999999997</v>
      </c>
      <c r="L177" s="9">
        <v>30.544</v>
      </c>
      <c r="M177" s="9">
        <f>100-Tabelle1[[#This Row],[Wasser '[g/100g']]]</f>
        <v>69.456000000000003</v>
      </c>
      <c r="N177" s="9">
        <v>1176.1300000000001</v>
      </c>
      <c r="O177" s="9">
        <v>870.89</v>
      </c>
      <c r="P177" s="9">
        <v>43.46</v>
      </c>
      <c r="Q177" s="9">
        <v>667</v>
      </c>
      <c r="R177" s="9">
        <v>174.6</v>
      </c>
      <c r="T177" s="9">
        <v>0.37</v>
      </c>
      <c r="U177" s="9">
        <v>5.94</v>
      </c>
      <c r="V177" s="11">
        <v>0</v>
      </c>
      <c r="W177" s="9">
        <v>100</v>
      </c>
      <c r="X177" s="9">
        <v>70</v>
      </c>
      <c r="Y177" s="9">
        <v>80.64</v>
      </c>
      <c r="AA177" s="9">
        <v>0.65</v>
      </c>
      <c r="AB177" s="9">
        <v>0.39800000000000002</v>
      </c>
      <c r="AC177" s="9">
        <v>359</v>
      </c>
      <c r="AD177" s="9">
        <v>0.02</v>
      </c>
      <c r="AE177" s="9">
        <v>0.44</v>
      </c>
      <c r="AF177" s="9">
        <v>0.17</v>
      </c>
      <c r="AG177" s="9">
        <v>96</v>
      </c>
      <c r="AH177" s="9">
        <v>2</v>
      </c>
      <c r="AI177" s="9">
        <v>0</v>
      </c>
      <c r="AJ177" s="9">
        <v>12.2</v>
      </c>
      <c r="AK177" s="9">
        <v>20</v>
      </c>
      <c r="AL177" s="9">
        <v>3</v>
      </c>
      <c r="AM177" s="9">
        <v>5.6000000000000001E-2</v>
      </c>
      <c r="AN177" s="9">
        <v>0.17</v>
      </c>
      <c r="AO177" s="9">
        <v>0</v>
      </c>
      <c r="AP177" s="9">
        <v>0</v>
      </c>
      <c r="AQ177" s="9">
        <v>0.45</v>
      </c>
      <c r="AR177" s="9">
        <v>0.45</v>
      </c>
      <c r="AS177" s="9">
        <v>1.1180000000000001</v>
      </c>
      <c r="AT177" s="9">
        <v>0.128</v>
      </c>
      <c r="AU177" s="9">
        <v>1.004</v>
      </c>
      <c r="AV177" s="9">
        <v>2.8519999999999999</v>
      </c>
      <c r="AW177" s="9">
        <v>1.004</v>
      </c>
      <c r="AX177" s="9">
        <f>Tabelle1[[#This Row],[Vitamin D3 '[µg/100g']]]*40</f>
        <v>26</v>
      </c>
      <c r="AY177" s="9">
        <f>Tabelle1[[#This Row],[Vitamin A '[µg/100g']]]*3.33</f>
        <v>1195.47</v>
      </c>
      <c r="AZ177" s="9">
        <f>Tabelle1[[#This Row],[Vitamin E '[mg/100g']]]*1.49</f>
        <v>0.59301999999999999</v>
      </c>
    </row>
    <row r="178" spans="1:52" hidden="1" x14ac:dyDescent="0.45">
      <c r="A178" t="s">
        <v>641</v>
      </c>
      <c r="B178" t="s">
        <v>569</v>
      </c>
      <c r="C178" t="s">
        <v>570</v>
      </c>
      <c r="D178" s="9">
        <v>374</v>
      </c>
      <c r="E178" s="11">
        <f>Tabelle1[[#This Row],[Energie '[kcal/100g']]]/239</f>
        <v>1.5648535564853556</v>
      </c>
      <c r="F178" s="9">
        <v>27.5</v>
      </c>
      <c r="G178" s="11">
        <f>Tabelle1[[#This Row],[Rohprotein '[g/100g']]]*0.85</f>
        <v>23.375</v>
      </c>
      <c r="H178" s="9">
        <v>29.15</v>
      </c>
      <c r="I178" s="11">
        <f>Tabelle1[[#This Row],[TS]]-Tabelle1[[#This Row],[Rohprotein '[g/100g']]]-Tabelle1[[#This Row],[Rohfett '[g/100g']]]-Tabelle1[[#This Row],[Rohasche '[g/100g']]]-Tabelle1[[#This Row],[Rohfaser '[g/100g']]]</f>
        <v>1.9100000000000015</v>
      </c>
      <c r="J178" s="11">
        <v>0</v>
      </c>
      <c r="K178" s="9">
        <v>3.44</v>
      </c>
      <c r="L178" s="9">
        <v>38</v>
      </c>
      <c r="M178" s="9">
        <f>100-Tabelle1[[#This Row],[Wasser '[g/100g']]]</f>
        <v>62</v>
      </c>
      <c r="N178" s="9">
        <v>1159.0999999999999</v>
      </c>
      <c r="O178" s="9">
        <v>704.6</v>
      </c>
      <c r="P178" s="9">
        <v>41.1</v>
      </c>
      <c r="Q178" s="9">
        <v>213</v>
      </c>
      <c r="R178" s="9">
        <v>116.2</v>
      </c>
      <c r="T178" s="9">
        <v>0.20599999999999999</v>
      </c>
      <c r="U178" s="9">
        <v>4.8</v>
      </c>
      <c r="V178" s="11">
        <v>0</v>
      </c>
      <c r="W178" s="9">
        <v>208</v>
      </c>
      <c r="X178" s="9">
        <v>42</v>
      </c>
      <c r="Y178" s="9">
        <v>10.43</v>
      </c>
      <c r="AA178" s="9">
        <v>0</v>
      </c>
      <c r="AB178" s="9">
        <v>0.67</v>
      </c>
      <c r="AC178" s="9">
        <v>237</v>
      </c>
      <c r="AD178" s="9">
        <v>5.1999999999999998E-3</v>
      </c>
      <c r="AE178" s="9">
        <v>0.22600000000000001</v>
      </c>
      <c r="AF178" s="9">
        <v>0.06</v>
      </c>
      <c r="AG178" s="9">
        <v>64</v>
      </c>
      <c r="AH178" s="9">
        <v>2.2250000000000001</v>
      </c>
      <c r="AI178" s="9">
        <v>0.875</v>
      </c>
      <c r="AJ178" s="9">
        <v>20</v>
      </c>
      <c r="AK178" s="9">
        <v>26.1</v>
      </c>
      <c r="AL178" s="9">
        <v>2.58</v>
      </c>
      <c r="AM178" s="9">
        <v>0</v>
      </c>
      <c r="AN178" s="9">
        <v>0.18</v>
      </c>
      <c r="AO178" s="9">
        <v>0</v>
      </c>
      <c r="AP178" s="9">
        <v>0</v>
      </c>
      <c r="AQ178" s="9">
        <v>0.48</v>
      </c>
      <c r="AR178" s="9">
        <v>0.48</v>
      </c>
      <c r="AS178" s="9">
        <v>0.9</v>
      </c>
      <c r="AT178" s="9">
        <v>0.1</v>
      </c>
      <c r="AU178" s="9">
        <v>0.8</v>
      </c>
      <c r="AV178" s="9">
        <v>2.2000000000000002</v>
      </c>
      <c r="AW178" s="9">
        <v>0.8</v>
      </c>
      <c r="AX178" s="9">
        <f>Tabelle1[[#This Row],[Vitamin D3 '[µg/100g']]]*40</f>
        <v>0</v>
      </c>
      <c r="AY178" s="9">
        <f>Tabelle1[[#This Row],[Vitamin A '[µg/100g']]]*3.33</f>
        <v>789.21</v>
      </c>
      <c r="AZ178" s="9">
        <f>Tabelle1[[#This Row],[Vitamin E '[mg/100g']]]*1.49</f>
        <v>0.99830000000000008</v>
      </c>
    </row>
    <row r="179" spans="1:52" hidden="1" x14ac:dyDescent="0.45">
      <c r="A179" t="s">
        <v>641</v>
      </c>
      <c r="B179" s="14" t="s">
        <v>571</v>
      </c>
      <c r="C179" s="14" t="s">
        <v>572</v>
      </c>
      <c r="D179" s="15">
        <v>399</v>
      </c>
      <c r="E179" s="11">
        <f>Tabelle1[[#This Row],[Energie '[kcal/100g']]]/239</f>
        <v>1.6694560669456067</v>
      </c>
      <c r="F179" s="15">
        <v>26.9</v>
      </c>
      <c r="G179" s="11">
        <f>Tabelle1[[#This Row],[Rohprotein '[g/100g']]]*0.85</f>
        <v>22.864999999999998</v>
      </c>
      <c r="H179" s="15">
        <v>32.1</v>
      </c>
      <c r="I179" s="11">
        <f>Tabelle1[[#This Row],[TS]]-Tabelle1[[#This Row],[Rohprotein '[g/100g']]]-Tabelle1[[#This Row],[Rohfett '[g/100g']]]-Tabelle1[[#This Row],[Rohasche '[g/100g']]]-Tabelle1[[#This Row],[Rohfaser '[g/100g']]]</f>
        <v>0.78000000000000647</v>
      </c>
      <c r="J179" s="11">
        <v>0</v>
      </c>
      <c r="K179" s="15">
        <v>4.6500000000000004</v>
      </c>
      <c r="L179" s="15">
        <v>35.57</v>
      </c>
      <c r="M179" s="15">
        <f>100-Tabelle1[[#This Row],[Wasser '[g/100g']]]</f>
        <v>64.430000000000007</v>
      </c>
      <c r="N179" s="15">
        <v>880</v>
      </c>
      <c r="O179" s="15">
        <v>580</v>
      </c>
      <c r="P179" s="15">
        <v>33</v>
      </c>
      <c r="Q179" s="15">
        <v>590</v>
      </c>
      <c r="R179" s="15">
        <v>86</v>
      </c>
      <c r="S179" s="15"/>
      <c r="T179" s="15">
        <v>0.34899999999999998</v>
      </c>
      <c r="U179" s="15">
        <v>4.13</v>
      </c>
      <c r="V179" s="11">
        <v>0</v>
      </c>
      <c r="W179" s="15">
        <v>300</v>
      </c>
      <c r="X179" s="15">
        <v>31</v>
      </c>
      <c r="Y179" s="15">
        <v>26</v>
      </c>
      <c r="Z179" s="15"/>
      <c r="AA179" s="15">
        <v>0.7</v>
      </c>
      <c r="AB179" s="15">
        <v>0.9</v>
      </c>
      <c r="AC179" s="15">
        <v>357</v>
      </c>
      <c r="AD179" s="15">
        <v>1.7000000000000001E-2</v>
      </c>
      <c r="AE179" s="15">
        <v>0.32</v>
      </c>
      <c r="AF179" s="15">
        <v>0.14000000000000001</v>
      </c>
      <c r="AG179" s="15">
        <v>130</v>
      </c>
      <c r="AH179" s="15">
        <v>2</v>
      </c>
      <c r="AI179" s="15">
        <v>0.875</v>
      </c>
      <c r="AJ179" s="15">
        <v>20</v>
      </c>
      <c r="AK179" s="15">
        <v>10</v>
      </c>
      <c r="AL179" s="15">
        <v>1</v>
      </c>
      <c r="AM179" s="15">
        <v>0</v>
      </c>
      <c r="AN179" s="15">
        <v>0.19600000000000001</v>
      </c>
      <c r="AO179" s="15">
        <v>0</v>
      </c>
      <c r="AP179" s="15">
        <v>0</v>
      </c>
      <c r="AQ179" s="15">
        <v>0.52300000000000002</v>
      </c>
      <c r="AR179" s="15">
        <v>0.52300000000000002</v>
      </c>
      <c r="AS179" s="15">
        <v>0.84499999999999997</v>
      </c>
      <c r="AT179" s="15">
        <v>9.7000000000000003E-2</v>
      </c>
      <c r="AU179" s="15">
        <v>0.75900000000000001</v>
      </c>
      <c r="AV179" s="15">
        <v>2.1549999999999998</v>
      </c>
      <c r="AW179" s="15">
        <v>0.75900000000000001</v>
      </c>
      <c r="AX179" s="9">
        <f>Tabelle1[[#This Row],[Vitamin D3 '[µg/100g']]]*40</f>
        <v>28</v>
      </c>
      <c r="AY179" s="9">
        <f>Tabelle1[[#This Row],[Vitamin A '[µg/100g']]]*3.33</f>
        <v>1188.81</v>
      </c>
      <c r="AZ179" s="9">
        <f>Tabelle1[[#This Row],[Vitamin E '[mg/100g']]]*1.49</f>
        <v>1.341</v>
      </c>
    </row>
    <row r="180" spans="1:52" hidden="1" x14ac:dyDescent="0.45">
      <c r="A180" t="s">
        <v>534</v>
      </c>
      <c r="B180" t="s">
        <v>432</v>
      </c>
      <c r="C180" t="s">
        <v>433</v>
      </c>
      <c r="D180" s="9">
        <v>184</v>
      </c>
      <c r="E180" s="13">
        <f>Tabelle1[[#This Row],[Energie '[kcal/100g']]]/239</f>
        <v>0.76987447698744771</v>
      </c>
      <c r="F180" s="9">
        <v>7.69</v>
      </c>
      <c r="G180" s="13">
        <f>Tabelle1[[#This Row],[Rohprotein '[g/100g']]]*0.85</f>
        <v>6.5365000000000002</v>
      </c>
      <c r="H180" s="9">
        <v>1.17</v>
      </c>
      <c r="I180" s="11">
        <f>Tabelle1[[#This Row],[TS]]-Tabelle1[[#This Row],[Rohprotein '[g/100g']]]-Tabelle1[[#This Row],[Rohfett '[g/100g']]]-Tabelle1[[#This Row],[Rohasche '[g/100g']]]-Tabelle1[[#This Row],[Rohfaser '[g/100g']]]</f>
        <v>35.980000000000004</v>
      </c>
      <c r="J180" s="11">
        <v>0</v>
      </c>
      <c r="K180" s="9">
        <v>0.57999999999999996</v>
      </c>
      <c r="L180" s="9">
        <v>54.58</v>
      </c>
      <c r="M180" s="9">
        <f>100-Tabelle1[[#This Row],[Wasser '[g/100g']]]</f>
        <v>45.42</v>
      </c>
      <c r="N180" s="9">
        <v>20.2</v>
      </c>
      <c r="O180" s="9">
        <v>159.6</v>
      </c>
      <c r="P180" s="9">
        <v>53.2</v>
      </c>
      <c r="Q180" s="9">
        <v>0.3</v>
      </c>
      <c r="R180" s="9">
        <v>180.4</v>
      </c>
      <c r="T180" s="9">
        <v>1.9197</v>
      </c>
      <c r="U180" s="9">
        <v>1.6156999999999999</v>
      </c>
      <c r="V180" s="11">
        <v>0</v>
      </c>
      <c r="W180" s="9">
        <v>254.8</v>
      </c>
      <c r="X180" s="9">
        <v>1312.4</v>
      </c>
      <c r="Y180" s="9">
        <v>0</v>
      </c>
      <c r="AA180" s="9">
        <v>0</v>
      </c>
      <c r="AB180" s="9">
        <v>0.28299999999999997</v>
      </c>
      <c r="AC180" s="9">
        <v>0</v>
      </c>
      <c r="AD180" s="9">
        <v>0.13200000000000001</v>
      </c>
      <c r="AE180" s="9">
        <v>4.2000000000000003E-2</v>
      </c>
      <c r="AF180" s="9">
        <v>2.62</v>
      </c>
      <c r="AG180" s="9">
        <v>129</v>
      </c>
      <c r="AH180" s="9">
        <v>0</v>
      </c>
      <c r="AI180" s="9">
        <v>0</v>
      </c>
      <c r="AJ180" s="9">
        <v>0.47</v>
      </c>
      <c r="AK180" s="9">
        <v>44.4</v>
      </c>
      <c r="AL180" s="9">
        <v>2.52</v>
      </c>
      <c r="AM180" s="9">
        <v>0</v>
      </c>
      <c r="AN180" s="9">
        <v>0.03</v>
      </c>
      <c r="AO180" s="9">
        <v>0</v>
      </c>
      <c r="AP180" s="9">
        <v>0</v>
      </c>
      <c r="AQ180" s="9">
        <v>0.45</v>
      </c>
      <c r="AR180" s="9">
        <v>0.45</v>
      </c>
      <c r="AS180" s="9">
        <v>0.34</v>
      </c>
      <c r="AT180" s="9">
        <v>0.16</v>
      </c>
      <c r="AU180" s="9">
        <v>0.18</v>
      </c>
      <c r="AV180" s="9">
        <v>0.19</v>
      </c>
      <c r="AW180" s="9">
        <v>0.12</v>
      </c>
      <c r="AX180" s="9">
        <f>Tabelle1[[#This Row],[Vitamin D3 '[µg/100g']]]*40</f>
        <v>0</v>
      </c>
      <c r="AY180" s="9">
        <f>Tabelle1[[#This Row],[Vitamin A '[µg/100g']]]*3.33</f>
        <v>0</v>
      </c>
      <c r="AZ180" s="9">
        <f>Tabelle1[[#This Row],[Vitamin E '[mg/100g']]]*1.49</f>
        <v>0.42166999999999993</v>
      </c>
    </row>
    <row r="181" spans="1:52" hidden="1" x14ac:dyDescent="0.45">
      <c r="A181" t="s">
        <v>534</v>
      </c>
      <c r="B181" t="s">
        <v>434</v>
      </c>
      <c r="C181" t="s">
        <v>435</v>
      </c>
      <c r="D181" s="9">
        <v>346</v>
      </c>
      <c r="E181" s="13">
        <f>Tabelle1[[#This Row],[Energie '[kcal/100g']]]/239</f>
        <v>1.4476987447698744</v>
      </c>
      <c r="F181" s="9">
        <v>14.4</v>
      </c>
      <c r="G181" s="13">
        <f>Tabelle1[[#This Row],[Rohprotein '[g/100g']]]*0.85</f>
        <v>12.24</v>
      </c>
      <c r="H181" s="9">
        <v>2.3199999999999998</v>
      </c>
      <c r="I181" s="11">
        <f>Tabelle1[[#This Row],[TS]]-Tabelle1[[#This Row],[Rohprotein '[g/100g']]]-Tabelle1[[#This Row],[Rohfett '[g/100g']]]-Tabelle1[[#This Row],[Rohasche '[g/100g']]]-Tabelle1[[#This Row],[Rohfaser '[g/100g']]]</f>
        <v>69.88</v>
      </c>
      <c r="J181" s="11">
        <v>0</v>
      </c>
      <c r="K181" s="9">
        <v>1.48</v>
      </c>
      <c r="L181" s="9">
        <v>11.92</v>
      </c>
      <c r="M181" s="9">
        <f>100-Tabelle1[[#This Row],[Wasser '[g/100g']]]</f>
        <v>88.08</v>
      </c>
      <c r="N181" s="9">
        <v>36</v>
      </c>
      <c r="O181" s="9">
        <v>299</v>
      </c>
      <c r="P181" s="9">
        <v>94.7</v>
      </c>
      <c r="Q181" s="9">
        <v>0.7</v>
      </c>
      <c r="R181" s="9">
        <v>401.3</v>
      </c>
      <c r="T181" s="9">
        <v>3.4169999999999998</v>
      </c>
      <c r="U181" s="9">
        <v>3.0272999999999999</v>
      </c>
      <c r="V181" s="11">
        <v>0</v>
      </c>
      <c r="W181" s="9">
        <v>453.6</v>
      </c>
      <c r="X181" s="9">
        <v>2336</v>
      </c>
      <c r="Y181" s="9">
        <v>0</v>
      </c>
      <c r="AA181" s="9">
        <v>0</v>
      </c>
      <c r="AB181" s="9">
        <v>0.504</v>
      </c>
      <c r="AC181" s="9">
        <v>0</v>
      </c>
      <c r="AD181" s="9">
        <v>0.47</v>
      </c>
      <c r="AE181" s="9">
        <v>0.1</v>
      </c>
      <c r="AF181" s="9">
        <v>6.22</v>
      </c>
      <c r="AG181" s="9">
        <v>460</v>
      </c>
      <c r="AH181" s="9">
        <v>0</v>
      </c>
      <c r="AI181" s="9">
        <v>0</v>
      </c>
      <c r="AJ181" s="9">
        <v>0.83699999999999997</v>
      </c>
      <c r="AK181" s="9">
        <v>113</v>
      </c>
      <c r="AL181" s="9">
        <v>5.98</v>
      </c>
      <c r="AM181" s="9">
        <v>0</v>
      </c>
      <c r="AN181" s="9">
        <v>0.06</v>
      </c>
      <c r="AO181" s="9">
        <v>0</v>
      </c>
      <c r="AP181" s="9">
        <v>0</v>
      </c>
      <c r="AQ181" s="9">
        <v>0.89</v>
      </c>
      <c r="AR181" s="9">
        <v>0.89</v>
      </c>
      <c r="AS181" s="9">
        <v>0.63</v>
      </c>
      <c r="AT181" s="9">
        <v>0.3</v>
      </c>
      <c r="AU181" s="9">
        <v>0.34</v>
      </c>
      <c r="AV181" s="9">
        <v>0.35</v>
      </c>
      <c r="AW181" s="9">
        <v>0.23</v>
      </c>
      <c r="AX181" s="9">
        <f>Tabelle1[[#This Row],[Vitamin D3 '[µg/100g']]]*40</f>
        <v>0</v>
      </c>
      <c r="AY181" s="9">
        <f>Tabelle1[[#This Row],[Vitamin A '[µg/100g']]]*3.33</f>
        <v>0</v>
      </c>
      <c r="AZ181" s="9">
        <f>Tabelle1[[#This Row],[Vitamin E '[mg/100g']]]*1.49</f>
        <v>0.75095999999999996</v>
      </c>
    </row>
    <row r="182" spans="1:52" hidden="1" x14ac:dyDescent="0.45">
      <c r="A182" t="s">
        <v>534</v>
      </c>
      <c r="B182" t="s">
        <v>436</v>
      </c>
      <c r="C182" t="s">
        <v>437</v>
      </c>
      <c r="D182" s="9">
        <v>352</v>
      </c>
      <c r="E182" s="13">
        <f>Tabelle1[[#This Row],[Energie '[kcal/100g']]]/239</f>
        <v>1.4728033472803348</v>
      </c>
      <c r="F182" s="9">
        <v>13.36</v>
      </c>
      <c r="G182" s="13">
        <f>Tabelle1[[#This Row],[Rohprotein '[g/100g']]]*0.85</f>
        <v>11.356</v>
      </c>
      <c r="H182" s="9">
        <v>1.48</v>
      </c>
      <c r="I182" s="11">
        <f>Tabelle1[[#This Row],[TS]]-Tabelle1[[#This Row],[Rohprotein '[g/100g']]]-Tabelle1[[#This Row],[Rohfett '[g/100g']]]-Tabelle1[[#This Row],[Rohasche '[g/100g']]]-Tabelle1[[#This Row],[Rohfaser '[g/100g']]]</f>
        <v>71.09</v>
      </c>
      <c r="J182" s="11">
        <v>0</v>
      </c>
      <c r="K182" s="9">
        <v>0.74</v>
      </c>
      <c r="L182" s="9">
        <v>13.33</v>
      </c>
      <c r="M182" s="9">
        <f>100-Tabelle1[[#This Row],[Wasser '[g/100g']]]</f>
        <v>86.67</v>
      </c>
      <c r="N182" s="9">
        <v>24.4</v>
      </c>
      <c r="O182" s="9">
        <v>147.6</v>
      </c>
      <c r="P182" s="9">
        <v>38.4</v>
      </c>
      <c r="Q182" s="9">
        <v>0.7</v>
      </c>
      <c r="R182" s="9">
        <v>216.2</v>
      </c>
      <c r="T182" s="9">
        <v>1.1668000000000001</v>
      </c>
      <c r="U182" s="9">
        <v>1.2262999999999999</v>
      </c>
      <c r="V182" s="11">
        <v>0</v>
      </c>
      <c r="W182" s="9">
        <v>269.39999999999998</v>
      </c>
      <c r="X182" s="9">
        <v>664.6</v>
      </c>
      <c r="Y182" s="9">
        <v>0</v>
      </c>
      <c r="AA182" s="9">
        <v>0</v>
      </c>
      <c r="AB182" s="9">
        <v>0.23899999999999999</v>
      </c>
      <c r="AC182" s="9">
        <v>0</v>
      </c>
      <c r="AD182" s="9">
        <v>0.23200000000000001</v>
      </c>
      <c r="AE182" s="9">
        <v>0.06</v>
      </c>
      <c r="AF182" s="9">
        <v>2.92</v>
      </c>
      <c r="AG182" s="9">
        <v>280</v>
      </c>
      <c r="AH182" s="9">
        <v>0</v>
      </c>
      <c r="AI182" s="9">
        <v>0</v>
      </c>
      <c r="AJ182" s="9">
        <v>0</v>
      </c>
      <c r="AK182" s="9">
        <v>33</v>
      </c>
      <c r="AL182" s="9">
        <v>2.0099999999999998</v>
      </c>
      <c r="AM182" s="9">
        <v>0</v>
      </c>
      <c r="AN182" s="9">
        <v>0.04</v>
      </c>
      <c r="AO182" s="9">
        <v>0</v>
      </c>
      <c r="AP182" s="9">
        <v>0</v>
      </c>
      <c r="AQ182" s="9">
        <v>0.56999999999999995</v>
      </c>
      <c r="AR182" s="9">
        <v>0.56999999999999995</v>
      </c>
      <c r="AS182" s="9">
        <v>0.49</v>
      </c>
      <c r="AT182" s="9">
        <v>0.28000000000000003</v>
      </c>
      <c r="AU182" s="9">
        <v>0.31</v>
      </c>
      <c r="AV182" s="9">
        <v>0.27</v>
      </c>
      <c r="AW182" s="9">
        <v>0.21</v>
      </c>
      <c r="AX182" s="9">
        <f>Tabelle1[[#This Row],[Vitamin D3 '[µg/100g']]]*40</f>
        <v>0</v>
      </c>
      <c r="AY182" s="9">
        <f>Tabelle1[[#This Row],[Vitamin A '[µg/100g']]]*3.33</f>
        <v>0</v>
      </c>
      <c r="AZ182" s="9">
        <f>Tabelle1[[#This Row],[Vitamin E '[mg/100g']]]*1.49</f>
        <v>0.35610999999999998</v>
      </c>
    </row>
    <row r="183" spans="1:52" hidden="1" x14ac:dyDescent="0.45">
      <c r="A183" t="s">
        <v>534</v>
      </c>
      <c r="B183" t="s">
        <v>438</v>
      </c>
      <c r="C183" t="s">
        <v>439</v>
      </c>
      <c r="D183" s="9">
        <v>159</v>
      </c>
      <c r="E183" s="13">
        <f>Tabelle1[[#This Row],[Energie '[kcal/100g']]]/239</f>
        <v>0.66527196652719667</v>
      </c>
      <c r="F183" s="9">
        <v>6.02</v>
      </c>
      <c r="G183" s="13">
        <f>Tabelle1[[#This Row],[Rohprotein '[g/100g']]]*0.85</f>
        <v>5.1169999999999991</v>
      </c>
      <c r="H183" s="9">
        <v>0.67</v>
      </c>
      <c r="I183" s="11">
        <f>Tabelle1[[#This Row],[TS]]-Tabelle1[[#This Row],[Rohprotein '[g/100g']]]-Tabelle1[[#This Row],[Rohfett '[g/100g']]]-Tabelle1[[#This Row],[Rohasche '[g/100g']]]-Tabelle1[[#This Row],[Rohfaser '[g/100g']]]</f>
        <v>30.56</v>
      </c>
      <c r="J183" s="11">
        <v>0</v>
      </c>
      <c r="K183" s="9">
        <v>0.28999999999999998</v>
      </c>
      <c r="L183" s="9">
        <v>62.46</v>
      </c>
      <c r="M183" s="9">
        <f>100-Tabelle1[[#This Row],[Wasser '[g/100g']]]</f>
        <v>37.54</v>
      </c>
      <c r="N183" s="9">
        <v>10.8</v>
      </c>
      <c r="O183" s="9">
        <v>64.5</v>
      </c>
      <c r="P183" s="9">
        <v>16.399999999999999</v>
      </c>
      <c r="Q183" s="9">
        <v>0.3</v>
      </c>
      <c r="R183" s="9">
        <v>84.7</v>
      </c>
      <c r="T183" s="9">
        <v>0.47299999999999998</v>
      </c>
      <c r="U183" s="9">
        <v>0.5524</v>
      </c>
      <c r="V183" s="11">
        <v>0</v>
      </c>
      <c r="W183" s="9">
        <v>115.3</v>
      </c>
      <c r="X183" s="9">
        <v>299.39999999999998</v>
      </c>
      <c r="Y183" s="9">
        <v>0</v>
      </c>
      <c r="AA183" s="9">
        <v>0</v>
      </c>
      <c r="AB183" s="9">
        <v>0.108</v>
      </c>
      <c r="AC183" s="9">
        <v>0</v>
      </c>
      <c r="AD183" s="9">
        <v>7.5999999999999998E-2</v>
      </c>
      <c r="AE183" s="9">
        <v>2.5000000000000001E-2</v>
      </c>
      <c r="AF183" s="9">
        <v>1.17</v>
      </c>
      <c r="AG183" s="9">
        <v>106</v>
      </c>
      <c r="AH183" s="9">
        <v>0</v>
      </c>
      <c r="AI183" s="9">
        <v>0</v>
      </c>
      <c r="AJ183" s="9">
        <v>0</v>
      </c>
      <c r="AK183" s="9">
        <v>10.9</v>
      </c>
      <c r="AL183" s="9">
        <v>0.83</v>
      </c>
      <c r="AM183" s="9">
        <v>0</v>
      </c>
      <c r="AN183" s="9">
        <v>0.02</v>
      </c>
      <c r="AO183" s="9">
        <v>0</v>
      </c>
      <c r="AP183" s="9">
        <v>0</v>
      </c>
      <c r="AQ183" s="9">
        <v>0.26</v>
      </c>
      <c r="AR183" s="9">
        <v>0.26</v>
      </c>
      <c r="AS183" s="9">
        <v>0.221</v>
      </c>
      <c r="AT183" s="9">
        <v>0.126</v>
      </c>
      <c r="AU183" s="9">
        <v>0.14000000000000001</v>
      </c>
      <c r="AV183" s="9">
        <v>0.122</v>
      </c>
      <c r="AW183" s="9">
        <v>9.5000000000000001E-2</v>
      </c>
      <c r="AX183" s="9">
        <f>Tabelle1[[#This Row],[Vitamin D3 '[µg/100g']]]*40</f>
        <v>0</v>
      </c>
      <c r="AY183" s="9">
        <f>Tabelle1[[#This Row],[Vitamin A '[µg/100g']]]*3.33</f>
        <v>0</v>
      </c>
      <c r="AZ183" s="9">
        <f>Tabelle1[[#This Row],[Vitamin E '[mg/100g']]]*1.49</f>
        <v>0.16092000000000001</v>
      </c>
    </row>
    <row r="184" spans="1:52" hidden="1" x14ac:dyDescent="0.45">
      <c r="A184" t="s">
        <v>934</v>
      </c>
      <c r="B184" t="s">
        <v>920</v>
      </c>
      <c r="C184" t="s">
        <v>921</v>
      </c>
      <c r="D184" s="9">
        <v>667</v>
      </c>
      <c r="E184" s="11">
        <f>Tabelle1[[#This Row],[Energie '[kcal/100g']]]/239</f>
        <v>2.7907949790794979</v>
      </c>
      <c r="F184" s="9">
        <v>16.25</v>
      </c>
      <c r="G184" s="11">
        <f>Tabelle1[[#This Row],[Rohprotein '[g/100g']]]*0.85</f>
        <v>13.8125</v>
      </c>
      <c r="H184" s="9">
        <v>63.3</v>
      </c>
      <c r="I184" s="11">
        <f>Tabelle1[[#This Row],[TS]]-Tabelle1[[#This Row],[Rohprotein '[g/100g']]]-Tabelle1[[#This Row],[Rohfett '[g/100g']]]-Tabelle1[[#This Row],[Rohasche '[g/100g']]]-Tabelle1[[#This Row],[Rohfaser '[g/100g']]]</f>
        <v>13.670000000000005</v>
      </c>
      <c r="J184" s="11">
        <v>0</v>
      </c>
      <c r="K184" s="9">
        <v>2.48</v>
      </c>
      <c r="L184" s="9">
        <v>4.3</v>
      </c>
      <c r="M184" s="9">
        <f>100-Tabelle1[[#This Row],[Wasser '[g/100g']]]</f>
        <v>95.7</v>
      </c>
      <c r="N184" s="9">
        <v>149</v>
      </c>
      <c r="O184" s="9">
        <v>288</v>
      </c>
      <c r="P184" s="9">
        <v>163</v>
      </c>
      <c r="Q184" s="9">
        <v>0</v>
      </c>
      <c r="R184" s="9">
        <v>745</v>
      </c>
      <c r="T184" s="9">
        <v>3.43</v>
      </c>
      <c r="U184" s="9">
        <v>2.08</v>
      </c>
      <c r="V184" s="11">
        <v>0</v>
      </c>
      <c r="W184" s="9">
        <v>1600</v>
      </c>
      <c r="X184" s="9">
        <v>6340</v>
      </c>
      <c r="Y184" s="9">
        <v>1</v>
      </c>
      <c r="AA184" s="9">
        <v>0</v>
      </c>
      <c r="AB184" s="9">
        <v>22.2</v>
      </c>
      <c r="AC184" s="9">
        <v>4</v>
      </c>
      <c r="AD184" s="9">
        <v>0.46</v>
      </c>
      <c r="AE184" s="9">
        <v>0.15</v>
      </c>
      <c r="AF184" s="9">
        <v>1.42</v>
      </c>
      <c r="AG184" s="9">
        <v>660</v>
      </c>
      <c r="AH184" s="9">
        <v>0</v>
      </c>
      <c r="AI184" s="9">
        <v>0</v>
      </c>
      <c r="AJ184" s="9">
        <v>11.1</v>
      </c>
      <c r="AK184" s="9">
        <v>89.6</v>
      </c>
      <c r="AL184" s="9">
        <v>61.6</v>
      </c>
      <c r="AM184" s="9">
        <v>0</v>
      </c>
      <c r="AN184" s="9">
        <v>5.7000000000000002E-2</v>
      </c>
      <c r="AO184" s="9">
        <v>0</v>
      </c>
      <c r="AP184" s="9">
        <v>0</v>
      </c>
      <c r="AQ184" s="9">
        <v>6.2619999999999996</v>
      </c>
      <c r="AR184" s="9">
        <v>6.2619999999999996</v>
      </c>
      <c r="AS184" s="9">
        <v>2.17</v>
      </c>
      <c r="AT184" s="9">
        <v>0.31</v>
      </c>
      <c r="AU184" s="9">
        <v>0.39</v>
      </c>
      <c r="AV184" s="9">
        <v>0.45</v>
      </c>
      <c r="AW184" s="9">
        <v>0.2</v>
      </c>
      <c r="AX184" s="9">
        <f>Tabelle1[[#This Row],[Vitamin D3 '[µg/100g']]]*40</f>
        <v>0</v>
      </c>
      <c r="AY184" s="9">
        <f>Tabelle1[[#This Row],[Vitamin A '[µg/100g']]]*3.33</f>
        <v>13.32</v>
      </c>
      <c r="AZ184" s="9">
        <f>Tabelle1[[#This Row],[Vitamin E '[mg/100g']]]*1.49</f>
        <v>33.077999999999996</v>
      </c>
    </row>
    <row r="185" spans="1:52" hidden="1" x14ac:dyDescent="0.45">
      <c r="A185" t="s">
        <v>934</v>
      </c>
      <c r="B185" s="14" t="s">
        <v>922</v>
      </c>
      <c r="C185" s="14" t="s">
        <v>923</v>
      </c>
      <c r="D185" s="15">
        <v>662</v>
      </c>
      <c r="E185" s="11">
        <f>Tabelle1[[#This Row],[Energie '[kcal/100g']]]/239</f>
        <v>2.7698744769874475</v>
      </c>
      <c r="F185" s="15">
        <v>16.25</v>
      </c>
      <c r="G185" s="11">
        <f>Tabelle1[[#This Row],[Rohprotein '[g/100g']]]*0.85</f>
        <v>13.8125</v>
      </c>
      <c r="H185" s="15">
        <v>63.3</v>
      </c>
      <c r="I185" s="11">
        <f>Tabelle1[[#This Row],[TS]]-Tabelle1[[#This Row],[Rohprotein '[g/100g']]]-Tabelle1[[#This Row],[Rohfett '[g/100g']]]-Tabelle1[[#This Row],[Rohasche '[g/100g']]]-Tabelle1[[#This Row],[Rohfaser '[g/100g']]]</f>
        <v>11.470000000000002</v>
      </c>
      <c r="J185" s="11">
        <v>0</v>
      </c>
      <c r="K185" s="15">
        <v>2.48</v>
      </c>
      <c r="L185" s="15">
        <v>6.5</v>
      </c>
      <c r="M185" s="15">
        <f>100-Tabelle1[[#This Row],[Wasser '[g/100g']]]</f>
        <v>93.5</v>
      </c>
      <c r="N185" s="15">
        <v>149</v>
      </c>
      <c r="O185" s="15">
        <v>288</v>
      </c>
      <c r="P185" s="15">
        <v>163</v>
      </c>
      <c r="Q185" s="15">
        <v>0</v>
      </c>
      <c r="R185" s="15">
        <v>745</v>
      </c>
      <c r="S185" s="15"/>
      <c r="T185" s="15">
        <v>3.43</v>
      </c>
      <c r="U185" s="15">
        <v>2.5299999999999998</v>
      </c>
      <c r="V185" s="11">
        <v>0</v>
      </c>
      <c r="W185" s="15">
        <v>1534</v>
      </c>
      <c r="X185" s="15">
        <v>6410</v>
      </c>
      <c r="Y185" s="15">
        <v>1</v>
      </c>
      <c r="Z185" s="15"/>
      <c r="AA185" s="15">
        <v>0</v>
      </c>
      <c r="AB185" s="15">
        <v>20.9</v>
      </c>
      <c r="AC185" s="15">
        <v>2</v>
      </c>
      <c r="AD185" s="15">
        <v>0.23</v>
      </c>
      <c r="AE185" s="15">
        <v>0.105</v>
      </c>
      <c r="AF185" s="15">
        <v>0.99399999999999999</v>
      </c>
      <c r="AG185" s="15">
        <v>396</v>
      </c>
      <c r="AH185" s="15">
        <v>0</v>
      </c>
      <c r="AI185" s="15">
        <v>0</v>
      </c>
      <c r="AJ185" s="15">
        <v>5.6</v>
      </c>
      <c r="AK185" s="15">
        <v>44.8</v>
      </c>
      <c r="AL185" s="15">
        <v>58.5</v>
      </c>
      <c r="AM185" s="15">
        <v>0</v>
      </c>
      <c r="AN185" s="15">
        <v>5.7000000000000002E-2</v>
      </c>
      <c r="AO185" s="15">
        <v>0</v>
      </c>
      <c r="AP185" s="15">
        <v>0</v>
      </c>
      <c r="AQ185" s="15">
        <v>6.2619999999999996</v>
      </c>
      <c r="AR185" s="15">
        <v>6.2619999999999996</v>
      </c>
      <c r="AS185" s="15">
        <v>2.17</v>
      </c>
      <c r="AT185" s="15">
        <v>0.31</v>
      </c>
      <c r="AU185" s="15">
        <v>0.39</v>
      </c>
      <c r="AV185" s="15">
        <v>0.45</v>
      </c>
      <c r="AW185" s="15">
        <v>0.2</v>
      </c>
      <c r="AX185" s="9">
        <f>Tabelle1[[#This Row],[Vitamin D3 '[µg/100g']]]*40</f>
        <v>0</v>
      </c>
      <c r="AY185" s="9">
        <f>Tabelle1[[#This Row],[Vitamin A '[µg/100g']]]*3.33</f>
        <v>6.66</v>
      </c>
      <c r="AZ185" s="9">
        <f>Tabelle1[[#This Row],[Vitamin E '[mg/100g']]]*1.49</f>
        <v>31.140999999999998</v>
      </c>
    </row>
    <row r="186" spans="1:52" hidden="1" x14ac:dyDescent="0.45">
      <c r="A186" t="s">
        <v>934</v>
      </c>
      <c r="B186" t="s">
        <v>926</v>
      </c>
      <c r="C186" t="s">
        <v>927</v>
      </c>
      <c r="D186" s="9">
        <v>669</v>
      </c>
      <c r="E186" s="11">
        <f>Tabelle1[[#This Row],[Energie '[kcal/100g']]]/239</f>
        <v>2.7991631799163179</v>
      </c>
      <c r="F186" s="9">
        <v>16.414000000000001</v>
      </c>
      <c r="G186" s="11">
        <f>Tabelle1[[#This Row],[Rohprotein '[g/100g']]]*0.85</f>
        <v>13.9519</v>
      </c>
      <c r="H186" s="9">
        <v>63.939</v>
      </c>
      <c r="I186" s="11">
        <f>Tabelle1[[#This Row],[TS]]-Tabelle1[[#This Row],[Rohprotein '[g/100g']]]-Tabelle1[[#This Row],[Rohfett '[g/100g']]]-Tabelle1[[#This Row],[Rohasche '[g/100g']]]-Tabelle1[[#This Row],[Rohfaser '[g/100g']]]</f>
        <v>11.542000000000005</v>
      </c>
      <c r="J186" s="11">
        <v>0</v>
      </c>
      <c r="K186" s="9">
        <v>2.5049999999999999</v>
      </c>
      <c r="L186" s="9">
        <v>5.6</v>
      </c>
      <c r="M186" s="9">
        <f>100-Tabelle1[[#This Row],[Wasser '[g/100g']]]</f>
        <v>94.4</v>
      </c>
      <c r="N186" s="9">
        <v>151</v>
      </c>
      <c r="O186" s="9">
        <v>291</v>
      </c>
      <c r="P186" s="9">
        <v>165</v>
      </c>
      <c r="Q186" s="9">
        <v>0</v>
      </c>
      <c r="R186" s="9">
        <v>753</v>
      </c>
      <c r="T186" s="9">
        <v>3.4649999999999999</v>
      </c>
      <c r="U186" s="9">
        <v>2.101</v>
      </c>
      <c r="V186" s="11">
        <v>0</v>
      </c>
      <c r="W186" s="9">
        <v>1616</v>
      </c>
      <c r="X186" s="9">
        <v>6400</v>
      </c>
      <c r="Y186" s="9">
        <v>1</v>
      </c>
      <c r="AA186" s="9">
        <v>0</v>
      </c>
      <c r="AB186" s="9">
        <v>21.1</v>
      </c>
      <c r="AC186" s="9">
        <v>3</v>
      </c>
      <c r="AD186" s="9">
        <v>0.23200000000000001</v>
      </c>
      <c r="AE186" s="9">
        <v>0.106</v>
      </c>
      <c r="AF186" s="9">
        <v>1.004</v>
      </c>
      <c r="AG186" s="9">
        <v>400</v>
      </c>
      <c r="AH186" s="9">
        <v>0</v>
      </c>
      <c r="AI186" s="9">
        <v>0</v>
      </c>
      <c r="AJ186" s="9">
        <v>11.2</v>
      </c>
      <c r="AK186" s="9">
        <v>45.3</v>
      </c>
      <c r="AL186" s="9">
        <v>59.1</v>
      </c>
      <c r="AM186" s="9">
        <v>0</v>
      </c>
      <c r="AN186" s="9">
        <v>5.8000000000000003E-2</v>
      </c>
      <c r="AO186" s="9">
        <v>0</v>
      </c>
      <c r="AP186" s="9">
        <v>0</v>
      </c>
      <c r="AQ186" s="9">
        <v>6.3250000000000002</v>
      </c>
      <c r="AR186" s="9">
        <v>6.3250000000000002</v>
      </c>
      <c r="AS186" s="9">
        <v>2.1920000000000002</v>
      </c>
      <c r="AT186" s="9">
        <v>0.313</v>
      </c>
      <c r="AU186" s="9">
        <v>0.39400000000000002</v>
      </c>
      <c r="AV186" s="9">
        <v>0.45500000000000002</v>
      </c>
      <c r="AW186" s="9">
        <v>0.20200000000000001</v>
      </c>
      <c r="AX186" s="9">
        <f>Tabelle1[[#This Row],[Vitamin D3 '[µg/100g']]]*40</f>
        <v>0</v>
      </c>
      <c r="AY186" s="9">
        <f>Tabelle1[[#This Row],[Vitamin A '[µg/100g']]]*3.33</f>
        <v>9.99</v>
      </c>
      <c r="AZ186" s="9">
        <f>Tabelle1[[#This Row],[Vitamin E '[mg/100g']]]*1.49</f>
        <v>31.439000000000004</v>
      </c>
    </row>
    <row r="187" spans="1:52" hidden="1" x14ac:dyDescent="0.45">
      <c r="A187" t="s">
        <v>916</v>
      </c>
      <c r="B187" s="14" t="s">
        <v>906</v>
      </c>
      <c r="C187" s="14" t="s">
        <v>907</v>
      </c>
      <c r="D187" s="15">
        <v>61</v>
      </c>
      <c r="E187" s="11">
        <f>Tabelle1[[#This Row],[Energie '[kcal/100g']]]/239</f>
        <v>0.25523012552301255</v>
      </c>
      <c r="F187" s="15">
        <v>0.5</v>
      </c>
      <c r="G187" s="11">
        <f>Tabelle1[[#This Row],[Rohprotein '[g/100g']]]*0.85</f>
        <v>0.42499999999999999</v>
      </c>
      <c r="H187" s="15">
        <v>0.6</v>
      </c>
      <c r="I187" s="11">
        <f>Tabelle1[[#This Row],[TS]]-Tabelle1[[#This Row],[Rohprotein '[g/100g']]]-Tabelle1[[#This Row],[Rohfett '[g/100g']]]-Tabelle1[[#This Row],[Rohasche '[g/100g']]]-Tabelle1[[#This Row],[Rohfaser '[g/100g']]]</f>
        <v>12.175000000000001</v>
      </c>
      <c r="J187" s="11">
        <v>0</v>
      </c>
      <c r="K187" s="15">
        <v>0.22500000000000001</v>
      </c>
      <c r="L187" s="15">
        <v>86.5</v>
      </c>
      <c r="M187" s="15">
        <f>100-Tabelle1[[#This Row],[Wasser '[g/100g']]]</f>
        <v>13.5</v>
      </c>
      <c r="N187" s="15">
        <v>11</v>
      </c>
      <c r="O187" s="15">
        <v>13</v>
      </c>
      <c r="P187" s="15">
        <v>6</v>
      </c>
      <c r="Q187" s="15">
        <v>2</v>
      </c>
      <c r="R187" s="15">
        <v>84</v>
      </c>
      <c r="S187" s="15"/>
      <c r="T187" s="15">
        <v>0.70799999999999996</v>
      </c>
      <c r="U187" s="15">
        <v>0.14000000000000001</v>
      </c>
      <c r="V187" s="11">
        <v>0</v>
      </c>
      <c r="W187" s="15">
        <v>73</v>
      </c>
      <c r="X187" s="15">
        <v>2020</v>
      </c>
      <c r="Y187" s="15">
        <v>2</v>
      </c>
      <c r="Z187" s="15"/>
      <c r="AA187" s="15">
        <v>0</v>
      </c>
      <c r="AB187" s="15">
        <v>1.2150000000000001</v>
      </c>
      <c r="AC187" s="15">
        <v>9</v>
      </c>
      <c r="AD187" s="15">
        <v>0.04</v>
      </c>
      <c r="AE187" s="15">
        <v>0.04</v>
      </c>
      <c r="AF187" s="15">
        <v>0.3</v>
      </c>
      <c r="AG187" s="15">
        <v>6.77</v>
      </c>
      <c r="AH187" s="15">
        <v>0</v>
      </c>
      <c r="AI187" s="15">
        <v>22</v>
      </c>
      <c r="AJ187" s="15">
        <v>16</v>
      </c>
      <c r="AK187" s="15">
        <v>12</v>
      </c>
      <c r="AL187" s="15">
        <v>1.5</v>
      </c>
      <c r="AM187" s="15">
        <v>0</v>
      </c>
      <c r="AN187" s="15">
        <v>0.184194</v>
      </c>
      <c r="AO187" s="15">
        <v>0</v>
      </c>
      <c r="AP187" s="15">
        <v>0</v>
      </c>
      <c r="AQ187" s="15">
        <v>0.217194</v>
      </c>
      <c r="AR187" s="15">
        <v>0.217194</v>
      </c>
      <c r="AS187" s="15">
        <v>7.8E-2</v>
      </c>
      <c r="AT187" s="15">
        <v>6.0000000000000001E-3</v>
      </c>
      <c r="AU187" s="15">
        <v>0</v>
      </c>
      <c r="AV187" s="15">
        <v>3.5999999999999997E-2</v>
      </c>
      <c r="AW187" s="15">
        <v>0</v>
      </c>
      <c r="AX187" s="9">
        <f>Tabelle1[[#This Row],[Vitamin D3 '[µg/100g']]]*40</f>
        <v>0</v>
      </c>
      <c r="AY187" s="9">
        <f>Tabelle1[[#This Row],[Vitamin A '[µg/100g']]]*3.33</f>
        <v>29.97</v>
      </c>
      <c r="AZ187" s="9">
        <f>Tabelle1[[#This Row],[Vitamin E '[mg/100g']]]*1.49</f>
        <v>1.8103500000000001</v>
      </c>
    </row>
    <row r="188" spans="1:52" hidden="1" x14ac:dyDescent="0.45">
      <c r="A188" t="s">
        <v>916</v>
      </c>
      <c r="B188" s="14" t="s">
        <v>908</v>
      </c>
      <c r="C188" s="14" t="s">
        <v>909</v>
      </c>
      <c r="D188" s="15">
        <v>302</v>
      </c>
      <c r="E188" s="11">
        <f>Tabelle1[[#This Row],[Energie '[kcal/100g']]]/239</f>
        <v>1.2635983263598327</v>
      </c>
      <c r="F188" s="15">
        <v>7</v>
      </c>
      <c r="G188" s="11">
        <f>Tabelle1[[#This Row],[Rohprotein '[g/100g']]]*0.85</f>
        <v>5.95</v>
      </c>
      <c r="H188" s="15">
        <v>2.1030000000000002</v>
      </c>
      <c r="I188" s="11">
        <f>Tabelle1[[#This Row],[TS]]-Tabelle1[[#This Row],[Rohprotein '[g/100g']]]-Tabelle1[[#This Row],[Rohfett '[g/100g']]]-Tabelle1[[#This Row],[Rohasche '[g/100g']]]-Tabelle1[[#This Row],[Rohfaser '[g/100g']]]</f>
        <v>84.217000000000013</v>
      </c>
      <c r="J188" s="11">
        <v>0</v>
      </c>
      <c r="K188" s="15">
        <v>2.8</v>
      </c>
      <c r="L188" s="15">
        <v>3.88</v>
      </c>
      <c r="M188" s="15">
        <f>100-Tabelle1[[#This Row],[Wasser '[g/100g']]]</f>
        <v>96.12</v>
      </c>
      <c r="N188" s="15">
        <v>91</v>
      </c>
      <c r="O188" s="15">
        <v>196</v>
      </c>
      <c r="P188" s="15">
        <v>126</v>
      </c>
      <c r="Q188" s="15">
        <v>3.5</v>
      </c>
      <c r="R188" s="15">
        <v>1206</v>
      </c>
      <c r="S188" s="15"/>
      <c r="T188" s="15">
        <v>4.2</v>
      </c>
      <c r="U188" s="15">
        <v>2.1</v>
      </c>
      <c r="V188" s="11">
        <v>0</v>
      </c>
      <c r="W188" s="15">
        <v>490</v>
      </c>
      <c r="X188" s="15">
        <v>3080</v>
      </c>
      <c r="Y188" s="15">
        <v>30.8</v>
      </c>
      <c r="Z188" s="15"/>
      <c r="AA188" s="15">
        <v>0</v>
      </c>
      <c r="AB188" s="15">
        <v>5.54</v>
      </c>
      <c r="AC188" s="15">
        <v>22</v>
      </c>
      <c r="AD188" s="15">
        <v>0.05</v>
      </c>
      <c r="AE188" s="15">
        <v>0.06</v>
      </c>
      <c r="AF188" s="15">
        <v>3.2</v>
      </c>
      <c r="AG188" s="15">
        <v>570</v>
      </c>
      <c r="AH188" s="15">
        <v>0</v>
      </c>
      <c r="AI188" s="15">
        <v>34</v>
      </c>
      <c r="AJ188" s="15">
        <v>63.1</v>
      </c>
      <c r="AK188" s="15">
        <v>154</v>
      </c>
      <c r="AL188" s="15">
        <v>10.1</v>
      </c>
      <c r="AM188" s="15">
        <v>0</v>
      </c>
      <c r="AN188" s="15">
        <v>0.45600000000000002</v>
      </c>
      <c r="AO188" s="15">
        <v>0</v>
      </c>
      <c r="AP188" s="15">
        <v>0</v>
      </c>
      <c r="AQ188" s="15">
        <v>0.91100000000000003</v>
      </c>
      <c r="AR188" s="15">
        <v>0.91100000000000003</v>
      </c>
      <c r="AS188" s="15">
        <v>0.36699999999999999</v>
      </c>
      <c r="AT188" s="15">
        <v>6.9000000000000006E-2</v>
      </c>
      <c r="AU188" s="15">
        <v>0.152</v>
      </c>
      <c r="AV188" s="15">
        <v>0.38</v>
      </c>
      <c r="AW188" s="15">
        <v>0</v>
      </c>
      <c r="AX188" s="9">
        <f>Tabelle1[[#This Row],[Vitamin D3 '[µg/100g']]]*40</f>
        <v>0</v>
      </c>
      <c r="AY188" s="9">
        <f>Tabelle1[[#This Row],[Vitamin A '[µg/100g']]]*3.33</f>
        <v>73.260000000000005</v>
      </c>
      <c r="AZ188" s="9">
        <f>Tabelle1[[#This Row],[Vitamin E '[mg/100g']]]*1.49</f>
        <v>8.2545999999999999</v>
      </c>
    </row>
    <row r="189" spans="1:52" hidden="1" x14ac:dyDescent="0.45">
      <c r="A189" t="s">
        <v>916</v>
      </c>
      <c r="B189" t="s">
        <v>910</v>
      </c>
      <c r="C189" t="s">
        <v>911</v>
      </c>
      <c r="D189" s="9">
        <v>43</v>
      </c>
      <c r="E189" s="11">
        <f>Tabelle1[[#This Row],[Energie '[kcal/100g']]]/239</f>
        <v>0.1799163179916318</v>
      </c>
      <c r="F189" s="9">
        <v>1</v>
      </c>
      <c r="G189" s="11">
        <f>Tabelle1[[#This Row],[Rohprotein '[g/100g']]]*0.85</f>
        <v>0.85</v>
      </c>
      <c r="H189" s="9">
        <v>0.3</v>
      </c>
      <c r="I189" s="11">
        <f>Tabelle1[[#This Row],[TS]]-Tabelle1[[#This Row],[Rohprotein '[g/100g']]]-Tabelle1[[#This Row],[Rohfett '[g/100g']]]-Tabelle1[[#This Row],[Rohasche '[g/100g']]]-Tabelle1[[#This Row],[Rohfaser '[g/100g']]]</f>
        <v>12.200000000000005</v>
      </c>
      <c r="J189" s="11">
        <v>0</v>
      </c>
      <c r="K189" s="9">
        <v>0.4</v>
      </c>
      <c r="L189" s="9">
        <v>86.1</v>
      </c>
      <c r="M189" s="9">
        <f>100-Tabelle1[[#This Row],[Wasser '[g/100g']]]</f>
        <v>13.900000000000006</v>
      </c>
      <c r="N189" s="9">
        <v>13</v>
      </c>
      <c r="O189" s="9">
        <v>28</v>
      </c>
      <c r="P189" s="9">
        <v>18</v>
      </c>
      <c r="Q189" s="9">
        <v>0</v>
      </c>
      <c r="R189" s="9">
        <v>172</v>
      </c>
      <c r="T189" s="9">
        <v>0.6</v>
      </c>
      <c r="U189" s="9">
        <v>0.3</v>
      </c>
      <c r="V189" s="11">
        <v>0</v>
      </c>
      <c r="W189" s="9">
        <v>70</v>
      </c>
      <c r="X189" s="9">
        <v>440</v>
      </c>
      <c r="Y189" s="9">
        <v>4.4000000000000004</v>
      </c>
      <c r="AA189" s="9">
        <v>0</v>
      </c>
      <c r="AB189" s="9">
        <v>0.79</v>
      </c>
      <c r="AC189" s="9">
        <v>4</v>
      </c>
      <c r="AD189" s="9">
        <v>0.01</v>
      </c>
      <c r="AE189" s="9">
        <v>0.01</v>
      </c>
      <c r="AF189" s="9">
        <v>0.5</v>
      </c>
      <c r="AG189" s="9">
        <v>90</v>
      </c>
      <c r="AH189" s="9">
        <v>0</v>
      </c>
      <c r="AI189" s="9">
        <v>24</v>
      </c>
      <c r="AJ189" s="9">
        <v>9</v>
      </c>
      <c r="AK189" s="9">
        <v>44</v>
      </c>
      <c r="AL189" s="9">
        <v>1.6</v>
      </c>
      <c r="AM189" s="9">
        <v>0</v>
      </c>
      <c r="AN189" s="9">
        <v>6.5000000000000002E-2</v>
      </c>
      <c r="AO189" s="9">
        <v>0</v>
      </c>
      <c r="AP189" s="9">
        <v>0</v>
      </c>
      <c r="AQ189" s="9">
        <v>0.13</v>
      </c>
      <c r="AR189" s="9">
        <v>0.13</v>
      </c>
      <c r="AS189" s="9">
        <v>5.2999999999999999E-2</v>
      </c>
      <c r="AT189" s="9">
        <v>0.01</v>
      </c>
      <c r="AU189" s="9">
        <v>2.1999999999999999E-2</v>
      </c>
      <c r="AV189" s="9">
        <v>5.5E-2</v>
      </c>
      <c r="AW189" s="9">
        <v>0</v>
      </c>
      <c r="AX189" s="9">
        <f>Tabelle1[[#This Row],[Vitamin D3 '[µg/100g']]]*40</f>
        <v>0</v>
      </c>
      <c r="AY189" s="9">
        <f>Tabelle1[[#This Row],[Vitamin A '[µg/100g']]]*3.33</f>
        <v>13.32</v>
      </c>
      <c r="AZ189" s="9">
        <f>Tabelle1[[#This Row],[Vitamin E '[mg/100g']]]*1.49</f>
        <v>1.1771</v>
      </c>
    </row>
    <row r="190" spans="1:52" hidden="1" x14ac:dyDescent="0.45">
      <c r="A190" t="s">
        <v>534</v>
      </c>
      <c r="B190" t="s">
        <v>440</v>
      </c>
      <c r="C190" t="s">
        <v>441</v>
      </c>
      <c r="D190" s="9">
        <v>352</v>
      </c>
      <c r="E190" s="13">
        <f>Tabelle1[[#This Row],[Energie '[kcal/100g']]]/239</f>
        <v>1.4728033472803348</v>
      </c>
      <c r="F190" s="9">
        <v>11.79</v>
      </c>
      <c r="G190" s="13">
        <f>Tabelle1[[#This Row],[Rohprotein '[g/100g']]]*0.85</f>
        <v>10.0215</v>
      </c>
      <c r="H190" s="9">
        <v>3.13</v>
      </c>
      <c r="I190" s="11">
        <f>Tabelle1[[#This Row],[TS]]-Tabelle1[[#This Row],[Rohprotein '[g/100g']]]-Tabelle1[[#This Row],[Rohfett '[g/100g']]]-Tabelle1[[#This Row],[Rohasche '[g/100g']]]-Tabelle1[[#This Row],[Rohfaser '[g/100g']]]</f>
        <v>72.070000000000007</v>
      </c>
      <c r="J190" s="11">
        <v>0</v>
      </c>
      <c r="K190" s="9">
        <v>1.01</v>
      </c>
      <c r="L190" s="9">
        <v>12</v>
      </c>
      <c r="M190" s="9">
        <f>100-Tabelle1[[#This Row],[Wasser '[g/100g']]]</f>
        <v>88</v>
      </c>
      <c r="N190" s="9">
        <v>8.1999999999999993</v>
      </c>
      <c r="O190" s="9">
        <v>227.3</v>
      </c>
      <c r="P190" s="9">
        <v>94.2</v>
      </c>
      <c r="Q190" s="9">
        <v>0.4</v>
      </c>
      <c r="R190" s="9">
        <v>169.5</v>
      </c>
      <c r="T190" s="9">
        <v>2.7307999999999999</v>
      </c>
      <c r="U190" s="9">
        <v>2.9047000000000001</v>
      </c>
      <c r="V190" s="11">
        <v>0</v>
      </c>
      <c r="W190" s="9">
        <v>464.9</v>
      </c>
      <c r="X190" s="9">
        <v>672</v>
      </c>
      <c r="Y190" s="9">
        <v>2.5</v>
      </c>
      <c r="AA190" s="9">
        <v>0</v>
      </c>
      <c r="AB190" s="9">
        <v>0.1</v>
      </c>
      <c r="AC190" s="9">
        <v>0</v>
      </c>
      <c r="AD190" s="9">
        <v>0.41556399999999999</v>
      </c>
      <c r="AE190" s="9">
        <v>6.1053000000000003E-2</v>
      </c>
      <c r="AF190" s="9">
        <v>0.38</v>
      </c>
      <c r="AG190" s="9">
        <v>519</v>
      </c>
      <c r="AH190" s="9">
        <v>0</v>
      </c>
      <c r="AI190" s="9">
        <v>0</v>
      </c>
      <c r="AJ190" s="9">
        <v>0.122</v>
      </c>
      <c r="AK190" s="9">
        <v>0</v>
      </c>
      <c r="AL190" s="9">
        <v>0.7</v>
      </c>
      <c r="AM190" s="9">
        <v>0</v>
      </c>
      <c r="AN190" s="9">
        <v>0.09</v>
      </c>
      <c r="AO190" s="9">
        <v>0</v>
      </c>
      <c r="AP190" s="9">
        <v>0</v>
      </c>
      <c r="AQ190" s="9">
        <v>1.29</v>
      </c>
      <c r="AR190" s="9">
        <v>1.29</v>
      </c>
      <c r="AS190" s="9">
        <v>0.34</v>
      </c>
      <c r="AT190" s="9">
        <v>0.18</v>
      </c>
      <c r="AU190" s="9">
        <v>0.22</v>
      </c>
      <c r="AV190" s="9">
        <v>0.15</v>
      </c>
      <c r="AW190" s="9">
        <v>0.34</v>
      </c>
      <c r="AX190" s="9">
        <f>Tabelle1[[#This Row],[Vitamin D3 '[µg/100g']]]*40</f>
        <v>0</v>
      </c>
      <c r="AY190" s="9">
        <f>Tabelle1[[#This Row],[Vitamin A '[µg/100g']]]*3.33</f>
        <v>0</v>
      </c>
      <c r="AZ190" s="9">
        <f>Tabelle1[[#This Row],[Vitamin E '[mg/100g']]]*1.49</f>
        <v>0.14899999999999999</v>
      </c>
    </row>
    <row r="191" spans="1:52" hidden="1" x14ac:dyDescent="0.45">
      <c r="A191" t="s">
        <v>534</v>
      </c>
      <c r="B191" t="s">
        <v>442</v>
      </c>
      <c r="C191" t="s">
        <v>443</v>
      </c>
      <c r="D191" s="9">
        <v>67</v>
      </c>
      <c r="E191" s="13">
        <f>Tabelle1[[#This Row],[Energie '[kcal/100g']]]/239</f>
        <v>0.28033472803347281</v>
      </c>
      <c r="F191" s="9">
        <v>2.23</v>
      </c>
      <c r="G191" s="13">
        <f>Tabelle1[[#This Row],[Rohprotein '[g/100g']]]*0.85</f>
        <v>1.8955</v>
      </c>
      <c r="H191" s="9">
        <v>0.59</v>
      </c>
      <c r="I191" s="11">
        <f>Tabelle1[[#This Row],[TS]]-Tabelle1[[#This Row],[Rohprotein '[g/100g']]]-Tabelle1[[#This Row],[Rohfett '[g/100g']]]-Tabelle1[[#This Row],[Rohasche '[g/100g']]]-Tabelle1[[#This Row],[Rohfaser '[g/100g']]]</f>
        <v>14.619999999999994</v>
      </c>
      <c r="J191" s="11">
        <v>0</v>
      </c>
      <c r="K191" s="9">
        <v>0.16</v>
      </c>
      <c r="L191" s="9">
        <v>82.4</v>
      </c>
      <c r="M191" s="9">
        <f>100-Tabelle1[[#This Row],[Wasser '[g/100g']]]</f>
        <v>17.599999999999994</v>
      </c>
      <c r="N191" s="9">
        <v>1.6</v>
      </c>
      <c r="O191" s="9">
        <v>40.799999999999997</v>
      </c>
      <c r="P191" s="9">
        <v>17.8</v>
      </c>
      <c r="Q191" s="9">
        <v>0.1</v>
      </c>
      <c r="R191" s="9">
        <v>30.4</v>
      </c>
      <c r="T191" s="9">
        <v>0.4904</v>
      </c>
      <c r="U191" s="9">
        <v>0.54910000000000003</v>
      </c>
      <c r="V191" s="11">
        <v>0</v>
      </c>
      <c r="W191" s="9">
        <v>83.5</v>
      </c>
      <c r="X191" s="9">
        <v>127</v>
      </c>
      <c r="Y191" s="9">
        <v>0.4</v>
      </c>
      <c r="AA191" s="9">
        <v>0</v>
      </c>
      <c r="AB191" s="9">
        <v>1.9E-2</v>
      </c>
      <c r="AC191" s="9">
        <v>0</v>
      </c>
      <c r="AD191" s="9">
        <v>6.2844999999999998E-2</v>
      </c>
      <c r="AE191" s="9">
        <v>1.0387E-2</v>
      </c>
      <c r="AF191" s="9">
        <v>0.06</v>
      </c>
      <c r="AG191" s="9">
        <v>88</v>
      </c>
      <c r="AH191" s="9">
        <v>0</v>
      </c>
      <c r="AI191" s="9">
        <v>0</v>
      </c>
      <c r="AJ191" s="9">
        <v>2.3E-2</v>
      </c>
      <c r="AK191" s="9">
        <v>4.5</v>
      </c>
      <c r="AL191" s="9">
        <v>0.12</v>
      </c>
      <c r="AM191" s="9">
        <v>0</v>
      </c>
      <c r="AN191" s="9">
        <v>0.02</v>
      </c>
      <c r="AO191" s="9">
        <v>0</v>
      </c>
      <c r="AP191" s="9">
        <v>0</v>
      </c>
      <c r="AQ191" s="9">
        <v>0.24</v>
      </c>
      <c r="AR191" s="9">
        <v>0.24</v>
      </c>
      <c r="AS191" s="9">
        <v>0.06</v>
      </c>
      <c r="AT191" s="9">
        <v>0.03</v>
      </c>
      <c r="AU191" s="9">
        <v>0.04</v>
      </c>
      <c r="AV191" s="9">
        <v>0.03</v>
      </c>
      <c r="AW191" s="9">
        <v>0.06</v>
      </c>
      <c r="AX191" s="9">
        <f>Tabelle1[[#This Row],[Vitamin D3 '[µg/100g']]]*40</f>
        <v>0</v>
      </c>
      <c r="AY191" s="9">
        <f>Tabelle1[[#This Row],[Vitamin A '[µg/100g']]]*3.33</f>
        <v>0</v>
      </c>
      <c r="AZ191" s="9">
        <f>Tabelle1[[#This Row],[Vitamin E '[mg/100g']]]*1.49</f>
        <v>2.8309999999999998E-2</v>
      </c>
    </row>
    <row r="192" spans="1:52" hidden="1" x14ac:dyDescent="0.45">
      <c r="A192" t="s">
        <v>534</v>
      </c>
      <c r="B192" t="s">
        <v>444</v>
      </c>
      <c r="C192" t="s">
        <v>445</v>
      </c>
      <c r="D192" s="9">
        <v>139</v>
      </c>
      <c r="E192" s="13">
        <f>Tabelle1[[#This Row],[Energie '[kcal/100g']]]/239</f>
        <v>0.58158995815899583</v>
      </c>
      <c r="F192" s="9">
        <v>4.67</v>
      </c>
      <c r="G192" s="13">
        <f>Tabelle1[[#This Row],[Rohprotein '[g/100g']]]*0.85</f>
        <v>3.9695</v>
      </c>
      <c r="H192" s="9">
        <v>1.17</v>
      </c>
      <c r="I192" s="11">
        <f>Tabelle1[[#This Row],[TS]]-Tabelle1[[#This Row],[Rohprotein '[g/100g']]]-Tabelle1[[#This Row],[Rohfett '[g/100g']]]-Tabelle1[[#This Row],[Rohasche '[g/100g']]]-Tabelle1[[#This Row],[Rohfaser '[g/100g']]]</f>
        <v>29.270000000000003</v>
      </c>
      <c r="J192" s="11">
        <v>0</v>
      </c>
      <c r="K192" s="9">
        <v>0.28999999999999998</v>
      </c>
      <c r="L192" s="9">
        <v>64.599999999999994</v>
      </c>
      <c r="M192" s="9">
        <f>100-Tabelle1[[#This Row],[Wasser '[g/100g']]]</f>
        <v>35.400000000000006</v>
      </c>
      <c r="N192" s="9">
        <v>3.4</v>
      </c>
      <c r="O192" s="9">
        <v>90</v>
      </c>
      <c r="P192" s="9">
        <v>39.200000000000003</v>
      </c>
      <c r="Q192" s="9">
        <v>0.1</v>
      </c>
      <c r="R192" s="9">
        <v>53</v>
      </c>
      <c r="T192" s="9">
        <v>1.0809</v>
      </c>
      <c r="U192" s="9">
        <v>1.1860999999999999</v>
      </c>
      <c r="V192" s="11">
        <v>0</v>
      </c>
      <c r="W192" s="9">
        <v>184</v>
      </c>
      <c r="X192" s="9">
        <v>280</v>
      </c>
      <c r="Y192" s="9">
        <v>0.9</v>
      </c>
      <c r="AA192" s="9">
        <v>0</v>
      </c>
      <c r="AB192" s="9">
        <v>4.2000000000000003E-2</v>
      </c>
      <c r="AC192" s="9">
        <v>0</v>
      </c>
      <c r="AD192" s="9">
        <v>0.112549</v>
      </c>
      <c r="AE192" s="9">
        <v>1.7807E-2</v>
      </c>
      <c r="AF192" s="9">
        <v>0.13</v>
      </c>
      <c r="AG192" s="9">
        <v>151</v>
      </c>
      <c r="AH192" s="9">
        <v>0</v>
      </c>
      <c r="AI192" s="9">
        <v>0</v>
      </c>
      <c r="AJ192" s="9">
        <v>5.0999999999999997E-2</v>
      </c>
      <c r="AK192" s="9">
        <v>9.9</v>
      </c>
      <c r="AL192" s="9">
        <v>0.22</v>
      </c>
      <c r="AM192" s="9">
        <v>0</v>
      </c>
      <c r="AN192" s="9">
        <v>3.4799999999999998E-2</v>
      </c>
      <c r="AO192" s="9">
        <v>0</v>
      </c>
      <c r="AP192" s="9">
        <v>0</v>
      </c>
      <c r="AQ192" s="9">
        <v>0.48</v>
      </c>
      <c r="AR192" s="9">
        <v>0.48</v>
      </c>
      <c r="AS192" s="9">
        <v>0.14000000000000001</v>
      </c>
      <c r="AT192" s="9">
        <v>7.0000000000000007E-2</v>
      </c>
      <c r="AU192" s="9">
        <v>0.09</v>
      </c>
      <c r="AV192" s="9">
        <v>0.06</v>
      </c>
      <c r="AW192" s="9">
        <v>0.13</v>
      </c>
      <c r="AX192" s="9">
        <f>Tabelle1[[#This Row],[Vitamin D3 '[µg/100g']]]*40</f>
        <v>0</v>
      </c>
      <c r="AY192" s="9">
        <f>Tabelle1[[#This Row],[Vitamin A '[µg/100g']]]*3.33</f>
        <v>0</v>
      </c>
      <c r="AZ192" s="9">
        <f>Tabelle1[[#This Row],[Vitamin E '[mg/100g']]]*1.49</f>
        <v>6.2579999999999997E-2</v>
      </c>
    </row>
    <row r="193" spans="1:52" hidden="1" x14ac:dyDescent="0.45">
      <c r="A193" t="s">
        <v>534</v>
      </c>
      <c r="B193" t="s">
        <v>446</v>
      </c>
      <c r="C193" t="s">
        <v>447</v>
      </c>
      <c r="D193" s="9">
        <v>378</v>
      </c>
      <c r="E193" s="13">
        <f>Tabelle1[[#This Row],[Energie '[kcal/100g']]]/239</f>
        <v>1.5815899581589958</v>
      </c>
      <c r="F193" s="9">
        <v>11.6</v>
      </c>
      <c r="G193" s="13">
        <f>Tabelle1[[#This Row],[Rohprotein '[g/100g']]]*0.85</f>
        <v>9.86</v>
      </c>
      <c r="H193" s="9">
        <v>4.25</v>
      </c>
      <c r="I193" s="11">
        <f>Tabelle1[[#This Row],[TS]]-Tabelle1[[#This Row],[Rohprotein '[g/100g']]]-Tabelle1[[#This Row],[Rohfett '[g/100g']]]-Tabelle1[[#This Row],[Rohasche '[g/100g']]]-Tabelle1[[#This Row],[Rohfaser '[g/100g']]]</f>
        <v>69.640000000000015</v>
      </c>
      <c r="J193" s="11">
        <v>0</v>
      </c>
      <c r="K193" s="9">
        <v>1.21</v>
      </c>
      <c r="L193" s="9">
        <v>13.3</v>
      </c>
      <c r="M193" s="9">
        <f>100-Tabelle1[[#This Row],[Wasser '[g/100g']]]</f>
        <v>86.7</v>
      </c>
      <c r="N193" s="9">
        <v>21</v>
      </c>
      <c r="O193" s="9">
        <v>262</v>
      </c>
      <c r="P193" s="9">
        <v>110</v>
      </c>
      <c r="Q193" s="9">
        <v>12</v>
      </c>
      <c r="R193" s="9">
        <v>271</v>
      </c>
      <c r="T193" s="9">
        <v>4.4000000000000004</v>
      </c>
      <c r="U193" s="9">
        <v>3</v>
      </c>
      <c r="V193" s="11">
        <v>0</v>
      </c>
      <c r="W193" s="9">
        <v>510</v>
      </c>
      <c r="X193" s="9">
        <v>860</v>
      </c>
      <c r="Y193" s="9">
        <v>2.5</v>
      </c>
      <c r="AA193" s="9">
        <v>0</v>
      </c>
      <c r="AB193" s="9">
        <v>0.11</v>
      </c>
      <c r="AC193" s="9">
        <v>0</v>
      </c>
      <c r="AD193" s="9">
        <v>0.55000000000000004</v>
      </c>
      <c r="AE193" s="9">
        <v>0.13</v>
      </c>
      <c r="AF193" s="9">
        <v>3.8</v>
      </c>
      <c r="AG193" s="9">
        <v>372</v>
      </c>
      <c r="AH193" s="9">
        <v>0</v>
      </c>
      <c r="AI193" s="9">
        <v>0</v>
      </c>
      <c r="AJ193" s="9">
        <v>0.8</v>
      </c>
      <c r="AK193" s="9">
        <v>0</v>
      </c>
      <c r="AL193" s="9">
        <v>0.7</v>
      </c>
      <c r="AM193" s="9">
        <v>0</v>
      </c>
      <c r="AN193" s="9">
        <v>4.3999999999999997E-2</v>
      </c>
      <c r="AO193" s="9">
        <v>0</v>
      </c>
      <c r="AP193" s="9">
        <v>0</v>
      </c>
      <c r="AQ193" s="9">
        <v>2.5499999999999998</v>
      </c>
      <c r="AR193" s="9">
        <v>2.5499999999999998</v>
      </c>
      <c r="AS193" s="9">
        <v>0.37</v>
      </c>
      <c r="AT193" s="9">
        <v>0.17799999999999999</v>
      </c>
      <c r="AU193" s="9">
        <v>0.25700000000000001</v>
      </c>
      <c r="AV193" s="9">
        <v>0.14399999999999999</v>
      </c>
      <c r="AW193" s="9">
        <v>0.31900000000000001</v>
      </c>
      <c r="AX193" s="9">
        <f>Tabelle1[[#This Row],[Vitamin D3 '[µg/100g']]]*40</f>
        <v>0</v>
      </c>
      <c r="AY193" s="9">
        <f>Tabelle1[[#This Row],[Vitamin A '[µg/100g']]]*3.33</f>
        <v>0</v>
      </c>
      <c r="AZ193" s="9">
        <f>Tabelle1[[#This Row],[Vitamin E '[mg/100g']]]*1.49</f>
        <v>0.16389999999999999</v>
      </c>
    </row>
    <row r="194" spans="1:52" hidden="1" x14ac:dyDescent="0.45">
      <c r="A194" t="s">
        <v>534</v>
      </c>
      <c r="B194" t="s">
        <v>448</v>
      </c>
      <c r="C194" t="s">
        <v>449</v>
      </c>
      <c r="D194" s="9">
        <v>352</v>
      </c>
      <c r="E194" s="13">
        <f>Tabelle1[[#This Row],[Energie '[kcal/100g']]]/239</f>
        <v>1.4728033472803348</v>
      </c>
      <c r="F194" s="9">
        <v>11.79</v>
      </c>
      <c r="G194" s="13">
        <f>Tabelle1[[#This Row],[Rohprotein '[g/100g']]]*0.85</f>
        <v>10.0215</v>
      </c>
      <c r="H194" s="9">
        <v>3.13</v>
      </c>
      <c r="I194" s="11">
        <f>Tabelle1[[#This Row],[TS]]-Tabelle1[[#This Row],[Rohprotein '[g/100g']]]-Tabelle1[[#This Row],[Rohfett '[g/100g']]]-Tabelle1[[#This Row],[Rohasche '[g/100g']]]-Tabelle1[[#This Row],[Rohfaser '[g/100g']]]</f>
        <v>72.070000000000007</v>
      </c>
      <c r="J194" s="11">
        <v>0</v>
      </c>
      <c r="K194" s="9">
        <v>1.01</v>
      </c>
      <c r="L194" s="9">
        <v>12</v>
      </c>
      <c r="M194" s="9">
        <f>100-Tabelle1[[#This Row],[Wasser '[g/100g']]]</f>
        <v>88</v>
      </c>
      <c r="N194" s="9">
        <v>8.1999999999999993</v>
      </c>
      <c r="O194" s="9">
        <v>227.3</v>
      </c>
      <c r="P194" s="9">
        <v>94.2</v>
      </c>
      <c r="Q194" s="9">
        <v>0.4</v>
      </c>
      <c r="R194" s="9">
        <v>169.5</v>
      </c>
      <c r="T194" s="9">
        <v>2.7307999999999999</v>
      </c>
      <c r="U194" s="9">
        <v>2.9047000000000001</v>
      </c>
      <c r="V194" s="11">
        <v>0</v>
      </c>
      <c r="W194" s="9">
        <v>464.9</v>
      </c>
      <c r="X194" s="9">
        <v>672</v>
      </c>
      <c r="Y194" s="9">
        <v>2.5</v>
      </c>
      <c r="AA194" s="9">
        <v>0</v>
      </c>
      <c r="AB194" s="9">
        <v>0.1</v>
      </c>
      <c r="AC194" s="9">
        <v>0</v>
      </c>
      <c r="AD194" s="9">
        <v>0.41556399999999999</v>
      </c>
      <c r="AE194" s="9">
        <v>6.1053000000000003E-2</v>
      </c>
      <c r="AF194" s="9">
        <v>0.38</v>
      </c>
      <c r="AG194" s="9">
        <v>519</v>
      </c>
      <c r="AH194" s="9">
        <v>0</v>
      </c>
      <c r="AI194" s="9">
        <v>0</v>
      </c>
      <c r="AJ194" s="9">
        <v>0.122</v>
      </c>
      <c r="AK194" s="9">
        <v>3</v>
      </c>
      <c r="AL194" s="9">
        <v>0.7</v>
      </c>
      <c r="AM194" s="9">
        <v>0</v>
      </c>
      <c r="AN194" s="9">
        <v>9.2700000000000005E-2</v>
      </c>
      <c r="AO194" s="9">
        <v>0</v>
      </c>
      <c r="AP194" s="9">
        <v>0</v>
      </c>
      <c r="AQ194" s="9">
        <v>1.29</v>
      </c>
      <c r="AR194" s="9">
        <v>1.29</v>
      </c>
      <c r="AS194" s="9">
        <v>0.35</v>
      </c>
      <c r="AT194" s="9">
        <v>0.18</v>
      </c>
      <c r="AU194" s="9">
        <v>0.22</v>
      </c>
      <c r="AV194" s="9">
        <v>0.14000000000000001</v>
      </c>
      <c r="AW194" s="9">
        <v>0.34</v>
      </c>
      <c r="AX194" s="9">
        <f>Tabelle1[[#This Row],[Vitamin D3 '[µg/100g']]]*40</f>
        <v>0</v>
      </c>
      <c r="AY194" s="9">
        <f>Tabelle1[[#This Row],[Vitamin A '[µg/100g']]]*3.33</f>
        <v>0</v>
      </c>
      <c r="AZ194" s="9">
        <f>Tabelle1[[#This Row],[Vitamin E '[mg/100g']]]*1.49</f>
        <v>0.14899999999999999</v>
      </c>
    </row>
    <row r="195" spans="1:52" hidden="1" x14ac:dyDescent="0.45">
      <c r="A195" t="s">
        <v>1189</v>
      </c>
      <c r="C195" t="s">
        <v>1260</v>
      </c>
      <c r="D195" s="9">
        <v>116</v>
      </c>
      <c r="E195" s="11">
        <v>0.49</v>
      </c>
      <c r="F195" s="9">
        <v>14.9</v>
      </c>
      <c r="G195" s="11">
        <v>12.7</v>
      </c>
      <c r="H195" s="9">
        <v>7.5</v>
      </c>
      <c r="I195" s="11">
        <v>0</v>
      </c>
      <c r="J195" s="11">
        <v>0.7</v>
      </c>
      <c r="K195" s="9">
        <v>1.4</v>
      </c>
      <c r="L195" s="9">
        <v>78</v>
      </c>
      <c r="M195" s="9">
        <v>22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15">
        <v>0</v>
      </c>
      <c r="T195" s="9">
        <v>0</v>
      </c>
      <c r="U195" s="9">
        <v>0</v>
      </c>
      <c r="V195" s="11">
        <v>0</v>
      </c>
      <c r="W195" s="9">
        <v>0</v>
      </c>
      <c r="X195" s="9">
        <v>0</v>
      </c>
      <c r="Y195" s="9">
        <v>0</v>
      </c>
      <c r="Z195" s="15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9">
        <v>0</v>
      </c>
      <c r="AQ195" s="9">
        <v>0</v>
      </c>
      <c r="AR195" s="9">
        <v>0</v>
      </c>
      <c r="AS195" s="9">
        <v>0</v>
      </c>
      <c r="AT195" s="9">
        <v>0</v>
      </c>
      <c r="AU195" s="9">
        <v>0</v>
      </c>
      <c r="AV195" s="9">
        <v>0</v>
      </c>
      <c r="AW195" s="9">
        <v>0</v>
      </c>
      <c r="AX195" s="9">
        <v>0</v>
      </c>
      <c r="AY195" s="9">
        <v>0</v>
      </c>
      <c r="AZ195" s="9">
        <v>0</v>
      </c>
    </row>
    <row r="196" spans="1:52" hidden="1" x14ac:dyDescent="0.45">
      <c r="A196" t="s">
        <v>1189</v>
      </c>
      <c r="C196" t="s">
        <v>1259</v>
      </c>
      <c r="D196" s="9">
        <v>147</v>
      </c>
      <c r="E196" s="11">
        <v>0.62</v>
      </c>
      <c r="F196" s="9">
        <v>16</v>
      </c>
      <c r="G196" s="11">
        <v>13.6</v>
      </c>
      <c r="H196" s="9">
        <v>9.5</v>
      </c>
      <c r="I196" s="11">
        <v>2.6</v>
      </c>
      <c r="J196" s="11">
        <v>0.4</v>
      </c>
      <c r="K196" s="9">
        <v>1.5</v>
      </c>
      <c r="L196" s="9">
        <v>70</v>
      </c>
      <c r="M196" s="9">
        <v>30</v>
      </c>
      <c r="N196" s="9">
        <v>11.2</v>
      </c>
      <c r="O196" s="9">
        <v>178.6</v>
      </c>
      <c r="P196" s="9">
        <v>0</v>
      </c>
      <c r="Q196" s="9">
        <v>0</v>
      </c>
      <c r="R196" s="9">
        <v>0</v>
      </c>
      <c r="S196" s="15">
        <v>0</v>
      </c>
      <c r="T196" s="9">
        <v>0</v>
      </c>
      <c r="U196" s="9">
        <v>0</v>
      </c>
      <c r="V196" s="11">
        <v>0</v>
      </c>
      <c r="W196" s="9">
        <v>0</v>
      </c>
      <c r="X196" s="9">
        <v>0</v>
      </c>
      <c r="Y196" s="9">
        <v>0</v>
      </c>
      <c r="Z196" s="15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9">
        <v>0</v>
      </c>
      <c r="AQ196" s="9">
        <v>0</v>
      </c>
      <c r="AR196" s="9">
        <v>0</v>
      </c>
      <c r="AS196" s="9">
        <v>0</v>
      </c>
      <c r="AT196" s="9">
        <v>0</v>
      </c>
      <c r="AU196" s="9">
        <v>0</v>
      </c>
      <c r="AV196" s="9">
        <v>0</v>
      </c>
      <c r="AW196" s="9">
        <v>0</v>
      </c>
      <c r="AX196" s="9">
        <v>0</v>
      </c>
      <c r="AY196" s="9">
        <v>0</v>
      </c>
      <c r="AZ196" s="9">
        <v>0</v>
      </c>
    </row>
    <row r="197" spans="1:52" hidden="1" x14ac:dyDescent="0.45">
      <c r="A197" t="s">
        <v>694</v>
      </c>
      <c r="B197" t="s">
        <v>646</v>
      </c>
      <c r="C197" t="s">
        <v>647</v>
      </c>
      <c r="D197" s="9">
        <v>414</v>
      </c>
      <c r="E197" s="11">
        <f>Tabelle1[[#This Row],[Energie '[kcal/100g']]]/239</f>
        <v>1.7322175732217573</v>
      </c>
      <c r="F197" s="9">
        <v>18.399999999999999</v>
      </c>
      <c r="G197" s="11">
        <f>Tabelle1[[#This Row],[Rohprotein '[g/100g']]]*0.85</f>
        <v>15.639999999999999</v>
      </c>
      <c r="H197" s="9">
        <v>37.710999999999999</v>
      </c>
      <c r="I197" s="11">
        <f>Tabelle1[[#This Row],[TS]]-Tabelle1[[#This Row],[Rohprotein '[g/100g']]]-Tabelle1[[#This Row],[Rohfett '[g/100g']]]-Tabelle1[[#This Row],[Rohasche '[g/100g']]]-Tabelle1[[#This Row],[Rohfaser '[g/100g']]]</f>
        <v>0.46100000000000296</v>
      </c>
      <c r="J197" s="11">
        <v>0</v>
      </c>
      <c r="K197" s="9">
        <v>1.9279999999999999</v>
      </c>
      <c r="L197" s="9">
        <v>41.5</v>
      </c>
      <c r="M197" s="9">
        <f>100-Tabelle1[[#This Row],[Wasser '[g/100g']]]</f>
        <v>58.5</v>
      </c>
      <c r="N197" s="9">
        <v>180</v>
      </c>
      <c r="O197" s="9">
        <v>711</v>
      </c>
      <c r="P197" s="9">
        <v>14</v>
      </c>
      <c r="Q197" s="9">
        <v>63</v>
      </c>
      <c r="R197" s="9">
        <v>149</v>
      </c>
      <c r="T197" s="9">
        <v>7.5179999999999998</v>
      </c>
      <c r="U197" s="9">
        <v>4.8550000000000004</v>
      </c>
      <c r="V197" s="11">
        <v>0</v>
      </c>
      <c r="W197" s="9">
        <v>193</v>
      </c>
      <c r="X197" s="9">
        <v>133</v>
      </c>
      <c r="Y197" s="9">
        <v>113</v>
      </c>
      <c r="AA197" s="9">
        <v>8</v>
      </c>
      <c r="AB197" s="9">
        <v>6.2169999999999996</v>
      </c>
      <c r="AC197" s="9">
        <v>0</v>
      </c>
      <c r="AD197" s="9">
        <v>0.11</v>
      </c>
      <c r="AE197" s="9">
        <v>0.61799999999999999</v>
      </c>
      <c r="AF197" s="9">
        <v>4.5999999999999999E-2</v>
      </c>
      <c r="AG197" s="9">
        <v>284</v>
      </c>
      <c r="AH197" s="9">
        <v>8.9</v>
      </c>
      <c r="AI197" s="9">
        <v>0</v>
      </c>
      <c r="AJ197" s="9">
        <v>64</v>
      </c>
      <c r="AK197" s="9">
        <v>9</v>
      </c>
      <c r="AL197" s="9">
        <v>69</v>
      </c>
      <c r="AM197" s="9">
        <v>0</v>
      </c>
      <c r="AN197" s="9">
        <v>0.52</v>
      </c>
      <c r="AO197" s="9">
        <v>0</v>
      </c>
      <c r="AP197" s="9">
        <v>0</v>
      </c>
      <c r="AQ197" s="9">
        <v>5.3</v>
      </c>
      <c r="AR197" s="9">
        <v>4.71</v>
      </c>
      <c r="AS197" s="9">
        <v>1.2749999999999999</v>
      </c>
      <c r="AT197" s="9">
        <v>0.27200000000000002</v>
      </c>
      <c r="AU197" s="9">
        <v>0.47199999999999998</v>
      </c>
      <c r="AV197" s="9">
        <v>1.476</v>
      </c>
      <c r="AW197" s="9">
        <v>0.47199999999999998</v>
      </c>
      <c r="AX197" s="9">
        <f>Tabelle1[[#This Row],[Vitamin D3 '[µg/100g']]]*40</f>
        <v>320</v>
      </c>
      <c r="AY197" s="9">
        <f>Tabelle1[[#This Row],[Vitamin A '[µg/100g']]]*3.33</f>
        <v>0</v>
      </c>
      <c r="AZ197" s="9">
        <f>Tabelle1[[#This Row],[Vitamin E '[mg/100g']]]*1.49</f>
        <v>9.2633299999999998</v>
      </c>
    </row>
    <row r="198" spans="1:52" hidden="1" x14ac:dyDescent="0.45">
      <c r="A198" t="s">
        <v>694</v>
      </c>
      <c r="B198" s="14" t="s">
        <v>648</v>
      </c>
      <c r="C198" s="14" t="s">
        <v>649</v>
      </c>
      <c r="D198" s="15">
        <v>386</v>
      </c>
      <c r="E198" s="11">
        <f>Tabelle1[[#This Row],[Energie '[kcal/100g']]]/239</f>
        <v>1.6150627615062763</v>
      </c>
      <c r="F198" s="15">
        <v>17.2</v>
      </c>
      <c r="G198" s="11">
        <f>Tabelle1[[#This Row],[Rohprotein '[g/100g']]]*0.85</f>
        <v>14.62</v>
      </c>
      <c r="H198" s="15">
        <v>35.168999999999997</v>
      </c>
      <c r="I198" s="11">
        <f>Tabelle1[[#This Row],[TS]]-Tabelle1[[#This Row],[Rohprotein '[g/100g']]]-Tabelle1[[#This Row],[Rohfett '[g/100g']]]-Tabelle1[[#This Row],[Rohasche '[g/100g']]]-Tabelle1[[#This Row],[Rohfaser '[g/100g']]]</f>
        <v>0.43300000000000871</v>
      </c>
      <c r="J198" s="11">
        <v>0</v>
      </c>
      <c r="K198" s="15">
        <v>1.798</v>
      </c>
      <c r="L198" s="15">
        <v>45.4</v>
      </c>
      <c r="M198" s="15">
        <f>100-Tabelle1[[#This Row],[Wasser '[g/100g']]]</f>
        <v>54.6</v>
      </c>
      <c r="N198" s="15">
        <v>167</v>
      </c>
      <c r="O198" s="15">
        <v>663</v>
      </c>
      <c r="P198" s="15">
        <v>13</v>
      </c>
      <c r="Q198" s="15">
        <v>58</v>
      </c>
      <c r="R198" s="15">
        <v>139</v>
      </c>
      <c r="S198" s="15"/>
      <c r="T198" s="15">
        <v>7.0110000000000001</v>
      </c>
      <c r="U198" s="15">
        <v>4.5279999999999996</v>
      </c>
      <c r="V198" s="11">
        <v>0</v>
      </c>
      <c r="W198" s="15">
        <v>180</v>
      </c>
      <c r="X198" s="15">
        <v>124</v>
      </c>
      <c r="Y198" s="15">
        <v>106</v>
      </c>
      <c r="Z198" s="15"/>
      <c r="AA198" s="15">
        <v>7</v>
      </c>
      <c r="AB198" s="15">
        <v>5.6239999999999997</v>
      </c>
      <c r="AC198" s="15">
        <v>0</v>
      </c>
      <c r="AD198" s="15">
        <v>0.109</v>
      </c>
      <c r="AE198" s="15">
        <v>0.56299999999999994</v>
      </c>
      <c r="AF198" s="15">
        <v>4.2999999999999997E-2</v>
      </c>
      <c r="AG198" s="15">
        <v>281</v>
      </c>
      <c r="AH198" s="15">
        <v>8.67</v>
      </c>
      <c r="AI198" s="15">
        <v>0</v>
      </c>
      <c r="AJ198" s="15">
        <v>60</v>
      </c>
      <c r="AK198" s="15">
        <v>96</v>
      </c>
      <c r="AL198" s="15">
        <v>64.3</v>
      </c>
      <c r="AM198" s="15">
        <v>0</v>
      </c>
      <c r="AN198" s="15">
        <v>0.5</v>
      </c>
      <c r="AO198" s="15">
        <v>0</v>
      </c>
      <c r="AP198" s="15">
        <v>0</v>
      </c>
      <c r="AQ198" s="15">
        <v>4.95</v>
      </c>
      <c r="AR198" s="15">
        <v>4.3920000000000003</v>
      </c>
      <c r="AS198" s="15">
        <v>1.1890000000000001</v>
      </c>
      <c r="AT198" s="15">
        <v>0.253</v>
      </c>
      <c r="AU198" s="15">
        <v>0.44</v>
      </c>
      <c r="AV198" s="15">
        <v>1.3759999999999999</v>
      </c>
      <c r="AW198" s="15">
        <v>0.44</v>
      </c>
      <c r="AX198" s="9">
        <f>Tabelle1[[#This Row],[Vitamin D3 '[µg/100g']]]*40</f>
        <v>280</v>
      </c>
      <c r="AY198" s="9">
        <f>Tabelle1[[#This Row],[Vitamin A '[µg/100g']]]*3.33</f>
        <v>0</v>
      </c>
      <c r="AZ198" s="9">
        <f>Tabelle1[[#This Row],[Vitamin E '[mg/100g']]]*1.49</f>
        <v>8.3797599999999992</v>
      </c>
    </row>
    <row r="199" spans="1:52" hidden="1" x14ac:dyDescent="0.45">
      <c r="A199" t="s">
        <v>694</v>
      </c>
      <c r="B199" s="14" t="s">
        <v>652</v>
      </c>
      <c r="C199" s="14" t="s">
        <v>653</v>
      </c>
      <c r="D199" s="15">
        <v>345</v>
      </c>
      <c r="E199" s="11">
        <f>Tabelle1[[#This Row],[Energie '[kcal/100g']]]/239</f>
        <v>1.4435146443514644</v>
      </c>
      <c r="F199" s="15">
        <v>15.6</v>
      </c>
      <c r="G199" s="11">
        <f>Tabelle1[[#This Row],[Rohprotein '[g/100g']]]*0.85</f>
        <v>13.26</v>
      </c>
      <c r="H199" s="15">
        <v>31.3</v>
      </c>
      <c r="I199" s="11">
        <f>Tabelle1[[#This Row],[TS]]-Tabelle1[[#This Row],[Rohprotein '[g/100g']]]-Tabelle1[[#This Row],[Rohfett '[g/100g']]]-Tabelle1[[#This Row],[Rohasche '[g/100g']]]-Tabelle1[[#This Row],[Rohfaser '[g/100g']]]</f>
        <v>0.39999999999999636</v>
      </c>
      <c r="J199" s="11">
        <v>0</v>
      </c>
      <c r="K199" s="15">
        <v>1.6</v>
      </c>
      <c r="L199" s="15">
        <v>51.1</v>
      </c>
      <c r="M199" s="15">
        <f>100-Tabelle1[[#This Row],[Wasser '[g/100g']]]</f>
        <v>48.9</v>
      </c>
      <c r="N199" s="15">
        <v>149</v>
      </c>
      <c r="O199" s="15">
        <v>590</v>
      </c>
      <c r="P199" s="15">
        <v>12</v>
      </c>
      <c r="Q199" s="15">
        <v>52</v>
      </c>
      <c r="R199" s="15">
        <v>124</v>
      </c>
      <c r="S199" s="15"/>
      <c r="T199" s="15">
        <v>6.24</v>
      </c>
      <c r="U199" s="15">
        <v>4.03</v>
      </c>
      <c r="V199" s="11">
        <v>0</v>
      </c>
      <c r="W199" s="15">
        <v>160</v>
      </c>
      <c r="X199" s="15">
        <v>108</v>
      </c>
      <c r="Y199" s="15">
        <v>94</v>
      </c>
      <c r="Z199" s="15"/>
      <c r="AA199" s="15">
        <v>7</v>
      </c>
      <c r="AB199" s="15">
        <v>5.16</v>
      </c>
      <c r="AC199" s="15">
        <v>261.89999999999998</v>
      </c>
      <c r="AD199" s="15">
        <v>9.4E-2</v>
      </c>
      <c r="AE199" s="15">
        <v>0.53100000000000003</v>
      </c>
      <c r="AF199" s="15">
        <v>3.6999999999999998E-2</v>
      </c>
      <c r="AG199" s="15">
        <v>250</v>
      </c>
      <c r="AH199" s="15">
        <v>7.22</v>
      </c>
      <c r="AI199" s="15">
        <v>0</v>
      </c>
      <c r="AJ199" s="15">
        <v>53</v>
      </c>
      <c r="AK199" s="15">
        <v>231</v>
      </c>
      <c r="AL199" s="15">
        <v>50.9</v>
      </c>
      <c r="AM199" s="15">
        <v>0</v>
      </c>
      <c r="AN199" s="15">
        <v>0.44</v>
      </c>
      <c r="AO199" s="15">
        <v>0</v>
      </c>
      <c r="AP199" s="15">
        <v>5.8999999999999997E-2</v>
      </c>
      <c r="AQ199" s="15">
        <v>4.4000000000000004</v>
      </c>
      <c r="AR199" s="15">
        <v>3.9089999999999998</v>
      </c>
      <c r="AS199" s="15">
        <v>1.08</v>
      </c>
      <c r="AT199" s="15">
        <v>0.23</v>
      </c>
      <c r="AU199" s="15">
        <v>0.4</v>
      </c>
      <c r="AV199" s="15">
        <v>1.25</v>
      </c>
      <c r="AW199" s="15">
        <v>0.4</v>
      </c>
      <c r="AX199" s="9">
        <f>Tabelle1[[#This Row],[Vitamin D3 '[µg/100g']]]*40</f>
        <v>280</v>
      </c>
      <c r="AY199" s="9">
        <f>Tabelle1[[#This Row],[Vitamin A '[µg/100g']]]*3.33</f>
        <v>872.12699999999995</v>
      </c>
      <c r="AZ199" s="9">
        <f>Tabelle1[[#This Row],[Vitamin E '[mg/100g']]]*1.49</f>
        <v>7.6884000000000006</v>
      </c>
    </row>
    <row r="200" spans="1:52" hidden="1" x14ac:dyDescent="0.45">
      <c r="A200" t="s">
        <v>694</v>
      </c>
      <c r="B200" s="14" t="s">
        <v>654</v>
      </c>
      <c r="C200" s="14" t="s">
        <v>655</v>
      </c>
      <c r="D200" s="15">
        <v>671</v>
      </c>
      <c r="E200" s="11">
        <f>Tabelle1[[#This Row],[Energie '[kcal/100g']]]/239</f>
        <v>2.8075313807531379</v>
      </c>
      <c r="F200" s="15">
        <v>34.200000000000003</v>
      </c>
      <c r="G200" s="11">
        <f>Tabelle1[[#This Row],[Rohprotein '[g/100g']]]*0.85</f>
        <v>29.07</v>
      </c>
      <c r="H200" s="15">
        <v>59.3</v>
      </c>
      <c r="I200" s="11">
        <f>Tabelle1[[#This Row],[TS]]-Tabelle1[[#This Row],[Rohprotein '[g/100g']]]-Tabelle1[[#This Row],[Rohfett '[g/100g']]]-Tabelle1[[#This Row],[Rohasche '[g/100g']]]-Tabelle1[[#This Row],[Rohfaser '[g/100g']]]</f>
        <v>-0.40000000000000568</v>
      </c>
      <c r="J200" s="11">
        <v>0</v>
      </c>
      <c r="K200" s="15">
        <v>3.5</v>
      </c>
      <c r="L200" s="15">
        <v>3.4</v>
      </c>
      <c r="M200" s="15">
        <f>100-Tabelle1[[#This Row],[Wasser '[g/100g']]]</f>
        <v>96.6</v>
      </c>
      <c r="N200" s="15">
        <v>282</v>
      </c>
      <c r="O200" s="15">
        <v>1011</v>
      </c>
      <c r="P200" s="15">
        <v>28</v>
      </c>
      <c r="Q200" s="15">
        <v>91</v>
      </c>
      <c r="R200" s="15">
        <v>267</v>
      </c>
      <c r="S200" s="15"/>
      <c r="T200" s="15">
        <v>13.8</v>
      </c>
      <c r="U200" s="15">
        <v>6.87</v>
      </c>
      <c r="V200" s="11">
        <v>0</v>
      </c>
      <c r="W200" s="15">
        <v>0</v>
      </c>
      <c r="X200" s="15">
        <v>242</v>
      </c>
      <c r="Y200" s="15">
        <v>349</v>
      </c>
      <c r="Z200" s="15"/>
      <c r="AA200" s="15">
        <v>0</v>
      </c>
      <c r="AB200" s="15">
        <v>6.15</v>
      </c>
      <c r="AC200" s="15">
        <v>1060</v>
      </c>
      <c r="AD200" s="15">
        <v>0.5</v>
      </c>
      <c r="AE200" s="15">
        <v>0.66</v>
      </c>
      <c r="AF200" s="15">
        <v>0.1</v>
      </c>
      <c r="AG200" s="15">
        <v>580</v>
      </c>
      <c r="AH200" s="15">
        <v>6.2</v>
      </c>
      <c r="AI200" s="15">
        <v>1.5E-3</v>
      </c>
      <c r="AJ200" s="15">
        <v>0</v>
      </c>
      <c r="AK200" s="15">
        <v>213</v>
      </c>
      <c r="AL200" s="15">
        <v>110</v>
      </c>
      <c r="AM200" s="15">
        <v>0</v>
      </c>
      <c r="AN200" s="15">
        <v>0.81</v>
      </c>
      <c r="AO200" s="15">
        <v>0</v>
      </c>
      <c r="AP200" s="15">
        <v>0.30199999999999999</v>
      </c>
      <c r="AQ200" s="15">
        <v>7.49</v>
      </c>
      <c r="AR200" s="15">
        <v>7.1</v>
      </c>
      <c r="AS200" s="15">
        <v>2.34</v>
      </c>
      <c r="AT200" s="15">
        <v>0.58799999999999997</v>
      </c>
      <c r="AU200" s="15">
        <v>0.86099999999999999</v>
      </c>
      <c r="AV200" s="15">
        <v>2.4700000000000002</v>
      </c>
      <c r="AW200" s="15">
        <v>0.85799999999999998</v>
      </c>
      <c r="AX200" s="9">
        <f>Tabelle1[[#This Row],[Vitamin D3 '[µg/100g']]]*40</f>
        <v>0</v>
      </c>
      <c r="AY200" s="9">
        <f>Tabelle1[[#This Row],[Vitamin A '[µg/100g']]]*3.33</f>
        <v>3529.8</v>
      </c>
      <c r="AZ200" s="9">
        <f>Tabelle1[[#This Row],[Vitamin E '[mg/100g']]]*1.49</f>
        <v>9.1635000000000009</v>
      </c>
    </row>
    <row r="201" spans="1:52" hidden="1" x14ac:dyDescent="0.45">
      <c r="A201" t="s">
        <v>694</v>
      </c>
      <c r="B201" t="s">
        <v>656</v>
      </c>
      <c r="C201" t="s">
        <v>657</v>
      </c>
      <c r="D201" s="9">
        <v>671</v>
      </c>
      <c r="E201" s="11">
        <f>Tabelle1[[#This Row],[Energie '[kcal/100g']]]/239</f>
        <v>2.8075313807531379</v>
      </c>
      <c r="F201" s="9">
        <v>34.200000000000003</v>
      </c>
      <c r="G201" s="11">
        <f>Tabelle1[[#This Row],[Rohprotein '[g/100g']]]*0.85</f>
        <v>29.07</v>
      </c>
      <c r="H201" s="9">
        <v>59.3</v>
      </c>
      <c r="I201" s="11">
        <f>Tabelle1[[#This Row],[TS]]-Tabelle1[[#This Row],[Rohprotein '[g/100g']]]-Tabelle1[[#This Row],[Rohfett '[g/100g']]]-Tabelle1[[#This Row],[Rohasche '[g/100g']]]-Tabelle1[[#This Row],[Rohfaser '[g/100g']]]</f>
        <v>-0.40000000000000568</v>
      </c>
      <c r="J201" s="11">
        <v>0</v>
      </c>
      <c r="K201" s="9">
        <v>3.5</v>
      </c>
      <c r="L201" s="9">
        <v>3.4</v>
      </c>
      <c r="M201" s="9">
        <f>100-Tabelle1[[#This Row],[Wasser '[g/100g']]]</f>
        <v>96.6</v>
      </c>
      <c r="N201" s="9">
        <v>282</v>
      </c>
      <c r="O201" s="9">
        <v>1011</v>
      </c>
      <c r="P201" s="9">
        <v>28</v>
      </c>
      <c r="Q201" s="9">
        <v>91</v>
      </c>
      <c r="R201" s="9">
        <v>267</v>
      </c>
      <c r="T201" s="9">
        <v>13.8</v>
      </c>
      <c r="U201" s="9">
        <v>6.87</v>
      </c>
      <c r="V201" s="11">
        <v>0</v>
      </c>
      <c r="W201" s="9">
        <v>0</v>
      </c>
      <c r="X201" s="9">
        <v>242</v>
      </c>
      <c r="Y201" s="9">
        <v>349</v>
      </c>
      <c r="AA201" s="9">
        <v>0</v>
      </c>
      <c r="AB201" s="9">
        <v>6.15</v>
      </c>
      <c r="AC201" s="9">
        <v>0</v>
      </c>
      <c r="AD201" s="9">
        <v>0.5</v>
      </c>
      <c r="AE201" s="9">
        <v>0.66</v>
      </c>
      <c r="AF201" s="9">
        <v>0.1</v>
      </c>
      <c r="AG201" s="9">
        <v>580</v>
      </c>
      <c r="AH201" s="9">
        <v>6.2</v>
      </c>
      <c r="AI201" s="9">
        <v>1.5E-3</v>
      </c>
      <c r="AJ201" s="9">
        <v>0</v>
      </c>
      <c r="AK201" s="9">
        <v>96</v>
      </c>
      <c r="AL201" s="9">
        <v>110</v>
      </c>
      <c r="AM201" s="9">
        <v>0</v>
      </c>
      <c r="AN201" s="9">
        <v>0.81200000000000006</v>
      </c>
      <c r="AO201" s="9">
        <v>0</v>
      </c>
      <c r="AP201" s="9">
        <v>0</v>
      </c>
      <c r="AQ201" s="9">
        <v>7.4889999999999999</v>
      </c>
      <c r="AR201" s="9">
        <v>7.0979999999999999</v>
      </c>
      <c r="AS201" s="9">
        <v>2.4</v>
      </c>
      <c r="AT201" s="9">
        <v>0.6</v>
      </c>
      <c r="AU201" s="9">
        <v>0.9</v>
      </c>
      <c r="AV201" s="9">
        <v>2.5</v>
      </c>
      <c r="AW201" s="9">
        <v>0.9</v>
      </c>
      <c r="AX201" s="9">
        <f>Tabelle1[[#This Row],[Vitamin D3 '[µg/100g']]]*40</f>
        <v>0</v>
      </c>
      <c r="AY201" s="9">
        <f>Tabelle1[[#This Row],[Vitamin A '[µg/100g']]]*3.33</f>
        <v>0</v>
      </c>
      <c r="AZ201" s="9">
        <f>Tabelle1[[#This Row],[Vitamin E '[mg/100g']]]*1.49</f>
        <v>9.1635000000000009</v>
      </c>
    </row>
    <row r="202" spans="1:52" hidden="1" x14ac:dyDescent="0.45">
      <c r="A202" t="s">
        <v>694</v>
      </c>
      <c r="B202" t="s">
        <v>658</v>
      </c>
      <c r="C202" t="s">
        <v>659</v>
      </c>
      <c r="D202" s="9">
        <v>345</v>
      </c>
      <c r="E202" s="11">
        <f>Tabelle1[[#This Row],[Energie '[kcal/100g']]]/239</f>
        <v>1.4435146443514644</v>
      </c>
      <c r="F202" s="9">
        <v>15.6</v>
      </c>
      <c r="G202" s="11">
        <f>Tabelle1[[#This Row],[Rohprotein '[g/100g']]]*0.85</f>
        <v>13.26</v>
      </c>
      <c r="H202" s="9">
        <v>31.3</v>
      </c>
      <c r="I202" s="11">
        <f>Tabelle1[[#This Row],[TS]]-Tabelle1[[#This Row],[Rohprotein '[g/100g']]]-Tabelle1[[#This Row],[Rohfett '[g/100g']]]-Tabelle1[[#This Row],[Rohasche '[g/100g']]]-Tabelle1[[#This Row],[Rohfaser '[g/100g']]]</f>
        <v>0.39999999999999636</v>
      </c>
      <c r="J202" s="11">
        <v>0</v>
      </c>
      <c r="K202" s="9">
        <v>1.6</v>
      </c>
      <c r="L202" s="9">
        <v>51.1</v>
      </c>
      <c r="M202" s="9">
        <f>100-Tabelle1[[#This Row],[Wasser '[g/100g']]]</f>
        <v>48.9</v>
      </c>
      <c r="N202" s="9">
        <v>149</v>
      </c>
      <c r="O202" s="9">
        <v>590</v>
      </c>
      <c r="P202" s="9">
        <v>12</v>
      </c>
      <c r="Q202" s="9">
        <v>52</v>
      </c>
      <c r="R202" s="9">
        <v>124</v>
      </c>
      <c r="T202" s="9">
        <v>6.24</v>
      </c>
      <c r="U202" s="9">
        <v>4.03</v>
      </c>
      <c r="V202" s="11">
        <v>0</v>
      </c>
      <c r="W202" s="9">
        <v>160</v>
      </c>
      <c r="X202" s="9">
        <v>110</v>
      </c>
      <c r="Y202" s="9">
        <v>99</v>
      </c>
      <c r="AA202" s="9">
        <v>7</v>
      </c>
      <c r="AB202" s="9">
        <v>5.16</v>
      </c>
      <c r="AC202" s="9">
        <v>256.60000000000002</v>
      </c>
      <c r="AD202" s="9">
        <v>0.11</v>
      </c>
      <c r="AE202" s="9">
        <v>0.59</v>
      </c>
      <c r="AF202" s="9">
        <v>0.04</v>
      </c>
      <c r="AG202" s="9">
        <v>284</v>
      </c>
      <c r="AH202" s="9">
        <v>8.2100000000000009</v>
      </c>
      <c r="AI202" s="9">
        <v>0</v>
      </c>
      <c r="AJ202" s="9">
        <v>53</v>
      </c>
      <c r="AK202" s="9">
        <v>189</v>
      </c>
      <c r="AL202" s="9">
        <v>63.6</v>
      </c>
      <c r="AM202" s="9">
        <v>0</v>
      </c>
      <c r="AN202" s="9">
        <v>0.44</v>
      </c>
      <c r="AO202" s="9">
        <v>0</v>
      </c>
      <c r="AP202" s="9">
        <v>5.8999999999999997E-2</v>
      </c>
      <c r="AQ202" s="9">
        <v>4.4000000000000004</v>
      </c>
      <c r="AR202" s="9">
        <v>3.9089999999999998</v>
      </c>
      <c r="AS202" s="9">
        <v>1.08</v>
      </c>
      <c r="AT202" s="9">
        <v>0.23</v>
      </c>
      <c r="AU202" s="9">
        <v>0.4</v>
      </c>
      <c r="AV202" s="9">
        <v>1.25</v>
      </c>
      <c r="AW202" s="9">
        <v>0.4</v>
      </c>
      <c r="AX202" s="9">
        <f>Tabelle1[[#This Row],[Vitamin D3 '[µg/100g']]]*40</f>
        <v>280</v>
      </c>
      <c r="AY202" s="9">
        <f>Tabelle1[[#This Row],[Vitamin A '[µg/100g']]]*3.33</f>
        <v>854.47800000000007</v>
      </c>
      <c r="AZ202" s="9">
        <f>Tabelle1[[#This Row],[Vitamin E '[mg/100g']]]*1.49</f>
        <v>7.6884000000000006</v>
      </c>
    </row>
    <row r="203" spans="1:52" hidden="1" x14ac:dyDescent="0.45">
      <c r="A203" t="s">
        <v>694</v>
      </c>
      <c r="B203" s="14" t="s">
        <v>660</v>
      </c>
      <c r="C203" s="14" t="s">
        <v>661</v>
      </c>
      <c r="D203" s="15">
        <v>49</v>
      </c>
      <c r="E203" s="11">
        <f>Tabelle1[[#This Row],[Energie '[kcal/100g']]]/239</f>
        <v>0.20502092050209206</v>
      </c>
      <c r="F203" s="15">
        <v>11.7</v>
      </c>
      <c r="G203" s="11">
        <f>Tabelle1[[#This Row],[Rohprotein '[g/100g']]]*0.85</f>
        <v>9.9449999999999985</v>
      </c>
      <c r="H203" s="15">
        <v>3.5999999999999997E-2</v>
      </c>
      <c r="I203" s="11">
        <f>Tabelle1[[#This Row],[TS]]-Tabelle1[[#This Row],[Rohprotein '[g/100g']]]-Tabelle1[[#This Row],[Rohfett '[g/100g']]]-Tabelle1[[#This Row],[Rohasche '[g/100g']]]-Tabelle1[[#This Row],[Rohfaser '[g/100g']]]</f>
        <v>1.4210000000000007</v>
      </c>
      <c r="J203" s="11">
        <v>0</v>
      </c>
      <c r="K203" s="15">
        <v>0.84299999999999997</v>
      </c>
      <c r="L203" s="15">
        <v>86</v>
      </c>
      <c r="M203" s="15">
        <f>100-Tabelle1[[#This Row],[Wasser '[g/100g']]]</f>
        <v>14</v>
      </c>
      <c r="N203" s="15">
        <v>7</v>
      </c>
      <c r="O203" s="15">
        <v>25</v>
      </c>
      <c r="P203" s="15">
        <v>14</v>
      </c>
      <c r="Q203" s="15">
        <v>223</v>
      </c>
      <c r="R203" s="15">
        <v>180</v>
      </c>
      <c r="S203" s="15"/>
      <c r="T203" s="15">
        <v>1.2E-2</v>
      </c>
      <c r="U203" s="15">
        <v>1.2E-2</v>
      </c>
      <c r="V203" s="11">
        <v>0</v>
      </c>
      <c r="W203" s="15">
        <v>24</v>
      </c>
      <c r="X203" s="15">
        <v>48</v>
      </c>
      <c r="Y203" s="15">
        <v>3</v>
      </c>
      <c r="Z203" s="15"/>
      <c r="AA203" s="15">
        <v>0</v>
      </c>
      <c r="AB203" s="15">
        <v>0</v>
      </c>
      <c r="AC203" s="15">
        <v>18</v>
      </c>
      <c r="AD203" s="15">
        <v>0.02</v>
      </c>
      <c r="AE203" s="15">
        <v>0.44</v>
      </c>
      <c r="AF203" s="15">
        <v>4.5999999999999999E-2</v>
      </c>
      <c r="AG203" s="15">
        <v>33</v>
      </c>
      <c r="AH203" s="15">
        <v>0.36</v>
      </c>
      <c r="AI203" s="15">
        <v>0.32500000000000001</v>
      </c>
      <c r="AJ203" s="15">
        <v>1</v>
      </c>
      <c r="AK203" s="15">
        <v>6</v>
      </c>
      <c r="AL203" s="15">
        <v>6.1</v>
      </c>
      <c r="AM203" s="15">
        <v>0</v>
      </c>
      <c r="AN203" s="15">
        <v>0</v>
      </c>
      <c r="AO203" s="15">
        <v>0.01</v>
      </c>
      <c r="AP203" s="15">
        <v>0</v>
      </c>
      <c r="AQ203" s="15">
        <v>0</v>
      </c>
      <c r="AR203" s="15">
        <v>0</v>
      </c>
      <c r="AS203" s="15">
        <v>0.75</v>
      </c>
      <c r="AT203" s="15">
        <v>0.307</v>
      </c>
      <c r="AU203" s="15">
        <v>0.307</v>
      </c>
      <c r="AV203" s="15">
        <v>0.94099999999999995</v>
      </c>
      <c r="AW203" s="15">
        <v>0.51800000000000002</v>
      </c>
      <c r="AX203" s="9">
        <f>Tabelle1[[#This Row],[Vitamin D3 '[µg/100g']]]*40</f>
        <v>0</v>
      </c>
      <c r="AY203" s="9">
        <f>Tabelle1[[#This Row],[Vitamin A '[µg/100g']]]*3.33</f>
        <v>59.94</v>
      </c>
      <c r="AZ203" s="9">
        <f>Tabelle1[[#This Row],[Vitamin E '[mg/100g']]]*1.49</f>
        <v>0</v>
      </c>
    </row>
    <row r="204" spans="1:52" hidden="1" x14ac:dyDescent="0.45">
      <c r="A204" t="s">
        <v>694</v>
      </c>
      <c r="B204" s="14" t="s">
        <v>662</v>
      </c>
      <c r="C204" s="14" t="s">
        <v>663</v>
      </c>
      <c r="D204" s="15">
        <v>46</v>
      </c>
      <c r="E204" s="11">
        <f>Tabelle1[[#This Row],[Energie '[kcal/100g']]]/239</f>
        <v>0.19246861924686193</v>
      </c>
      <c r="F204" s="15">
        <v>10.9</v>
      </c>
      <c r="G204" s="11">
        <f>Tabelle1[[#This Row],[Rohprotein '[g/100g']]]*0.85</f>
        <v>9.2650000000000006</v>
      </c>
      <c r="H204" s="15">
        <v>3.4000000000000002E-2</v>
      </c>
      <c r="I204" s="11">
        <f>Tabelle1[[#This Row],[TS]]-Tabelle1[[#This Row],[Rohprotein '[g/100g']]]-Tabelle1[[#This Row],[Rohfett '[g/100g']]]-Tabelle1[[#This Row],[Rohasche '[g/100g']]]-Tabelle1[[#This Row],[Rohfaser '[g/100g']]]</f>
        <v>1.3789999999999942</v>
      </c>
      <c r="J204" s="11">
        <v>0</v>
      </c>
      <c r="K204" s="15">
        <v>0.78700000000000003</v>
      </c>
      <c r="L204" s="15">
        <v>86.9</v>
      </c>
      <c r="M204" s="15">
        <f>100-Tabelle1[[#This Row],[Wasser '[g/100g']]]</f>
        <v>13.099999999999994</v>
      </c>
      <c r="N204" s="15">
        <v>7</v>
      </c>
      <c r="O204" s="15">
        <v>24</v>
      </c>
      <c r="P204" s="15">
        <v>13</v>
      </c>
      <c r="Q204" s="15">
        <v>208</v>
      </c>
      <c r="R204" s="15">
        <v>167</v>
      </c>
      <c r="S204" s="15"/>
      <c r="T204" s="15">
        <v>1.0999999999999999E-2</v>
      </c>
      <c r="U204" s="15">
        <v>1.0999999999999999E-2</v>
      </c>
      <c r="V204" s="11">
        <v>0</v>
      </c>
      <c r="W204" s="15">
        <v>22</v>
      </c>
      <c r="X204" s="15">
        <v>45</v>
      </c>
      <c r="Y204" s="15">
        <v>3</v>
      </c>
      <c r="Z204" s="15"/>
      <c r="AA204" s="15">
        <v>0</v>
      </c>
      <c r="AB204" s="15">
        <v>0</v>
      </c>
      <c r="AC204" s="15">
        <v>742</v>
      </c>
      <c r="AD204" s="15">
        <v>0.02</v>
      </c>
      <c r="AE204" s="15">
        <v>0.40100000000000002</v>
      </c>
      <c r="AF204" s="15">
        <v>4.2999999999999997E-2</v>
      </c>
      <c r="AG204" s="15">
        <v>33</v>
      </c>
      <c r="AH204" s="15">
        <v>0.35</v>
      </c>
      <c r="AI204" s="15">
        <v>0.28699999999999998</v>
      </c>
      <c r="AJ204" s="15">
        <v>1</v>
      </c>
      <c r="AK204" s="15">
        <v>117</v>
      </c>
      <c r="AL204" s="15">
        <v>5.7</v>
      </c>
      <c r="AM204" s="15">
        <v>0</v>
      </c>
      <c r="AN204" s="15">
        <v>0</v>
      </c>
      <c r="AO204" s="15">
        <v>0</v>
      </c>
      <c r="AP204" s="15">
        <v>0.25</v>
      </c>
      <c r="AQ204" s="15">
        <v>0</v>
      </c>
      <c r="AR204" s="15">
        <v>0</v>
      </c>
      <c r="AS204" s="15">
        <v>0.69899999999999995</v>
      </c>
      <c r="AT204" s="15">
        <v>0.28599999999999998</v>
      </c>
      <c r="AU204" s="15">
        <v>0.28599999999999998</v>
      </c>
      <c r="AV204" s="15">
        <v>0.878</v>
      </c>
      <c r="AW204" s="15">
        <v>0.48299999999999998</v>
      </c>
      <c r="AX204" s="9">
        <f>Tabelle1[[#This Row],[Vitamin D3 '[µg/100g']]]*40</f>
        <v>0</v>
      </c>
      <c r="AY204" s="9">
        <f>Tabelle1[[#This Row],[Vitamin A '[µg/100g']]]*3.33</f>
        <v>2470.86</v>
      </c>
      <c r="AZ204" s="9">
        <f>Tabelle1[[#This Row],[Vitamin E '[mg/100g']]]*1.49</f>
        <v>0</v>
      </c>
    </row>
    <row r="205" spans="1:52" hidden="1" x14ac:dyDescent="0.45">
      <c r="A205" t="s">
        <v>694</v>
      </c>
      <c r="B205" t="s">
        <v>664</v>
      </c>
      <c r="C205" t="s">
        <v>665</v>
      </c>
      <c r="D205" s="9">
        <v>42</v>
      </c>
      <c r="E205" s="11">
        <f>Tabelle1[[#This Row],[Energie '[kcal/100g']]]/239</f>
        <v>0.17573221757322174</v>
      </c>
      <c r="F205" s="9">
        <v>9.9</v>
      </c>
      <c r="G205" s="11">
        <f>Tabelle1[[#This Row],[Rohprotein '[g/100g']]]*0.85</f>
        <v>8.4150000000000009</v>
      </c>
      <c r="H205" s="9">
        <v>0.03</v>
      </c>
      <c r="I205" s="11">
        <f>Tabelle1[[#This Row],[TS]]-Tabelle1[[#This Row],[Rohprotein '[g/100g']]]-Tabelle1[[#This Row],[Rohfett '[g/100g']]]-Tabelle1[[#This Row],[Rohasche '[g/100g']]]-Tabelle1[[#This Row],[Rohfaser '[g/100g']]]</f>
        <v>1.3699999999999999</v>
      </c>
      <c r="J205" s="11">
        <v>0</v>
      </c>
      <c r="K205" s="9">
        <v>0.7</v>
      </c>
      <c r="L205" s="9">
        <v>88</v>
      </c>
      <c r="M205" s="9">
        <f>100-Tabelle1[[#This Row],[Wasser '[g/100g']]]</f>
        <v>12</v>
      </c>
      <c r="N205" s="9">
        <v>6</v>
      </c>
      <c r="O205" s="9">
        <v>21</v>
      </c>
      <c r="P205" s="9">
        <v>12</v>
      </c>
      <c r="Q205" s="9">
        <v>185</v>
      </c>
      <c r="R205" s="9">
        <v>149</v>
      </c>
      <c r="T205" s="9">
        <v>0.01</v>
      </c>
      <c r="U205" s="9">
        <v>0.01</v>
      </c>
      <c r="V205" s="11">
        <v>0</v>
      </c>
      <c r="W205" s="9">
        <v>20</v>
      </c>
      <c r="X205" s="9">
        <v>39</v>
      </c>
      <c r="Y205" s="9">
        <v>3</v>
      </c>
      <c r="AA205" s="9">
        <v>0</v>
      </c>
      <c r="AB205" s="15">
        <v>0</v>
      </c>
      <c r="AC205" s="9">
        <v>0</v>
      </c>
      <c r="AD205" s="9">
        <v>1.7000000000000001E-2</v>
      </c>
      <c r="AE205" s="9">
        <v>0.378</v>
      </c>
      <c r="AF205" s="9">
        <v>3.6999999999999998E-2</v>
      </c>
      <c r="AG205" s="9">
        <v>29</v>
      </c>
      <c r="AH205" s="9">
        <v>0.28999999999999998</v>
      </c>
      <c r="AI205" s="9">
        <v>0.26100000000000001</v>
      </c>
      <c r="AJ205" s="9">
        <v>1</v>
      </c>
      <c r="AK205" s="9">
        <v>7</v>
      </c>
      <c r="AL205" s="9">
        <v>4.5</v>
      </c>
      <c r="AM205" s="9">
        <v>0</v>
      </c>
      <c r="AN205" s="9">
        <v>0</v>
      </c>
      <c r="AO205" s="9">
        <v>0</v>
      </c>
      <c r="AP205" s="9">
        <v>0</v>
      </c>
      <c r="AQ205" s="9">
        <v>0</v>
      </c>
      <c r="AR205" s="9">
        <v>0</v>
      </c>
      <c r="AS205" s="9">
        <v>0.63500000000000001</v>
      </c>
      <c r="AT205" s="9">
        <v>0.26</v>
      </c>
      <c r="AU205" s="9">
        <v>0.26</v>
      </c>
      <c r="AV205" s="9">
        <v>0.79700000000000004</v>
      </c>
      <c r="AW205" s="9">
        <v>0.439</v>
      </c>
      <c r="AX205" s="9">
        <f>Tabelle1[[#This Row],[Vitamin D3 '[µg/100g']]]*40</f>
        <v>0</v>
      </c>
      <c r="AY205" s="9">
        <f>Tabelle1[[#This Row],[Vitamin A '[µg/100g']]]*3.33</f>
        <v>0</v>
      </c>
      <c r="AZ205" s="9">
        <f>Tabelle1[[#This Row],[Vitamin E '[mg/100g']]]*1.49</f>
        <v>0</v>
      </c>
    </row>
    <row r="206" spans="1:52" hidden="1" x14ac:dyDescent="0.45">
      <c r="A206" t="s">
        <v>694</v>
      </c>
      <c r="B206" t="s">
        <v>668</v>
      </c>
      <c r="C206" t="s">
        <v>669</v>
      </c>
      <c r="D206" s="9">
        <v>338</v>
      </c>
      <c r="E206" s="11">
        <f>Tabelle1[[#This Row],[Energie '[kcal/100g']]]/239</f>
        <v>1.4142259414225942</v>
      </c>
      <c r="F206" s="9">
        <v>81.099999999999994</v>
      </c>
      <c r="G206" s="11">
        <f>Tabelle1[[#This Row],[Rohprotein '[g/100g']]]*0.85</f>
        <v>68.934999999999988</v>
      </c>
      <c r="H206" s="9">
        <v>0.12</v>
      </c>
      <c r="I206" s="11">
        <f>Tabelle1[[#This Row],[TS]]-Tabelle1[[#This Row],[Rohprotein '[g/100g']]]-Tabelle1[[#This Row],[Rohfett '[g/100g']]]-Tabelle1[[#This Row],[Rohasche '[g/100g']]]-Tabelle1[[#This Row],[Rohfaser '[g/100g']]]</f>
        <v>4.3000000000000105</v>
      </c>
      <c r="J206" s="11">
        <v>0</v>
      </c>
      <c r="K206" s="9">
        <v>5.46</v>
      </c>
      <c r="L206" s="9">
        <v>9.02</v>
      </c>
      <c r="M206" s="9">
        <f>100-Tabelle1[[#This Row],[Wasser '[g/100g']]]</f>
        <v>90.98</v>
      </c>
      <c r="N206" s="9">
        <v>84</v>
      </c>
      <c r="O206" s="9">
        <v>110</v>
      </c>
      <c r="P206" s="9">
        <v>72</v>
      </c>
      <c r="Q206" s="9">
        <v>1420</v>
      </c>
      <c r="R206" s="9">
        <v>1070</v>
      </c>
      <c r="T206" s="9">
        <v>0.9</v>
      </c>
      <c r="U206" s="9">
        <v>0.15</v>
      </c>
      <c r="V206" s="11">
        <v>0</v>
      </c>
      <c r="W206" s="9">
        <v>0</v>
      </c>
      <c r="X206" s="9">
        <v>287</v>
      </c>
      <c r="Y206" s="9">
        <v>26</v>
      </c>
      <c r="AA206" s="9">
        <v>0</v>
      </c>
      <c r="AB206" s="9">
        <v>0</v>
      </c>
      <c r="AC206" s="9">
        <v>270.7</v>
      </c>
      <c r="AD206" s="9">
        <v>3.6999999999999998E-2</v>
      </c>
      <c r="AE206" s="9">
        <v>2.0499999999999998</v>
      </c>
      <c r="AF206" s="9">
        <v>0.7</v>
      </c>
      <c r="AG206" s="9">
        <v>24</v>
      </c>
      <c r="AH206" s="9">
        <v>0.53</v>
      </c>
      <c r="AI206" s="9">
        <v>0</v>
      </c>
      <c r="AJ206" s="9">
        <v>0</v>
      </c>
      <c r="AK206" s="9">
        <v>187</v>
      </c>
      <c r="AL206" s="9">
        <v>57</v>
      </c>
      <c r="AM206" s="9">
        <v>0</v>
      </c>
      <c r="AN206" s="9">
        <v>0</v>
      </c>
      <c r="AO206" s="9">
        <v>0</v>
      </c>
      <c r="AP206" s="9">
        <v>6.6000000000000003E-2</v>
      </c>
      <c r="AQ206" s="9">
        <v>0</v>
      </c>
      <c r="AR206" s="9">
        <v>0</v>
      </c>
      <c r="AS206" s="9">
        <v>4.41</v>
      </c>
      <c r="AT206" s="9">
        <v>2.1</v>
      </c>
      <c r="AU206" s="9">
        <v>1.83</v>
      </c>
      <c r="AV206" s="9">
        <v>5.52</v>
      </c>
      <c r="AW206" s="9">
        <v>2.79</v>
      </c>
      <c r="AX206" s="9">
        <f>Tabelle1[[#This Row],[Vitamin D3 '[µg/100g']]]*40</f>
        <v>0</v>
      </c>
      <c r="AY206" s="9">
        <f>Tabelle1[[#This Row],[Vitamin A '[µg/100g']]]*3.33</f>
        <v>901.43099999999993</v>
      </c>
      <c r="AZ206" s="9">
        <f>Tabelle1[[#This Row],[Vitamin E '[mg/100g']]]*1.49</f>
        <v>0</v>
      </c>
    </row>
    <row r="207" spans="1:52" hidden="1" x14ac:dyDescent="0.45">
      <c r="A207" t="s">
        <v>694</v>
      </c>
      <c r="B207" s="14" t="s">
        <v>670</v>
      </c>
      <c r="C207" s="14" t="s">
        <v>671</v>
      </c>
      <c r="D207" s="15">
        <v>42</v>
      </c>
      <c r="E207" s="11">
        <f>Tabelle1[[#This Row],[Energie '[kcal/100g']]]/239</f>
        <v>0.17573221757322174</v>
      </c>
      <c r="F207" s="15">
        <v>10.1</v>
      </c>
      <c r="G207" s="11">
        <f>Tabelle1[[#This Row],[Rohprotein '[g/100g']]]*0.85</f>
        <v>8.5849999999999991</v>
      </c>
      <c r="H207" s="15">
        <v>3.1E-2</v>
      </c>
      <c r="I207" s="11">
        <f>Tabelle1[[#This Row],[TS]]-Tabelle1[[#This Row],[Rohprotein '[g/100g']]]-Tabelle1[[#This Row],[Rohfett '[g/100g']]]-Tabelle1[[#This Row],[Rohasche '[g/100g']]]-Tabelle1[[#This Row],[Rohfaser '[g/100g']]]</f>
        <v>1.3550000000000031</v>
      </c>
      <c r="J207" s="11">
        <v>0</v>
      </c>
      <c r="K207" s="15">
        <v>0.71399999999999997</v>
      </c>
      <c r="L207" s="15">
        <v>87.8</v>
      </c>
      <c r="M207" s="15">
        <f>100-Tabelle1[[#This Row],[Wasser '[g/100g']]]</f>
        <v>12.200000000000003</v>
      </c>
      <c r="N207" s="15">
        <v>6</v>
      </c>
      <c r="O207" s="15">
        <v>21</v>
      </c>
      <c r="P207" s="15">
        <v>12</v>
      </c>
      <c r="Q207" s="15">
        <v>189</v>
      </c>
      <c r="R207" s="15">
        <v>152</v>
      </c>
      <c r="S207" s="15"/>
      <c r="T207" s="15">
        <v>0.01</v>
      </c>
      <c r="U207" s="15">
        <v>0.01</v>
      </c>
      <c r="V207" s="11">
        <v>0</v>
      </c>
      <c r="W207" s="15">
        <v>20</v>
      </c>
      <c r="X207" s="15">
        <v>40</v>
      </c>
      <c r="Y207" s="15">
        <v>3</v>
      </c>
      <c r="Z207" s="15"/>
      <c r="AA207" s="15">
        <v>0</v>
      </c>
      <c r="AB207" s="9">
        <v>0</v>
      </c>
      <c r="AC207" s="15">
        <v>671</v>
      </c>
      <c r="AD207" s="15">
        <v>1.6E-2</v>
      </c>
      <c r="AE207" s="15">
        <v>0.36399999999999999</v>
      </c>
      <c r="AF207" s="15">
        <v>3.5000000000000003E-2</v>
      </c>
      <c r="AG207" s="15">
        <v>29</v>
      </c>
      <c r="AH207" s="15">
        <v>0.27</v>
      </c>
      <c r="AI207" s="15">
        <v>0.245</v>
      </c>
      <c r="AJ207" s="15">
        <v>1</v>
      </c>
      <c r="AK207" s="15">
        <v>123</v>
      </c>
      <c r="AL207" s="15">
        <v>4.5999999999999996</v>
      </c>
      <c r="AM207" s="15">
        <v>0</v>
      </c>
      <c r="AN207" s="15">
        <v>0</v>
      </c>
      <c r="AO207" s="15">
        <v>0</v>
      </c>
      <c r="AP207" s="15">
        <v>0.21</v>
      </c>
      <c r="AQ207" s="15">
        <v>0</v>
      </c>
      <c r="AR207" s="15">
        <v>0</v>
      </c>
      <c r="AS207" s="15">
        <v>0.64800000000000002</v>
      </c>
      <c r="AT207" s="15">
        <v>0.26500000000000001</v>
      </c>
      <c r="AU207" s="15">
        <v>0.26500000000000001</v>
      </c>
      <c r="AV207" s="15">
        <v>0.81299999999999994</v>
      </c>
      <c r="AW207" s="15">
        <v>0.44800000000000001</v>
      </c>
      <c r="AX207" s="9">
        <f>Tabelle1[[#This Row],[Vitamin D3 '[µg/100g']]]*40</f>
        <v>0</v>
      </c>
      <c r="AY207" s="9">
        <f>Tabelle1[[#This Row],[Vitamin A '[µg/100g']]]*3.33</f>
        <v>2234.4299999999998</v>
      </c>
      <c r="AZ207" s="9">
        <f>Tabelle1[[#This Row],[Vitamin E '[mg/100g']]]*1.49</f>
        <v>0</v>
      </c>
    </row>
    <row r="208" spans="1:52" hidden="1" x14ac:dyDescent="0.45">
      <c r="A208" t="s">
        <v>694</v>
      </c>
      <c r="B208" t="s">
        <v>672</v>
      </c>
      <c r="C208" t="s">
        <v>673</v>
      </c>
      <c r="D208" s="9">
        <v>338</v>
      </c>
      <c r="E208" s="11">
        <f>Tabelle1[[#This Row],[Energie '[kcal/100g']]]/239</f>
        <v>1.4142259414225942</v>
      </c>
      <c r="F208" s="9">
        <v>81.099999999999994</v>
      </c>
      <c r="G208" s="11">
        <f>Tabelle1[[#This Row],[Rohprotein '[g/100g']]]*0.85</f>
        <v>68.934999999999988</v>
      </c>
      <c r="H208" s="9">
        <v>0.12</v>
      </c>
      <c r="I208" s="11">
        <f>Tabelle1[[#This Row],[TS]]-Tabelle1[[#This Row],[Rohprotein '[g/100g']]]-Tabelle1[[#This Row],[Rohfett '[g/100g']]]-Tabelle1[[#This Row],[Rohasche '[g/100g']]]-Tabelle1[[#This Row],[Rohfaser '[g/100g']]]</f>
        <v>4.3000000000000105</v>
      </c>
      <c r="J208" s="11">
        <v>0</v>
      </c>
      <c r="K208" s="9">
        <v>5.46</v>
      </c>
      <c r="L208" s="9">
        <v>9.02</v>
      </c>
      <c r="M208" s="9">
        <f>100-Tabelle1[[#This Row],[Wasser '[g/100g']]]</f>
        <v>90.98</v>
      </c>
      <c r="N208" s="9">
        <v>84</v>
      </c>
      <c r="O208" s="9">
        <v>110</v>
      </c>
      <c r="P208" s="9">
        <v>72</v>
      </c>
      <c r="Q208" s="9">
        <v>1420</v>
      </c>
      <c r="R208" s="9">
        <v>1070</v>
      </c>
      <c r="T208" s="9">
        <v>0.9</v>
      </c>
      <c r="U208" s="9">
        <v>0.15</v>
      </c>
      <c r="V208" s="11">
        <v>0</v>
      </c>
      <c r="W208" s="9">
        <v>0</v>
      </c>
      <c r="X208" s="9">
        <v>287</v>
      </c>
      <c r="Y208" s="9">
        <v>26</v>
      </c>
      <c r="AA208" s="9">
        <v>0</v>
      </c>
      <c r="AB208" s="9">
        <v>0</v>
      </c>
      <c r="AC208" s="9">
        <v>256.60000000000002</v>
      </c>
      <c r="AD208" s="9">
        <v>3.6999999999999998E-2</v>
      </c>
      <c r="AE208" s="9">
        <v>2.0499999999999998</v>
      </c>
      <c r="AF208" s="9">
        <v>0.7</v>
      </c>
      <c r="AG208" s="9">
        <v>24</v>
      </c>
      <c r="AH208" s="9">
        <v>0.53</v>
      </c>
      <c r="AI208" s="9">
        <v>0</v>
      </c>
      <c r="AJ208" s="9">
        <v>0</v>
      </c>
      <c r="AK208" s="9">
        <v>62</v>
      </c>
      <c r="AL208" s="9">
        <v>57</v>
      </c>
      <c r="AM208" s="9">
        <v>0</v>
      </c>
      <c r="AN208" s="9">
        <v>0</v>
      </c>
      <c r="AO208" s="9">
        <v>0</v>
      </c>
      <c r="AP208" s="9">
        <v>5.8999999999999997E-2</v>
      </c>
      <c r="AQ208" s="9">
        <v>0</v>
      </c>
      <c r="AR208" s="9">
        <v>0</v>
      </c>
      <c r="AS208" s="9">
        <v>4.4000000000000004</v>
      </c>
      <c r="AT208" s="9">
        <v>2.1</v>
      </c>
      <c r="AU208" s="9">
        <v>1.8</v>
      </c>
      <c r="AV208" s="9">
        <v>5.5</v>
      </c>
      <c r="AW208" s="9">
        <v>2.8</v>
      </c>
      <c r="AX208" s="9">
        <f>Tabelle1[[#This Row],[Vitamin D3 '[µg/100g']]]*40</f>
        <v>0</v>
      </c>
      <c r="AY208" s="9">
        <f>Tabelle1[[#This Row],[Vitamin A '[µg/100g']]]*3.33</f>
        <v>854.47800000000007</v>
      </c>
      <c r="AZ208" s="9">
        <f>Tabelle1[[#This Row],[Vitamin E '[mg/100g']]]*1.49</f>
        <v>0</v>
      </c>
    </row>
    <row r="209" spans="1:52" hidden="1" x14ac:dyDescent="0.45">
      <c r="A209" t="s">
        <v>694</v>
      </c>
      <c r="B209" s="14" t="s">
        <v>674</v>
      </c>
      <c r="C209" s="14" t="s">
        <v>675</v>
      </c>
      <c r="D209" s="15">
        <v>42</v>
      </c>
      <c r="E209" s="11">
        <f>Tabelle1[[#This Row],[Energie '[kcal/100g']]]/239</f>
        <v>0.17573221757322174</v>
      </c>
      <c r="F209" s="15">
        <v>9.9</v>
      </c>
      <c r="G209" s="11">
        <f>Tabelle1[[#This Row],[Rohprotein '[g/100g']]]*0.85</f>
        <v>8.4150000000000009</v>
      </c>
      <c r="H209" s="15">
        <v>0.03</v>
      </c>
      <c r="I209" s="11">
        <f>Tabelle1[[#This Row],[TS]]-Tabelle1[[#This Row],[Rohprotein '[g/100g']]]-Tabelle1[[#This Row],[Rohfett '[g/100g']]]-Tabelle1[[#This Row],[Rohasche '[g/100g']]]-Tabelle1[[#This Row],[Rohfaser '[g/100g']]]</f>
        <v>1.3699999999999999</v>
      </c>
      <c r="J209" s="11">
        <v>0</v>
      </c>
      <c r="K209" s="15">
        <v>0.7</v>
      </c>
      <c r="L209" s="15">
        <v>88</v>
      </c>
      <c r="M209" s="15">
        <f>100-Tabelle1[[#This Row],[Wasser '[g/100g']]]</f>
        <v>12</v>
      </c>
      <c r="N209" s="15">
        <v>6</v>
      </c>
      <c r="O209" s="15">
        <v>21</v>
      </c>
      <c r="P209" s="15">
        <v>12</v>
      </c>
      <c r="Q209" s="15">
        <v>185</v>
      </c>
      <c r="R209" s="15">
        <v>149</v>
      </c>
      <c r="S209" s="15"/>
      <c r="T209" s="15">
        <v>0.01</v>
      </c>
      <c r="U209" s="15">
        <v>0.01</v>
      </c>
      <c r="V209" s="11">
        <v>0</v>
      </c>
      <c r="W209" s="15">
        <v>20</v>
      </c>
      <c r="X209" s="15">
        <v>40</v>
      </c>
      <c r="Y209" s="15">
        <v>3</v>
      </c>
      <c r="Z209" s="15"/>
      <c r="AA209" s="15">
        <v>0</v>
      </c>
      <c r="AB209" s="9">
        <v>0</v>
      </c>
      <c r="AC209" s="15">
        <v>0</v>
      </c>
      <c r="AD209" s="15">
        <v>0.02</v>
      </c>
      <c r="AE209" s="15">
        <v>0.42</v>
      </c>
      <c r="AF209" s="15">
        <v>0.04</v>
      </c>
      <c r="AG209" s="15">
        <v>33</v>
      </c>
      <c r="AH209" s="15">
        <v>0.33</v>
      </c>
      <c r="AI209" s="15">
        <v>0.3</v>
      </c>
      <c r="AJ209" s="15">
        <v>1</v>
      </c>
      <c r="AK209" s="15">
        <v>7</v>
      </c>
      <c r="AL209" s="15">
        <v>5.6</v>
      </c>
      <c r="AM209" s="15">
        <v>0</v>
      </c>
      <c r="AN209" s="15">
        <v>0</v>
      </c>
      <c r="AO209" s="15">
        <v>0</v>
      </c>
      <c r="AP209" s="15">
        <v>0</v>
      </c>
      <c r="AQ209" s="15">
        <v>0</v>
      </c>
      <c r="AR209" s="15">
        <v>0</v>
      </c>
      <c r="AS209" s="15">
        <v>0.63500000000000001</v>
      </c>
      <c r="AT209" s="15">
        <v>0.26</v>
      </c>
      <c r="AU209" s="15">
        <v>0.26</v>
      </c>
      <c r="AV209" s="15">
        <v>0.79700000000000004</v>
      </c>
      <c r="AW209" s="15">
        <v>0.439</v>
      </c>
      <c r="AX209" s="9">
        <f>Tabelle1[[#This Row],[Vitamin D3 '[µg/100g']]]*40</f>
        <v>0</v>
      </c>
      <c r="AY209" s="9">
        <f>Tabelle1[[#This Row],[Vitamin A '[µg/100g']]]*3.33</f>
        <v>0</v>
      </c>
      <c r="AZ209" s="9">
        <f>Tabelle1[[#This Row],[Vitamin E '[mg/100g']]]*1.49</f>
        <v>0</v>
      </c>
    </row>
    <row r="210" spans="1:52" hidden="1" x14ac:dyDescent="0.45">
      <c r="A210" t="s">
        <v>694</v>
      </c>
      <c r="B210" s="14" t="s">
        <v>676</v>
      </c>
      <c r="C210" s="14" t="s">
        <v>677</v>
      </c>
      <c r="D210" s="15">
        <v>161</v>
      </c>
      <c r="E210" s="11">
        <f>Tabelle1[[#This Row],[Energie '[kcal/100g']]]/239</f>
        <v>0.67364016736401677</v>
      </c>
      <c r="F210" s="15">
        <v>15.555999999999999</v>
      </c>
      <c r="G210" s="11">
        <f>Tabelle1[[#This Row],[Rohprotein '[g/100g']]]*0.85</f>
        <v>13.222599999999998</v>
      </c>
      <c r="H210" s="15">
        <v>10.843</v>
      </c>
      <c r="I210" s="11">
        <f>Tabelle1[[#This Row],[TS]]-Tabelle1[[#This Row],[Rohprotein '[g/100g']]]-Tabelle1[[#This Row],[Rohfett '[g/100g']]]-Tabelle1[[#This Row],[Rohasche '[g/100g']]]-Tabelle1[[#This Row],[Rohfaser '[g/100g']]]</f>
        <v>0.6559999999999957</v>
      </c>
      <c r="J210" s="11">
        <v>0</v>
      </c>
      <c r="K210" s="15">
        <v>1.06</v>
      </c>
      <c r="L210" s="15">
        <v>71.885000000000005</v>
      </c>
      <c r="M210" s="15">
        <f>100-Tabelle1[[#This Row],[Wasser '[g/100g']]]</f>
        <v>28.114999999999995</v>
      </c>
      <c r="N210" s="15">
        <v>63</v>
      </c>
      <c r="O210" s="15">
        <v>253</v>
      </c>
      <c r="P210" s="15">
        <v>16</v>
      </c>
      <c r="Q210" s="15">
        <v>186</v>
      </c>
      <c r="R210" s="15">
        <v>166</v>
      </c>
      <c r="S210" s="15"/>
      <c r="T210" s="15">
        <v>2.2000000000000002</v>
      </c>
      <c r="U210" s="15">
        <v>1.54</v>
      </c>
      <c r="V210" s="11">
        <v>0</v>
      </c>
      <c r="W210" s="15">
        <v>71</v>
      </c>
      <c r="X210" s="15">
        <v>50</v>
      </c>
      <c r="Y210" s="15">
        <v>49.8</v>
      </c>
      <c r="Z210" s="15"/>
      <c r="AA210" s="15">
        <v>2.1</v>
      </c>
      <c r="AB210" s="15">
        <v>1.482</v>
      </c>
      <c r="AC210" s="15">
        <v>267.3</v>
      </c>
      <c r="AD210" s="15">
        <v>0.08</v>
      </c>
      <c r="AE210" s="15">
        <v>0.52400000000000002</v>
      </c>
      <c r="AF210" s="15">
        <v>5.7000000000000002E-2</v>
      </c>
      <c r="AG210" s="15">
        <v>88.05</v>
      </c>
      <c r="AH210" s="15">
        <v>2.9</v>
      </c>
      <c r="AI210" s="15">
        <v>0</v>
      </c>
      <c r="AJ210" s="15">
        <v>9</v>
      </c>
      <c r="AK210" s="15">
        <v>58</v>
      </c>
      <c r="AL210" s="15">
        <v>21.1</v>
      </c>
      <c r="AM210" s="15">
        <v>0</v>
      </c>
      <c r="AN210" s="15">
        <v>0.151</v>
      </c>
      <c r="AO210" s="15">
        <v>0</v>
      </c>
      <c r="AP210" s="15">
        <v>0.06</v>
      </c>
      <c r="AQ210" s="15">
        <v>1.542</v>
      </c>
      <c r="AR210" s="15">
        <v>1.371</v>
      </c>
      <c r="AS210" s="15">
        <v>0.91400000000000003</v>
      </c>
      <c r="AT210" s="15">
        <v>0.373</v>
      </c>
      <c r="AU210" s="15">
        <v>0.35399999999999998</v>
      </c>
      <c r="AV210" s="15">
        <v>1</v>
      </c>
      <c r="AW210" s="15">
        <v>0.51500000000000001</v>
      </c>
      <c r="AX210" s="9">
        <f>Tabelle1[[#This Row],[Vitamin D3 '[µg/100g']]]*40</f>
        <v>84</v>
      </c>
      <c r="AY210" s="9">
        <f>Tabelle1[[#This Row],[Vitamin A '[µg/100g']]]*3.33</f>
        <v>890.10900000000004</v>
      </c>
      <c r="AZ210" s="9">
        <f>Tabelle1[[#This Row],[Vitamin E '[mg/100g']]]*1.49</f>
        <v>2.20818</v>
      </c>
    </row>
    <row r="211" spans="1:52" hidden="1" x14ac:dyDescent="0.45">
      <c r="A211" t="s">
        <v>694</v>
      </c>
      <c r="B211" t="s">
        <v>678</v>
      </c>
      <c r="C211" t="s">
        <v>679</v>
      </c>
      <c r="D211" s="9">
        <v>151</v>
      </c>
      <c r="E211" s="11">
        <f>Tabelle1[[#This Row],[Energie '[kcal/100g']]]/239</f>
        <v>0.63179916317991636</v>
      </c>
      <c r="F211" s="9">
        <v>14.507</v>
      </c>
      <c r="G211" s="11">
        <f>Tabelle1[[#This Row],[Rohprotein '[g/100g']]]*0.85</f>
        <v>12.33095</v>
      </c>
      <c r="H211" s="9">
        <v>10.112</v>
      </c>
      <c r="I211" s="11">
        <f>Tabelle1[[#This Row],[TS]]-Tabelle1[[#This Row],[Rohprotein '[g/100g']]]-Tabelle1[[#This Row],[Rohfett '[g/100g']]]-Tabelle1[[#This Row],[Rohasche '[g/100g']]]-Tabelle1[[#This Row],[Rohfaser '[g/100g']]]</f>
        <v>5.9919999999999964</v>
      </c>
      <c r="J211" s="11">
        <v>0</v>
      </c>
      <c r="K211" s="9">
        <v>0.98899999999999999</v>
      </c>
      <c r="L211" s="9">
        <v>68.400000000000006</v>
      </c>
      <c r="M211" s="9">
        <f>100-Tabelle1[[#This Row],[Wasser '[g/100g']]]</f>
        <v>31.599999999999994</v>
      </c>
      <c r="N211" s="9">
        <v>58</v>
      </c>
      <c r="O211" s="9">
        <v>236</v>
      </c>
      <c r="P211" s="9">
        <v>15</v>
      </c>
      <c r="Q211" s="9">
        <v>173</v>
      </c>
      <c r="R211" s="9">
        <v>155</v>
      </c>
      <c r="T211" s="9">
        <v>2</v>
      </c>
      <c r="U211" s="9">
        <v>1.44</v>
      </c>
      <c r="V211" s="11">
        <v>0</v>
      </c>
      <c r="W211" s="9">
        <v>66</v>
      </c>
      <c r="X211" s="9">
        <v>40</v>
      </c>
      <c r="Y211" s="9">
        <v>46.4</v>
      </c>
      <c r="AA211" s="9">
        <v>1.9</v>
      </c>
      <c r="AB211" s="9">
        <v>1.341</v>
      </c>
      <c r="AC211" s="9">
        <v>0</v>
      </c>
      <c r="AD211" s="9">
        <v>7.9000000000000001E-2</v>
      </c>
      <c r="AE211" s="9">
        <v>0.47799999999999998</v>
      </c>
      <c r="AF211" s="9">
        <v>5.3999999999999999E-2</v>
      </c>
      <c r="AG211" s="9">
        <v>87.06</v>
      </c>
      <c r="AH211" s="9">
        <v>2.9</v>
      </c>
      <c r="AI211" s="9">
        <v>0</v>
      </c>
      <c r="AJ211" s="9">
        <v>9</v>
      </c>
      <c r="AK211" s="9">
        <v>7</v>
      </c>
      <c r="AL211" s="9">
        <v>19.7</v>
      </c>
      <c r="AM211" s="9">
        <v>0</v>
      </c>
      <c r="AN211" s="9">
        <v>0.14099999999999999</v>
      </c>
      <c r="AO211" s="9">
        <v>0</v>
      </c>
      <c r="AP211" s="9">
        <v>0</v>
      </c>
      <c r="AQ211" s="9">
        <v>1.4390000000000001</v>
      </c>
      <c r="AR211" s="9">
        <v>1.2789999999999999</v>
      </c>
      <c r="AS211" s="9">
        <v>0.85199999999999998</v>
      </c>
      <c r="AT211" s="9">
        <v>0.34799999999999998</v>
      </c>
      <c r="AU211" s="9">
        <v>0.33</v>
      </c>
      <c r="AV211" s="9">
        <v>0.93300000000000005</v>
      </c>
      <c r="AW211" s="9">
        <v>0.48</v>
      </c>
      <c r="AX211" s="9">
        <f>Tabelle1[[#This Row],[Vitamin D3 '[µg/100g']]]*40</f>
        <v>76</v>
      </c>
      <c r="AY211" s="9">
        <f>Tabelle1[[#This Row],[Vitamin A '[µg/100g']]]*3.33</f>
        <v>0</v>
      </c>
      <c r="AZ211" s="9">
        <f>Tabelle1[[#This Row],[Vitamin E '[mg/100g']]]*1.49</f>
        <v>1.9980899999999999</v>
      </c>
    </row>
    <row r="212" spans="1:52" hidden="1" x14ac:dyDescent="0.45">
      <c r="A212" t="s">
        <v>694</v>
      </c>
      <c r="B212" s="14" t="s">
        <v>680</v>
      </c>
      <c r="C212" s="14" t="s">
        <v>681</v>
      </c>
      <c r="D212" s="15">
        <v>144</v>
      </c>
      <c r="E212" s="11">
        <f>Tabelle1[[#This Row],[Energie '[kcal/100g']]]/239</f>
        <v>0.60251046025104604</v>
      </c>
      <c r="F212" s="15">
        <v>14.1</v>
      </c>
      <c r="G212" s="11">
        <f>Tabelle1[[#This Row],[Rohprotein '[g/100g']]]*0.85</f>
        <v>11.984999999999999</v>
      </c>
      <c r="H212" s="15">
        <v>9.6</v>
      </c>
      <c r="I212" s="11">
        <f>Tabelle1[[#This Row],[TS]]-Tabelle1[[#This Row],[Rohprotein '[g/100g']]]-Tabelle1[[#This Row],[Rohfett '[g/100g']]]-Tabelle1[[#This Row],[Rohasche '[g/100g']]]-Tabelle1[[#This Row],[Rohfaser '[g/100g']]]</f>
        <v>-4.9960036108132044E-15</v>
      </c>
      <c r="J212" s="11">
        <v>0</v>
      </c>
      <c r="K212" s="15">
        <v>0.9</v>
      </c>
      <c r="L212" s="15">
        <v>75.400000000000006</v>
      </c>
      <c r="M212" s="15">
        <f>100-Tabelle1[[#This Row],[Wasser '[g/100g']]]</f>
        <v>24.599999999999994</v>
      </c>
      <c r="N212" s="15">
        <v>55</v>
      </c>
      <c r="O212" s="15">
        <v>210</v>
      </c>
      <c r="P212" s="15">
        <v>14</v>
      </c>
      <c r="Q212" s="15">
        <v>150</v>
      </c>
      <c r="R212" s="15">
        <v>141</v>
      </c>
      <c r="S212" s="15"/>
      <c r="T212" s="15">
        <v>1.97</v>
      </c>
      <c r="U212" s="15">
        <v>1.32</v>
      </c>
      <c r="V212" s="11">
        <v>0</v>
      </c>
      <c r="W212" s="15">
        <v>59</v>
      </c>
      <c r="X212" s="15">
        <v>40</v>
      </c>
      <c r="Y212" s="15">
        <v>52</v>
      </c>
      <c r="Z212" s="15"/>
      <c r="AA212" s="15">
        <v>2.2999999999999998</v>
      </c>
      <c r="AB212" s="15">
        <v>1.56</v>
      </c>
      <c r="AC212" s="15">
        <v>264.5</v>
      </c>
      <c r="AD212" s="15">
        <v>0.08</v>
      </c>
      <c r="AE212" s="15">
        <v>0.47</v>
      </c>
      <c r="AF212" s="15">
        <v>0.08</v>
      </c>
      <c r="AG212" s="15">
        <v>67.7</v>
      </c>
      <c r="AH212" s="15">
        <v>2</v>
      </c>
      <c r="AI212" s="15">
        <v>0</v>
      </c>
      <c r="AJ212" s="15">
        <v>8</v>
      </c>
      <c r="AK212" s="15">
        <v>58</v>
      </c>
      <c r="AL212" s="15">
        <v>15.6</v>
      </c>
      <c r="AM212" s="15">
        <v>0</v>
      </c>
      <c r="AN212" s="15">
        <v>0.14000000000000001</v>
      </c>
      <c r="AO212" s="15">
        <v>0</v>
      </c>
      <c r="AP212" s="15">
        <v>0.06</v>
      </c>
      <c r="AQ212" s="15">
        <v>1.34</v>
      </c>
      <c r="AR212" s="15">
        <v>1.19</v>
      </c>
      <c r="AS212" s="15">
        <v>0.77400000000000002</v>
      </c>
      <c r="AT212" s="15">
        <v>0.316</v>
      </c>
      <c r="AU212" s="15">
        <v>0.3</v>
      </c>
      <c r="AV212" s="15">
        <v>0.84699999999999998</v>
      </c>
      <c r="AW212" s="15">
        <v>0.436</v>
      </c>
      <c r="AX212" s="9">
        <f>Tabelle1[[#This Row],[Vitamin D3 '[µg/100g']]]*40</f>
        <v>92</v>
      </c>
      <c r="AY212" s="9">
        <f>Tabelle1[[#This Row],[Vitamin A '[µg/100g']]]*3.33</f>
        <v>880.78499999999997</v>
      </c>
      <c r="AZ212" s="9">
        <f>Tabelle1[[#This Row],[Vitamin E '[mg/100g']]]*1.49</f>
        <v>2.3244000000000002</v>
      </c>
    </row>
    <row r="213" spans="1:52" hidden="1" x14ac:dyDescent="0.45">
      <c r="A213" t="s">
        <v>694</v>
      </c>
      <c r="B213" t="s">
        <v>682</v>
      </c>
      <c r="C213" t="s">
        <v>683</v>
      </c>
      <c r="D213" s="9">
        <v>138</v>
      </c>
      <c r="E213" s="11">
        <f>Tabelle1[[#This Row],[Energie '[kcal/100g']]]/239</f>
        <v>0.57740585774058573</v>
      </c>
      <c r="F213" s="9">
        <v>13.444000000000001</v>
      </c>
      <c r="G213" s="11">
        <f>Tabelle1[[#This Row],[Rohprotein '[g/100g']]]*0.85</f>
        <v>11.4274</v>
      </c>
      <c r="H213" s="9">
        <v>9.1839999999999993</v>
      </c>
      <c r="I213" s="11">
        <f>Tabelle1[[#This Row],[TS]]-Tabelle1[[#This Row],[Rohprotein '[g/100g']]]-Tabelle1[[#This Row],[Rohfett '[g/100g']]]-Tabelle1[[#This Row],[Rohasche '[g/100g']]]-Tabelle1[[#This Row],[Rohfaser '[g/100g']]]</f>
        <v>0.59199999999999486</v>
      </c>
      <c r="J213" s="11">
        <v>0</v>
      </c>
      <c r="K213" s="9">
        <v>0.89800000000000002</v>
      </c>
      <c r="L213" s="9">
        <v>75.882000000000005</v>
      </c>
      <c r="M213" s="9">
        <f>100-Tabelle1[[#This Row],[Wasser '[g/100g']]]</f>
        <v>24.117999999999995</v>
      </c>
      <c r="N213" s="9">
        <v>53</v>
      </c>
      <c r="O213" s="9">
        <v>214</v>
      </c>
      <c r="P213" s="9">
        <v>13</v>
      </c>
      <c r="Q213" s="9">
        <v>157</v>
      </c>
      <c r="R213" s="9">
        <v>141</v>
      </c>
      <c r="T213" s="9">
        <v>1.8</v>
      </c>
      <c r="U213" s="9">
        <v>1.31</v>
      </c>
      <c r="V213" s="11">
        <v>0</v>
      </c>
      <c r="W213" s="9">
        <v>60</v>
      </c>
      <c r="X213" s="9">
        <v>40</v>
      </c>
      <c r="Y213" s="9">
        <v>42.2</v>
      </c>
      <c r="AA213" s="9">
        <v>1.7</v>
      </c>
      <c r="AB213" s="9">
        <v>1.2549999999999999</v>
      </c>
      <c r="AC213" s="9">
        <v>0</v>
      </c>
      <c r="AD213" s="9">
        <v>6.5000000000000002E-2</v>
      </c>
      <c r="AE213" s="9">
        <v>0.434</v>
      </c>
      <c r="AF213" s="9">
        <v>4.2999999999999997E-2</v>
      </c>
      <c r="AG213" s="9">
        <v>76.37</v>
      </c>
      <c r="AH213" s="9">
        <v>2.2000000000000002</v>
      </c>
      <c r="AI213" s="9">
        <v>0</v>
      </c>
      <c r="AJ213" s="9">
        <v>8</v>
      </c>
      <c r="AK213" s="9">
        <v>7</v>
      </c>
      <c r="AL213" s="9">
        <v>15.9</v>
      </c>
      <c r="AM213" s="9">
        <v>0</v>
      </c>
      <c r="AN213" s="9">
        <v>0.128</v>
      </c>
      <c r="AO213" s="9">
        <v>0</v>
      </c>
      <c r="AP213" s="9">
        <v>0</v>
      </c>
      <c r="AQ213" s="9">
        <v>1.306</v>
      </c>
      <c r="AR213" s="9">
        <v>1.161</v>
      </c>
      <c r="AS213" s="9">
        <v>0.79</v>
      </c>
      <c r="AT213" s="9">
        <v>0.32200000000000001</v>
      </c>
      <c r="AU213" s="9">
        <v>0.30599999999999999</v>
      </c>
      <c r="AV213" s="9">
        <v>0.86399999999999999</v>
      </c>
      <c r="AW213" s="9">
        <v>0.44500000000000001</v>
      </c>
      <c r="AX213" s="9">
        <f>Tabelle1[[#This Row],[Vitamin D3 '[µg/100g']]]*40</f>
        <v>68</v>
      </c>
      <c r="AY213" s="9">
        <f>Tabelle1[[#This Row],[Vitamin A '[µg/100g']]]*3.33</f>
        <v>0</v>
      </c>
      <c r="AZ213" s="9">
        <f>Tabelle1[[#This Row],[Vitamin E '[mg/100g']]]*1.49</f>
        <v>1.8699499999999998</v>
      </c>
    </row>
    <row r="214" spans="1:52" hidden="1" x14ac:dyDescent="0.45">
      <c r="A214" t="s">
        <v>694</v>
      </c>
      <c r="B214" t="s">
        <v>684</v>
      </c>
      <c r="C214" t="s">
        <v>685</v>
      </c>
      <c r="D214" s="9">
        <v>562</v>
      </c>
      <c r="E214" s="11">
        <f>Tabelle1[[#This Row],[Energie '[kcal/100g']]]/239</f>
        <v>2.3514644351464433</v>
      </c>
      <c r="F214" s="9">
        <v>46</v>
      </c>
      <c r="G214" s="11">
        <f>Tabelle1[[#This Row],[Rohprotein '[g/100g']]]*0.85</f>
        <v>39.1</v>
      </c>
      <c r="H214" s="9">
        <v>41.8</v>
      </c>
      <c r="I214" s="11">
        <f>Tabelle1[[#This Row],[TS]]-Tabelle1[[#This Row],[Rohprotein '[g/100g']]]-Tabelle1[[#This Row],[Rohfett '[g/100g']]]-Tabelle1[[#This Row],[Rohasche '[g/100g']]]-Tabelle1[[#This Row],[Rohfaser '[g/100g']]]</f>
        <v>2.4000000000000075</v>
      </c>
      <c r="J214" s="11">
        <v>0</v>
      </c>
      <c r="K214" s="9">
        <v>3.67</v>
      </c>
      <c r="L214" s="9">
        <v>6.13</v>
      </c>
      <c r="M214" s="9">
        <f>100-Tabelle1[[#This Row],[Wasser '[g/100g']]]</f>
        <v>93.87</v>
      </c>
      <c r="N214" s="9">
        <v>190</v>
      </c>
      <c r="O214" s="9">
        <v>756</v>
      </c>
      <c r="P214" s="9">
        <v>46</v>
      </c>
      <c r="Q214" s="9">
        <v>521</v>
      </c>
      <c r="R214" s="9">
        <v>490</v>
      </c>
      <c r="T214" s="9">
        <v>6.9</v>
      </c>
      <c r="U214" s="9">
        <v>5.03</v>
      </c>
      <c r="V214" s="11">
        <v>0</v>
      </c>
      <c r="W214" s="9">
        <v>238</v>
      </c>
      <c r="X214" s="9">
        <v>135</v>
      </c>
      <c r="Y214" s="9">
        <v>174</v>
      </c>
      <c r="AA214" s="9">
        <v>5</v>
      </c>
      <c r="AB214" s="9">
        <v>9</v>
      </c>
      <c r="AC214" s="9">
        <v>708</v>
      </c>
      <c r="AD214" s="9">
        <v>0.44</v>
      </c>
      <c r="AE214" s="9">
        <v>1.38</v>
      </c>
      <c r="AF214" s="9">
        <v>0.24</v>
      </c>
      <c r="AG214" s="9">
        <v>80</v>
      </c>
      <c r="AH214" s="9">
        <v>9.57</v>
      </c>
      <c r="AI214" s="9">
        <v>0</v>
      </c>
      <c r="AJ214" s="9">
        <v>0</v>
      </c>
      <c r="AK214" s="9">
        <v>121</v>
      </c>
      <c r="AL214" s="9">
        <v>84</v>
      </c>
      <c r="AM214" s="9">
        <v>0</v>
      </c>
      <c r="AN214" s="9">
        <v>0.28999999999999998</v>
      </c>
      <c r="AO214" s="9">
        <v>0</v>
      </c>
      <c r="AP214" s="9">
        <v>0.24</v>
      </c>
      <c r="AQ214" s="9">
        <v>5.28</v>
      </c>
      <c r="AR214" s="9">
        <v>5</v>
      </c>
      <c r="AS214" s="9">
        <v>2.9870000000000001</v>
      </c>
      <c r="AT214" s="9">
        <v>1.052</v>
      </c>
      <c r="AU214" s="9">
        <v>1.147</v>
      </c>
      <c r="AV214" s="9">
        <v>3.2450000000000001</v>
      </c>
      <c r="AW214" s="9">
        <v>1.5529999999999999</v>
      </c>
      <c r="AX214" s="9">
        <f>Tabelle1[[#This Row],[Vitamin D3 '[µg/100g']]]*40</f>
        <v>200</v>
      </c>
      <c r="AY214" s="9">
        <f>Tabelle1[[#This Row],[Vitamin A '[µg/100g']]]*3.33</f>
        <v>2357.64</v>
      </c>
      <c r="AZ214" s="9">
        <f>Tabelle1[[#This Row],[Vitamin E '[mg/100g']]]*1.49</f>
        <v>13.41</v>
      </c>
    </row>
    <row r="215" spans="1:52" hidden="1" x14ac:dyDescent="0.45">
      <c r="A215" t="s">
        <v>694</v>
      </c>
      <c r="B215" t="s">
        <v>686</v>
      </c>
      <c r="C215" t="s">
        <v>687</v>
      </c>
      <c r="D215" s="9">
        <v>135</v>
      </c>
      <c r="E215" s="11">
        <f>Tabelle1[[#This Row],[Energie '[kcal/100g']]]/239</f>
        <v>0.56485355648535562</v>
      </c>
      <c r="F215" s="9">
        <v>13.175000000000001</v>
      </c>
      <c r="G215" s="11">
        <f>Tabelle1[[#This Row],[Rohprotein '[g/100g']]]*0.85</f>
        <v>11.19875</v>
      </c>
      <c r="H215" s="9">
        <v>9</v>
      </c>
      <c r="I215" s="11">
        <f>Tabelle1[[#This Row],[TS]]-Tabelle1[[#This Row],[Rohprotein '[g/100g']]]-Tabelle1[[#This Row],[Rohfett '[g/100g']]]-Tabelle1[[#This Row],[Rohasche '[g/100g']]]-Tabelle1[[#This Row],[Rohfaser '[g/100g']]]</f>
        <v>0.58499999999999985</v>
      </c>
      <c r="J215" s="11">
        <v>0</v>
      </c>
      <c r="K215" s="9">
        <v>0.88</v>
      </c>
      <c r="L215" s="9">
        <v>76.36</v>
      </c>
      <c r="M215" s="9">
        <f>100-Tabelle1[[#This Row],[Wasser '[g/100g']]]</f>
        <v>23.64</v>
      </c>
      <c r="N215" s="9">
        <v>52</v>
      </c>
      <c r="O215" s="9">
        <v>210</v>
      </c>
      <c r="P215" s="9">
        <v>13</v>
      </c>
      <c r="Q215" s="9">
        <v>154</v>
      </c>
      <c r="R215" s="9">
        <v>138</v>
      </c>
      <c r="T215" s="9">
        <v>1.8</v>
      </c>
      <c r="U215" s="9">
        <v>1.28</v>
      </c>
      <c r="V215" s="11">
        <v>0</v>
      </c>
      <c r="W215" s="9">
        <v>59</v>
      </c>
      <c r="X215" s="9">
        <v>40</v>
      </c>
      <c r="Y215" s="9">
        <v>43.5</v>
      </c>
      <c r="AA215" s="9">
        <v>1.8</v>
      </c>
      <c r="AB215" s="9">
        <v>1.23</v>
      </c>
      <c r="AC215" s="9">
        <v>18</v>
      </c>
      <c r="AD215" s="9">
        <v>0.08</v>
      </c>
      <c r="AE215" s="9">
        <v>0.5</v>
      </c>
      <c r="AF215" s="9">
        <v>0.05</v>
      </c>
      <c r="AG215" s="9">
        <v>88.05</v>
      </c>
      <c r="AH215" s="9">
        <v>2.7</v>
      </c>
      <c r="AI215" s="9">
        <v>0</v>
      </c>
      <c r="AJ215" s="9">
        <v>8</v>
      </c>
      <c r="AK215" s="9">
        <v>5</v>
      </c>
      <c r="AL215" s="9">
        <v>19.5</v>
      </c>
      <c r="AM215" s="9">
        <v>0</v>
      </c>
      <c r="AN215" s="9">
        <v>0.126</v>
      </c>
      <c r="AO215" s="9">
        <v>0.01</v>
      </c>
      <c r="AP215" s="9">
        <v>0</v>
      </c>
      <c r="AQ215" s="9">
        <v>1.28</v>
      </c>
      <c r="AR215" s="9">
        <v>1.1379999999999999</v>
      </c>
      <c r="AS215" s="9">
        <v>0.77400000000000002</v>
      </c>
      <c r="AT215" s="9">
        <v>0.316</v>
      </c>
      <c r="AU215" s="9">
        <v>0.3</v>
      </c>
      <c r="AV215" s="9">
        <v>0.84699999999999998</v>
      </c>
      <c r="AW215" s="9">
        <v>0.436</v>
      </c>
      <c r="AX215" s="9">
        <f>Tabelle1[[#This Row],[Vitamin D3 '[µg/100g']]]*40</f>
        <v>72</v>
      </c>
      <c r="AY215" s="9">
        <f>Tabelle1[[#This Row],[Vitamin A '[µg/100g']]]*3.33</f>
        <v>59.94</v>
      </c>
      <c r="AZ215" s="9">
        <f>Tabelle1[[#This Row],[Vitamin E '[mg/100g']]]*1.49</f>
        <v>1.8327</v>
      </c>
    </row>
    <row r="216" spans="1:52" hidden="1" x14ac:dyDescent="0.45">
      <c r="A216" t="s">
        <v>641</v>
      </c>
      <c r="B216" s="14" t="s">
        <v>573</v>
      </c>
      <c r="C216" s="14" t="s">
        <v>574</v>
      </c>
      <c r="D216" s="15">
        <v>48</v>
      </c>
      <c r="E216" s="11">
        <f>Tabelle1[[#This Row],[Energie '[kcal/100g']]]/239</f>
        <v>0.20083682008368201</v>
      </c>
      <c r="F216" s="15">
        <v>5.27</v>
      </c>
      <c r="G216" s="11">
        <f>Tabelle1[[#This Row],[Rohprotein '[g/100g']]]*0.85</f>
        <v>4.4794999999999998</v>
      </c>
      <c r="H216" s="15">
        <v>0.1</v>
      </c>
      <c r="I216" s="11">
        <f>Tabelle1[[#This Row],[TS]]-Tabelle1[[#This Row],[Rohprotein '[g/100g']]]-Tabelle1[[#This Row],[Rohfett '[g/100g']]]-Tabelle1[[#This Row],[Rohasche '[g/100g']]]-Tabelle1[[#This Row],[Rohfaser '[g/100g']]]</f>
        <v>3.9300000000000037</v>
      </c>
      <c r="J216" s="11">
        <v>0</v>
      </c>
      <c r="K216" s="15">
        <v>0.9</v>
      </c>
      <c r="L216" s="15">
        <v>89.8</v>
      </c>
      <c r="M216" s="15">
        <f>100-Tabelle1[[#This Row],[Wasser '[g/100g']]]</f>
        <v>10.200000000000003</v>
      </c>
      <c r="N216" s="15">
        <v>143</v>
      </c>
      <c r="O216" s="15">
        <v>109</v>
      </c>
      <c r="P216" s="15">
        <v>14</v>
      </c>
      <c r="Q216" s="15">
        <v>55</v>
      </c>
      <c r="R216" s="15">
        <v>187</v>
      </c>
      <c r="S216" s="15"/>
      <c r="T216" s="15">
        <v>5.5E-2</v>
      </c>
      <c r="U216" s="15">
        <v>0.45</v>
      </c>
      <c r="V216" s="11">
        <v>0</v>
      </c>
      <c r="W216" s="15">
        <v>12</v>
      </c>
      <c r="X216" s="15">
        <v>3</v>
      </c>
      <c r="Y216" s="15">
        <v>3.8</v>
      </c>
      <c r="Z216" s="15"/>
      <c r="AA216" s="15">
        <v>0</v>
      </c>
      <c r="AB216" s="15">
        <v>2E-3</v>
      </c>
      <c r="AC216" s="15">
        <v>0.9</v>
      </c>
      <c r="AD216" s="15">
        <v>3.7999999999999999E-2</v>
      </c>
      <c r="AE216" s="15">
        <v>0.18</v>
      </c>
      <c r="AF216" s="15">
        <v>9.1999999999999998E-2</v>
      </c>
      <c r="AG216" s="15">
        <v>47</v>
      </c>
      <c r="AH216" s="15">
        <v>0.43</v>
      </c>
      <c r="AI216" s="15">
        <v>1.7</v>
      </c>
      <c r="AJ216" s="15">
        <v>0.1</v>
      </c>
      <c r="AK216" s="15">
        <v>12</v>
      </c>
      <c r="AL216" s="15">
        <v>4</v>
      </c>
      <c r="AM216" s="15">
        <v>4.84</v>
      </c>
      <c r="AN216" s="15">
        <v>1.3999999999999999E-4</v>
      </c>
      <c r="AO216" s="15">
        <v>0</v>
      </c>
      <c r="AP216" s="15">
        <v>0</v>
      </c>
      <c r="AQ216" s="15">
        <v>2.9E-4</v>
      </c>
      <c r="AR216" s="15">
        <v>2.9E-4</v>
      </c>
      <c r="AS216" s="15">
        <v>0.16</v>
      </c>
      <c r="AT216" s="15">
        <v>3.4000000000000002E-2</v>
      </c>
      <c r="AU216" s="15">
        <v>0.12</v>
      </c>
      <c r="AV216" s="15">
        <v>0.35</v>
      </c>
      <c r="AW216" s="15">
        <v>0.11</v>
      </c>
      <c r="AX216" s="9">
        <f>Tabelle1[[#This Row],[Vitamin D3 '[µg/100g']]]*40</f>
        <v>0</v>
      </c>
      <c r="AY216" s="9">
        <f>Tabelle1[[#This Row],[Vitamin A '[µg/100g']]]*3.33</f>
        <v>2.9970000000000003</v>
      </c>
      <c r="AZ216" s="9">
        <f>Tabelle1[[#This Row],[Vitamin E '[mg/100g']]]*1.49</f>
        <v>2.98E-3</v>
      </c>
    </row>
    <row r="217" spans="1:52" hidden="1" x14ac:dyDescent="0.45">
      <c r="A217" t="s">
        <v>641</v>
      </c>
      <c r="B217" t="s">
        <v>575</v>
      </c>
      <c r="C217" t="s">
        <v>576</v>
      </c>
      <c r="D217" s="9">
        <v>49</v>
      </c>
      <c r="E217" s="11">
        <f>Tabelle1[[#This Row],[Energie '[kcal/100g']]]/239</f>
        <v>0.20502092050209206</v>
      </c>
      <c r="F217" s="9">
        <v>5.27</v>
      </c>
      <c r="G217" s="11">
        <f>Tabelle1[[#This Row],[Rohprotein '[g/100g']]]*0.85</f>
        <v>4.4794999999999998</v>
      </c>
      <c r="H217" s="9">
        <v>0.1</v>
      </c>
      <c r="I217" s="11">
        <f>Tabelle1[[#This Row],[TS]]-Tabelle1[[#This Row],[Rohprotein '[g/100g']]]-Tabelle1[[#This Row],[Rohfett '[g/100g']]]-Tabelle1[[#This Row],[Rohasche '[g/100g']]]-Tabelle1[[#This Row],[Rohfaser '[g/100g']]]</f>
        <v>3.9300000000000037</v>
      </c>
      <c r="J217" s="11">
        <v>0</v>
      </c>
      <c r="K217" s="9">
        <v>0.9</v>
      </c>
      <c r="L217" s="9">
        <v>89.8</v>
      </c>
      <c r="M217" s="9">
        <f>100-Tabelle1[[#This Row],[Wasser '[g/100g']]]</f>
        <v>10.200000000000003</v>
      </c>
      <c r="N217" s="9">
        <v>143</v>
      </c>
      <c r="O217" s="9">
        <v>109</v>
      </c>
      <c r="P217" s="9">
        <v>14</v>
      </c>
      <c r="Q217" s="9">
        <v>55</v>
      </c>
      <c r="R217" s="9">
        <v>187</v>
      </c>
      <c r="T217" s="9">
        <v>5.5E-2</v>
      </c>
      <c r="U217" s="9">
        <v>0.45</v>
      </c>
      <c r="V217" s="11">
        <v>0</v>
      </c>
      <c r="W217" s="9">
        <v>12</v>
      </c>
      <c r="X217" s="9">
        <v>3</v>
      </c>
      <c r="Y217" s="9">
        <v>3.8</v>
      </c>
      <c r="AA217" s="9">
        <v>0</v>
      </c>
      <c r="AB217" s="9">
        <v>2E-3</v>
      </c>
      <c r="AC217" s="9">
        <v>0.9</v>
      </c>
      <c r="AD217" s="9">
        <v>3.7999999999999999E-2</v>
      </c>
      <c r="AE217" s="9">
        <v>0.18</v>
      </c>
      <c r="AF217" s="9">
        <v>9.1999999999999998E-2</v>
      </c>
      <c r="AG217" s="9">
        <v>47</v>
      </c>
      <c r="AH217" s="9">
        <v>0.43</v>
      </c>
      <c r="AI217" s="9">
        <v>1.7</v>
      </c>
      <c r="AJ217" s="9">
        <v>0.1</v>
      </c>
      <c r="AK217" s="9">
        <v>12</v>
      </c>
      <c r="AL217" s="9">
        <v>3.6</v>
      </c>
      <c r="AM217" s="9">
        <v>0.05</v>
      </c>
      <c r="AN217" s="9">
        <v>0</v>
      </c>
      <c r="AO217" s="9">
        <v>0</v>
      </c>
      <c r="AP217" s="15">
        <v>0</v>
      </c>
      <c r="AQ217" s="9">
        <v>0</v>
      </c>
      <c r="AR217" s="9">
        <v>0</v>
      </c>
      <c r="AS217" s="9">
        <v>0.18</v>
      </c>
      <c r="AT217" s="9">
        <v>0.04</v>
      </c>
      <c r="AU217" s="9">
        <v>0.15</v>
      </c>
      <c r="AV217" s="9">
        <v>0.46</v>
      </c>
      <c r="AW217" s="9">
        <v>0.14000000000000001</v>
      </c>
      <c r="AX217" s="9">
        <f>Tabelle1[[#This Row],[Vitamin D3 '[µg/100g']]]*40</f>
        <v>0</v>
      </c>
      <c r="AY217" s="9">
        <f>Tabelle1[[#This Row],[Vitamin A '[µg/100g']]]*3.33</f>
        <v>2.9970000000000003</v>
      </c>
      <c r="AZ217" s="9">
        <f>Tabelle1[[#This Row],[Vitamin E '[mg/100g']]]*1.49</f>
        <v>2.98E-3</v>
      </c>
    </row>
    <row r="218" spans="1:52" hidden="1" x14ac:dyDescent="0.45">
      <c r="A218" t="s">
        <v>641</v>
      </c>
      <c r="B218" s="14" t="s">
        <v>577</v>
      </c>
      <c r="C218" s="14" t="s">
        <v>578</v>
      </c>
      <c r="D218" s="15">
        <v>62</v>
      </c>
      <c r="E218" s="11">
        <f>Tabelle1[[#This Row],[Energie '[kcal/100g']]]/239</f>
        <v>0.2594142259414226</v>
      </c>
      <c r="F218" s="15">
        <v>5.0350000000000001</v>
      </c>
      <c r="G218" s="11">
        <f>Tabelle1[[#This Row],[Rohprotein '[g/100g']]]*0.85</f>
        <v>4.2797499999999999</v>
      </c>
      <c r="H218" s="15">
        <v>1.6</v>
      </c>
      <c r="I218" s="11">
        <f>Tabelle1[[#This Row],[TS]]-Tabelle1[[#This Row],[Rohprotein '[g/100g']]]-Tabelle1[[#This Row],[Rohfett '[g/100g']]]-Tabelle1[[#This Row],[Rohasche '[g/100g']]]-Tabelle1[[#This Row],[Rohfaser '[g/100g']]]</f>
        <v>3.7149999999999945</v>
      </c>
      <c r="J218" s="11">
        <v>0</v>
      </c>
      <c r="K218" s="15">
        <v>0.75</v>
      </c>
      <c r="L218" s="15">
        <v>88.9</v>
      </c>
      <c r="M218" s="15">
        <f>100-Tabelle1[[#This Row],[Wasser '[g/100g']]]</f>
        <v>11.099999999999994</v>
      </c>
      <c r="N218" s="15">
        <v>114</v>
      </c>
      <c r="O218" s="15">
        <v>87</v>
      </c>
      <c r="P218" s="15">
        <v>11</v>
      </c>
      <c r="Q218" s="15">
        <v>57</v>
      </c>
      <c r="R218" s="15">
        <v>149</v>
      </c>
      <c r="S218" s="15"/>
      <c r="T218" s="15">
        <v>4.3999999999999997E-2</v>
      </c>
      <c r="U218" s="15">
        <v>0.36</v>
      </c>
      <c r="V218" s="11">
        <v>0</v>
      </c>
      <c r="W218" s="15">
        <v>9</v>
      </c>
      <c r="X218" s="15">
        <v>2</v>
      </c>
      <c r="Y218" s="15">
        <v>3.6</v>
      </c>
      <c r="Z218" s="15"/>
      <c r="AA218" s="15">
        <v>2.8000000000000001E-2</v>
      </c>
      <c r="AB218" s="15">
        <v>0.04</v>
      </c>
      <c r="AC218" s="15">
        <v>140</v>
      </c>
      <c r="AD218" s="15">
        <v>3.5000000000000003E-2</v>
      </c>
      <c r="AE218" s="15">
        <v>0.17</v>
      </c>
      <c r="AF218" s="15">
        <v>8.5999999999999993E-2</v>
      </c>
      <c r="AG218" s="15">
        <v>44</v>
      </c>
      <c r="AH218" s="15">
        <v>0.4</v>
      </c>
      <c r="AI218" s="15">
        <v>1.6</v>
      </c>
      <c r="AJ218" s="15">
        <v>0.5</v>
      </c>
      <c r="AK218" s="15">
        <v>7</v>
      </c>
      <c r="AL218" s="15">
        <v>3</v>
      </c>
      <c r="AM218" s="15">
        <v>4.71</v>
      </c>
      <c r="AN218" s="15">
        <v>1.0999999999999999E-2</v>
      </c>
      <c r="AO218" s="15">
        <v>0</v>
      </c>
      <c r="AP218" s="15">
        <v>0</v>
      </c>
      <c r="AQ218" s="15">
        <v>4.1000000000000002E-2</v>
      </c>
      <c r="AR218" s="15">
        <v>4.1000000000000002E-2</v>
      </c>
      <c r="AS218" s="15">
        <v>0.13</v>
      </c>
      <c r="AT218" s="15">
        <v>2.7E-2</v>
      </c>
      <c r="AU218" s="15">
        <v>9.5000000000000001E-2</v>
      </c>
      <c r="AV218" s="15">
        <v>0.28000000000000003</v>
      </c>
      <c r="AW218" s="15">
        <v>9.1999999999999998E-2</v>
      </c>
      <c r="AX218" s="9">
        <f>Tabelle1[[#This Row],[Vitamin D3 '[µg/100g']]]*40</f>
        <v>1.1200000000000001</v>
      </c>
      <c r="AY218" s="9">
        <f>Tabelle1[[#This Row],[Vitamin A '[µg/100g']]]*3.33</f>
        <v>466.2</v>
      </c>
      <c r="AZ218" s="9">
        <f>Tabelle1[[#This Row],[Vitamin E '[mg/100g']]]*1.49</f>
        <v>5.96E-2</v>
      </c>
    </row>
    <row r="219" spans="1:52" hidden="1" x14ac:dyDescent="0.45">
      <c r="A219" t="s">
        <v>641</v>
      </c>
      <c r="B219" t="s">
        <v>579</v>
      </c>
      <c r="C219" t="s">
        <v>580</v>
      </c>
      <c r="D219" s="9">
        <v>63</v>
      </c>
      <c r="E219" s="11">
        <f>Tabelle1[[#This Row],[Energie '[kcal/100g']]]/239</f>
        <v>0.26359832635983266</v>
      </c>
      <c r="F219" s="9">
        <v>5.0350000000000001</v>
      </c>
      <c r="G219" s="11">
        <f>Tabelle1[[#This Row],[Rohprotein '[g/100g']]]*0.85</f>
        <v>4.2797499999999999</v>
      </c>
      <c r="H219" s="9">
        <v>1.6</v>
      </c>
      <c r="I219" s="11">
        <f>Tabelle1[[#This Row],[TS]]-Tabelle1[[#This Row],[Rohprotein '[g/100g']]]-Tabelle1[[#This Row],[Rohfett '[g/100g']]]-Tabelle1[[#This Row],[Rohasche '[g/100g']]]-Tabelle1[[#This Row],[Rohfaser '[g/100g']]]</f>
        <v>3.7149999999999945</v>
      </c>
      <c r="J219" s="11">
        <v>0</v>
      </c>
      <c r="K219" s="9">
        <v>0.75</v>
      </c>
      <c r="L219" s="9">
        <v>88.9</v>
      </c>
      <c r="M219" s="9">
        <f>100-Tabelle1[[#This Row],[Wasser '[g/100g']]]</f>
        <v>11.099999999999994</v>
      </c>
      <c r="N219" s="9">
        <v>114</v>
      </c>
      <c r="O219" s="9">
        <v>87</v>
      </c>
      <c r="P219" s="9">
        <v>11</v>
      </c>
      <c r="Q219" s="9">
        <v>57</v>
      </c>
      <c r="R219" s="9">
        <v>149</v>
      </c>
      <c r="T219" s="9">
        <v>4.3999999999999997E-2</v>
      </c>
      <c r="U219" s="9">
        <v>0.36</v>
      </c>
      <c r="V219" s="11">
        <v>0</v>
      </c>
      <c r="W219" s="9">
        <v>9</v>
      </c>
      <c r="X219" s="9">
        <v>2</v>
      </c>
      <c r="Y219" s="9">
        <v>3.6</v>
      </c>
      <c r="AA219" s="9">
        <v>2.8000000000000001E-2</v>
      </c>
      <c r="AB219" s="9">
        <v>0.04</v>
      </c>
      <c r="AC219" s="9">
        <v>23.3</v>
      </c>
      <c r="AD219" s="9">
        <v>3.5000000000000003E-2</v>
      </c>
      <c r="AE219" s="9">
        <v>0.17</v>
      </c>
      <c r="AF219" s="9">
        <v>8.5999999999999993E-2</v>
      </c>
      <c r="AG219" s="9">
        <v>44</v>
      </c>
      <c r="AH219" s="9">
        <v>0.4</v>
      </c>
      <c r="AI219" s="9">
        <v>1.6</v>
      </c>
      <c r="AJ219" s="9">
        <v>0.5</v>
      </c>
      <c r="AK219" s="9">
        <v>6</v>
      </c>
      <c r="AL219" s="9">
        <v>3</v>
      </c>
      <c r="AM219" s="9">
        <v>0.05</v>
      </c>
      <c r="AN219" s="9">
        <v>1.0999999999999999E-2</v>
      </c>
      <c r="AO219" s="9">
        <v>0</v>
      </c>
      <c r="AP219" s="15">
        <v>0</v>
      </c>
      <c r="AQ219" s="9">
        <v>4.1000000000000002E-2</v>
      </c>
      <c r="AR219" s="9">
        <v>4.1000000000000002E-2</v>
      </c>
      <c r="AS219" s="9">
        <v>0.17499999999999999</v>
      </c>
      <c r="AT219" s="9">
        <v>4.2000000000000003E-2</v>
      </c>
      <c r="AU219" s="9">
        <v>0.14099999999999999</v>
      </c>
      <c r="AV219" s="9">
        <v>0.435</v>
      </c>
      <c r="AW219" s="9">
        <v>0.13100000000000001</v>
      </c>
      <c r="AX219" s="9">
        <f>Tabelle1[[#This Row],[Vitamin D3 '[µg/100g']]]*40</f>
        <v>1.1200000000000001</v>
      </c>
      <c r="AY219" s="9">
        <f>Tabelle1[[#This Row],[Vitamin A '[µg/100g']]]*3.33</f>
        <v>77.588999999999999</v>
      </c>
      <c r="AZ219" s="9">
        <f>Tabelle1[[#This Row],[Vitamin E '[mg/100g']]]*1.49</f>
        <v>5.96E-2</v>
      </c>
    </row>
    <row r="220" spans="1:52" hidden="1" x14ac:dyDescent="0.45">
      <c r="A220" t="s">
        <v>641</v>
      </c>
      <c r="B220" s="14" t="s">
        <v>581</v>
      </c>
      <c r="C220" s="14" t="s">
        <v>582</v>
      </c>
      <c r="D220" s="15">
        <v>67</v>
      </c>
      <c r="E220" s="11">
        <f>Tabelle1[[#This Row],[Energie '[kcal/100g']]]/239</f>
        <v>0.28033472803347281</v>
      </c>
      <c r="F220" s="15">
        <v>3.98</v>
      </c>
      <c r="G220" s="11">
        <f>Tabelle1[[#This Row],[Rohprotein '[g/100g']]]*0.85</f>
        <v>3.383</v>
      </c>
      <c r="H220" s="15">
        <v>3.46</v>
      </c>
      <c r="I220" s="11">
        <f>Tabelle1[[#This Row],[TS]]-Tabelle1[[#This Row],[Rohprotein '[g/100g']]]-Tabelle1[[#This Row],[Rohfett '[g/100g']]]-Tabelle1[[#This Row],[Rohasche '[g/100g']]]-Tabelle1[[#This Row],[Rohfaser '[g/100g']]]</f>
        <v>5.1200000000000054</v>
      </c>
      <c r="J220" s="11">
        <v>0</v>
      </c>
      <c r="K220" s="15">
        <v>0.84</v>
      </c>
      <c r="L220" s="15">
        <v>86.6</v>
      </c>
      <c r="M220" s="15">
        <f>100-Tabelle1[[#This Row],[Wasser '[g/100g']]]</f>
        <v>13.400000000000006</v>
      </c>
      <c r="N220" s="15">
        <v>110.5</v>
      </c>
      <c r="O220" s="15">
        <v>106.4</v>
      </c>
      <c r="P220" s="15">
        <v>11.2</v>
      </c>
      <c r="Q220" s="15">
        <v>40</v>
      </c>
      <c r="R220" s="15">
        <v>172.5</v>
      </c>
      <c r="S220" s="15"/>
      <c r="T220" s="15">
        <v>2.1999999999999999E-2</v>
      </c>
      <c r="U220" s="15">
        <v>0.39</v>
      </c>
      <c r="V220" s="11">
        <v>0</v>
      </c>
      <c r="W220" s="15">
        <v>12.3</v>
      </c>
      <c r="X220" s="15">
        <v>2.7</v>
      </c>
      <c r="Y220" s="15">
        <v>3.5</v>
      </c>
      <c r="Z220" s="15"/>
      <c r="AA220" s="15">
        <v>0</v>
      </c>
      <c r="AB220" s="15">
        <v>9.0999999999999998E-2</v>
      </c>
      <c r="AC220" s="15">
        <v>3.9</v>
      </c>
      <c r="AD220" s="15">
        <v>0</v>
      </c>
      <c r="AE220" s="15">
        <v>0.186</v>
      </c>
      <c r="AF220" s="15">
        <v>0.42799999999999999</v>
      </c>
      <c r="AG220" s="15">
        <v>72</v>
      </c>
      <c r="AH220" s="15">
        <v>0.20799999999999999</v>
      </c>
      <c r="AI220" s="15">
        <v>0</v>
      </c>
      <c r="AJ220" s="15">
        <v>1.1000000000000001</v>
      </c>
      <c r="AK220" s="15">
        <v>7.8</v>
      </c>
      <c r="AL220" s="15">
        <v>1.6850000000000001</v>
      </c>
      <c r="AM220" s="15">
        <v>3.34</v>
      </c>
      <c r="AN220" s="15">
        <v>1.61E-2</v>
      </c>
      <c r="AO220" s="15">
        <v>0</v>
      </c>
      <c r="AP220" s="15">
        <v>0</v>
      </c>
      <c r="AQ220" s="15">
        <v>9.1899999999999996E-2</v>
      </c>
      <c r="AR220" s="15">
        <v>8.3799999999999999E-2</v>
      </c>
      <c r="AS220" s="15">
        <v>0.13800000000000001</v>
      </c>
      <c r="AT220" s="15">
        <v>0</v>
      </c>
      <c r="AU220" s="15">
        <v>0.112</v>
      </c>
      <c r="AV220" s="15">
        <v>0.34399999999999997</v>
      </c>
      <c r="AW220" s="15">
        <v>0.104</v>
      </c>
      <c r="AX220" s="9">
        <f>Tabelle1[[#This Row],[Vitamin D3 '[µg/100g']]]*40</f>
        <v>0</v>
      </c>
      <c r="AY220" s="9">
        <f>Tabelle1[[#This Row],[Vitamin A '[µg/100g']]]*3.33</f>
        <v>12.987</v>
      </c>
      <c r="AZ220" s="9">
        <f>Tabelle1[[#This Row],[Vitamin E '[mg/100g']]]*1.49</f>
        <v>0.13558999999999999</v>
      </c>
    </row>
    <row r="221" spans="1:52" hidden="1" x14ac:dyDescent="0.45">
      <c r="A221" t="s">
        <v>641</v>
      </c>
      <c r="B221" s="14" t="s">
        <v>583</v>
      </c>
      <c r="C221" s="14" t="s">
        <v>584</v>
      </c>
      <c r="D221" s="15">
        <v>68</v>
      </c>
      <c r="E221" s="11">
        <f>Tabelle1[[#This Row],[Energie '[kcal/100g']]]/239</f>
        <v>0.28451882845188287</v>
      </c>
      <c r="F221" s="15">
        <v>3.98</v>
      </c>
      <c r="G221" s="11">
        <f>Tabelle1[[#This Row],[Rohprotein '[g/100g']]]*0.85</f>
        <v>3.383</v>
      </c>
      <c r="H221" s="15">
        <v>3.46</v>
      </c>
      <c r="I221" s="11">
        <f>Tabelle1[[#This Row],[TS]]-Tabelle1[[#This Row],[Rohprotein '[g/100g']]]-Tabelle1[[#This Row],[Rohfett '[g/100g']]]-Tabelle1[[#This Row],[Rohasche '[g/100g']]]-Tabelle1[[#This Row],[Rohfaser '[g/100g']]]</f>
        <v>5.1200000000000054</v>
      </c>
      <c r="J221" s="11">
        <v>0</v>
      </c>
      <c r="K221" s="15">
        <v>0.84</v>
      </c>
      <c r="L221" s="15">
        <v>86.6</v>
      </c>
      <c r="M221" s="15">
        <f>100-Tabelle1[[#This Row],[Wasser '[g/100g']]]</f>
        <v>13.400000000000006</v>
      </c>
      <c r="N221" s="15">
        <v>110.5</v>
      </c>
      <c r="O221" s="15">
        <v>106.4</v>
      </c>
      <c r="P221" s="15">
        <v>11.2</v>
      </c>
      <c r="Q221" s="15">
        <v>40</v>
      </c>
      <c r="R221" s="15">
        <v>172.5</v>
      </c>
      <c r="S221" s="15"/>
      <c r="T221" s="15">
        <v>2.1999999999999999E-2</v>
      </c>
      <c r="U221" s="15">
        <v>0.39</v>
      </c>
      <c r="V221" s="11">
        <v>0</v>
      </c>
      <c r="W221" s="15">
        <v>12.3</v>
      </c>
      <c r="X221" s="15">
        <v>2.7</v>
      </c>
      <c r="Y221" s="15">
        <v>3.5</v>
      </c>
      <c r="Z221" s="15"/>
      <c r="AA221" s="15">
        <v>0</v>
      </c>
      <c r="AB221" s="15">
        <v>9.0999999999999998E-2</v>
      </c>
      <c r="AC221" s="15">
        <v>23.3</v>
      </c>
      <c r="AD221" s="15">
        <v>0</v>
      </c>
      <c r="AE221" s="15">
        <v>0.186</v>
      </c>
      <c r="AF221" s="15">
        <v>0.42799999999999999</v>
      </c>
      <c r="AG221" s="15">
        <v>72</v>
      </c>
      <c r="AH221" s="15">
        <v>0.20799999999999999</v>
      </c>
      <c r="AI221" s="15">
        <v>0</v>
      </c>
      <c r="AJ221" s="15">
        <v>1.1000000000000001</v>
      </c>
      <c r="AK221" s="15">
        <v>6</v>
      </c>
      <c r="AL221" s="15">
        <v>1.6850000000000001</v>
      </c>
      <c r="AM221" s="15">
        <v>0.05</v>
      </c>
      <c r="AN221" s="15">
        <v>0.02</v>
      </c>
      <c r="AO221" s="15">
        <v>0</v>
      </c>
      <c r="AP221" s="15">
        <v>0</v>
      </c>
      <c r="AQ221" s="15">
        <v>0.09</v>
      </c>
      <c r="AR221" s="15">
        <v>0.08</v>
      </c>
      <c r="AS221" s="15">
        <v>0.14000000000000001</v>
      </c>
      <c r="AT221" s="15">
        <v>0.03</v>
      </c>
      <c r="AU221" s="15">
        <v>0.11</v>
      </c>
      <c r="AV221" s="15">
        <v>0.34</v>
      </c>
      <c r="AW221" s="15">
        <v>0.1</v>
      </c>
      <c r="AX221" s="9">
        <f>Tabelle1[[#This Row],[Vitamin D3 '[µg/100g']]]*40</f>
        <v>0</v>
      </c>
      <c r="AY221" s="9">
        <f>Tabelle1[[#This Row],[Vitamin A '[µg/100g']]]*3.33</f>
        <v>77.588999999999999</v>
      </c>
      <c r="AZ221" s="9">
        <f>Tabelle1[[#This Row],[Vitamin E '[mg/100g']]]*1.49</f>
        <v>0.13558999999999999</v>
      </c>
    </row>
    <row r="222" spans="1:52" hidden="1" x14ac:dyDescent="0.45">
      <c r="A222" t="s">
        <v>916</v>
      </c>
      <c r="B222" s="14" t="s">
        <v>1011</v>
      </c>
      <c r="C222" s="14" t="s">
        <v>1012</v>
      </c>
      <c r="D222" s="15">
        <v>39</v>
      </c>
      <c r="E222" s="11">
        <f>Tabelle1[[#This Row],[Energie '[kcal/100g']]]/239</f>
        <v>0.16317991631799164</v>
      </c>
      <c r="F222" s="15">
        <v>1.4379999999999999</v>
      </c>
      <c r="G222" s="11">
        <f>Tabelle1[[#This Row],[Rohprotein '[g/100g']]]*0.85</f>
        <v>1.2222999999999999</v>
      </c>
      <c r="H222" s="15">
        <v>0.2</v>
      </c>
      <c r="I222" s="11">
        <f>Tabelle1[[#This Row],[TS]]-Tabelle1[[#This Row],[Rohprotein '[g/100g']]]-Tabelle1[[#This Row],[Rohfett '[g/100g']]]-Tabelle1[[#This Row],[Rohasche '[g/100g']]]-Tabelle1[[#This Row],[Rohfaser '[g/100g']]]</f>
        <v>11.902000000000006</v>
      </c>
      <c r="J222" s="11">
        <v>0</v>
      </c>
      <c r="K222" s="15">
        <v>0.86</v>
      </c>
      <c r="L222" s="15">
        <v>85.6</v>
      </c>
      <c r="M222" s="15">
        <f>100-Tabelle1[[#This Row],[Wasser '[g/100g']]]</f>
        <v>14.400000000000006</v>
      </c>
      <c r="N222" s="15">
        <v>41</v>
      </c>
      <c r="O222" s="15">
        <v>27</v>
      </c>
      <c r="P222" s="15">
        <v>12</v>
      </c>
      <c r="Q222" s="15">
        <v>2</v>
      </c>
      <c r="R222" s="15">
        <v>293</v>
      </c>
      <c r="S222" s="15"/>
      <c r="T222" s="15">
        <v>0.74</v>
      </c>
      <c r="U222" s="15">
        <v>0.16</v>
      </c>
      <c r="V222" s="11">
        <v>0</v>
      </c>
      <c r="W222" s="15">
        <v>75</v>
      </c>
      <c r="X222" s="15">
        <v>190</v>
      </c>
      <c r="Y222" s="15">
        <v>1</v>
      </c>
      <c r="Z222" s="15"/>
      <c r="AA222" s="15">
        <v>0</v>
      </c>
      <c r="AB222" s="15">
        <v>0.82</v>
      </c>
      <c r="AC222" s="15">
        <v>3</v>
      </c>
      <c r="AD222" s="15">
        <v>0.04</v>
      </c>
      <c r="AE222" s="15">
        <v>0.03</v>
      </c>
      <c r="AF222" s="15">
        <v>0.23</v>
      </c>
      <c r="AG222" s="15">
        <v>45</v>
      </c>
      <c r="AH222" s="15">
        <v>0</v>
      </c>
      <c r="AI222" s="15">
        <v>36</v>
      </c>
      <c r="AJ222" s="15">
        <v>11</v>
      </c>
      <c r="AK222" s="15">
        <v>11.4</v>
      </c>
      <c r="AL222" s="15">
        <v>3</v>
      </c>
      <c r="AM222" s="15">
        <v>0</v>
      </c>
      <c r="AN222" s="15">
        <v>3.2000000000000001E-2</v>
      </c>
      <c r="AO222" s="15">
        <v>0</v>
      </c>
      <c r="AP222" s="15">
        <v>0</v>
      </c>
      <c r="AQ222" s="15">
        <v>4.1000000000000002E-2</v>
      </c>
      <c r="AR222" s="15">
        <v>4.1000000000000002E-2</v>
      </c>
      <c r="AS222" s="15">
        <v>6.6000000000000003E-2</v>
      </c>
      <c r="AT222" s="15">
        <v>5.0000000000000001E-3</v>
      </c>
      <c r="AU222" s="15">
        <v>2.7E-2</v>
      </c>
      <c r="AV222" s="15">
        <v>5.2999999999999999E-2</v>
      </c>
      <c r="AW222" s="15">
        <v>0</v>
      </c>
      <c r="AX222" s="9">
        <f>Tabelle1[[#This Row],[Vitamin D3 '[µg/100g']]]*40</f>
        <v>0</v>
      </c>
      <c r="AY222" s="9">
        <f>Tabelle1[[#This Row],[Vitamin A '[µg/100g']]]*3.33</f>
        <v>9.99</v>
      </c>
      <c r="AZ222" s="9">
        <f>Tabelle1[[#This Row],[Vitamin E '[mg/100g']]]*1.49</f>
        <v>1.2218</v>
      </c>
    </row>
    <row r="223" spans="1:52" hidden="1" x14ac:dyDescent="0.45">
      <c r="A223" t="s">
        <v>972</v>
      </c>
      <c r="B223" t="s">
        <v>966</v>
      </c>
      <c r="C223" t="s">
        <v>967</v>
      </c>
      <c r="D223" s="9">
        <v>671</v>
      </c>
      <c r="E223" s="11">
        <f>Tabelle1[[#This Row],[Energie '[kcal/100g']]]/239</f>
        <v>2.8075313807531379</v>
      </c>
      <c r="F223" s="9">
        <v>8.1999999999999993</v>
      </c>
      <c r="G223" s="11">
        <f>Tabelle1[[#This Row],[Rohprotein '[g/100g']]]*0.85</f>
        <v>6.9699999999999989</v>
      </c>
      <c r="H223" s="9">
        <v>70.900000000000006</v>
      </c>
      <c r="I223" s="11">
        <f>Tabelle1[[#This Row],[TS]]-Tabelle1[[#This Row],[Rohprotein '[g/100g']]]-Tabelle1[[#This Row],[Rohfett '[g/100g']]]-Tabelle1[[#This Row],[Rohasche '[g/100g']]]-Tabelle1[[#This Row],[Rohfaser '[g/100g']]]</f>
        <v>0.19999999999998863</v>
      </c>
      <c r="J223" s="11">
        <v>0</v>
      </c>
      <c r="K223" s="9">
        <v>0.5</v>
      </c>
      <c r="L223" s="9">
        <v>20.2</v>
      </c>
      <c r="M223" s="9">
        <f>100-Tabelle1[[#This Row],[Wasser '[g/100g']]]</f>
        <v>79.8</v>
      </c>
      <c r="N223" s="9">
        <v>2.5</v>
      </c>
      <c r="O223" s="9">
        <v>36.200000000000003</v>
      </c>
      <c r="P223" s="9">
        <v>3.5</v>
      </c>
      <c r="Q223" s="9">
        <v>29</v>
      </c>
      <c r="R223" s="9">
        <v>104</v>
      </c>
      <c r="T223" s="9">
        <v>0.75</v>
      </c>
      <c r="U223" s="9">
        <v>1</v>
      </c>
      <c r="V223" s="11">
        <v>0</v>
      </c>
      <c r="W223" s="9">
        <v>32.6</v>
      </c>
      <c r="X223" s="9">
        <v>2.4</v>
      </c>
      <c r="Y223" s="9">
        <v>0</v>
      </c>
      <c r="AA223" s="9">
        <v>1.3</v>
      </c>
      <c r="AB223" s="9">
        <v>0.73</v>
      </c>
      <c r="AC223" s="9">
        <v>13.5</v>
      </c>
      <c r="AD223" s="9">
        <v>0.04</v>
      </c>
      <c r="AE223" s="9">
        <v>7.0000000000000007E-2</v>
      </c>
      <c r="AF223" s="9">
        <v>1.42</v>
      </c>
      <c r="AG223" s="9">
        <v>52</v>
      </c>
      <c r="AH223" s="9">
        <v>1.46</v>
      </c>
      <c r="AI223" s="9">
        <v>0</v>
      </c>
      <c r="AJ223" s="9">
        <v>0.87</v>
      </c>
      <c r="AK223" s="9">
        <v>0.4</v>
      </c>
      <c r="AL223" s="9">
        <v>0.54</v>
      </c>
      <c r="AM223" s="9">
        <v>0</v>
      </c>
      <c r="AN223" s="9">
        <v>0</v>
      </c>
      <c r="AO223" s="15">
        <v>0</v>
      </c>
      <c r="AP223" s="15">
        <v>0</v>
      </c>
      <c r="AQ223" s="9">
        <v>1.4890000000000001</v>
      </c>
      <c r="AR223" s="9">
        <v>1.4890000000000001</v>
      </c>
      <c r="AS223" s="9">
        <v>0.55300000000000005</v>
      </c>
      <c r="AT223" s="9">
        <v>0.108</v>
      </c>
      <c r="AU223" s="9">
        <v>0.17399999999999999</v>
      </c>
      <c r="AV223" s="9">
        <v>0.71599999999999997</v>
      </c>
      <c r="AW223" s="9">
        <v>0.26700000000000002</v>
      </c>
      <c r="AX223" s="9">
        <f>Tabelle1[[#This Row],[Vitamin D3 '[µg/100g']]]*40</f>
        <v>52</v>
      </c>
      <c r="AY223" s="9">
        <f>Tabelle1[[#This Row],[Vitamin A '[µg/100g']]]*3.33</f>
        <v>44.954999999999998</v>
      </c>
      <c r="AZ223" s="9">
        <f>Tabelle1[[#This Row],[Vitamin E '[mg/100g']]]*1.49</f>
        <v>1.0876999999999999</v>
      </c>
    </row>
    <row r="224" spans="1:52" hidden="1" x14ac:dyDescent="0.45">
      <c r="A224" t="s">
        <v>972</v>
      </c>
      <c r="B224" s="14" t="s">
        <v>968</v>
      </c>
      <c r="C224" s="14" t="s">
        <v>969</v>
      </c>
      <c r="D224" s="15">
        <v>852</v>
      </c>
      <c r="E224" s="11">
        <f>Tabelle1[[#This Row],[Energie '[kcal/100g']]]/239</f>
        <v>3.5648535564853558</v>
      </c>
      <c r="F224" s="15">
        <v>1.5</v>
      </c>
      <c r="G224" s="11">
        <f>Tabelle1[[#This Row],[Rohprotein '[g/100g']]]*0.85</f>
        <v>1.2749999999999999</v>
      </c>
      <c r="H224" s="15">
        <v>94</v>
      </c>
      <c r="I224" s="11">
        <f>Tabelle1[[#This Row],[TS]]-Tabelle1[[#This Row],[Rohprotein '[g/100g']]]-Tabelle1[[#This Row],[Rohfett '[g/100g']]]-Tabelle1[[#This Row],[Rohasche '[g/100g']]]-Tabelle1[[#This Row],[Rohfaser '[g/100g']]]</f>
        <v>0.4</v>
      </c>
      <c r="J224" s="11">
        <v>0</v>
      </c>
      <c r="K224" s="15">
        <v>0.1</v>
      </c>
      <c r="L224" s="15">
        <v>4</v>
      </c>
      <c r="M224" s="15">
        <f>100-Tabelle1[[#This Row],[Wasser '[g/100g']]]</f>
        <v>96</v>
      </c>
      <c r="N224" s="15">
        <v>0</v>
      </c>
      <c r="O224" s="15">
        <v>7</v>
      </c>
      <c r="P224" s="15">
        <v>0</v>
      </c>
      <c r="Q224" s="15">
        <v>10</v>
      </c>
      <c r="R224" s="15">
        <v>6</v>
      </c>
      <c r="S224" s="15"/>
      <c r="T224" s="15">
        <v>0.32</v>
      </c>
      <c r="U224" s="15">
        <v>0.36</v>
      </c>
      <c r="V224" s="11">
        <v>0</v>
      </c>
      <c r="W224" s="15">
        <v>0</v>
      </c>
      <c r="X224" s="15">
        <v>1</v>
      </c>
      <c r="Y224" s="9">
        <v>0</v>
      </c>
      <c r="AA224" s="15">
        <v>0</v>
      </c>
      <c r="AB224" s="15">
        <v>1.3</v>
      </c>
      <c r="AC224" s="15">
        <v>220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5</v>
      </c>
      <c r="AK224" s="15">
        <v>0</v>
      </c>
      <c r="AL224" s="15">
        <v>0</v>
      </c>
      <c r="AM224" s="15">
        <v>0</v>
      </c>
      <c r="AN224" s="15">
        <v>1.222</v>
      </c>
      <c r="AO224" s="15">
        <v>0</v>
      </c>
      <c r="AP224" s="15">
        <v>0</v>
      </c>
      <c r="AQ224" s="15">
        <v>1.8240000000000001</v>
      </c>
      <c r="AR224" s="15">
        <v>1.8240000000000001</v>
      </c>
      <c r="AS224" s="15">
        <v>0.10100000000000001</v>
      </c>
      <c r="AT224" s="15">
        <v>0.02</v>
      </c>
      <c r="AU224" s="15">
        <v>3.2000000000000001E-2</v>
      </c>
      <c r="AV224" s="15">
        <v>0.13100000000000001</v>
      </c>
      <c r="AW224" s="15">
        <v>4.9000000000000002E-2</v>
      </c>
      <c r="AX224" s="9">
        <f>Tabelle1[[#This Row],[Vitamin D3 '[µg/100g']]]*40</f>
        <v>0</v>
      </c>
      <c r="AY224" s="9">
        <f>Tabelle1[[#This Row],[Vitamin A '[µg/100g']]]*3.33</f>
        <v>732.6</v>
      </c>
      <c r="AZ224" s="9">
        <f>Tabelle1[[#This Row],[Vitamin E '[mg/100g']]]*1.49</f>
        <v>1.9370000000000001</v>
      </c>
    </row>
    <row r="225" spans="1:52" hidden="1" x14ac:dyDescent="0.45">
      <c r="A225" t="s">
        <v>1151</v>
      </c>
      <c r="B225" s="14" t="s">
        <v>1057</v>
      </c>
      <c r="C225" s="14" t="s">
        <v>1058</v>
      </c>
      <c r="D225" s="15">
        <v>158</v>
      </c>
      <c r="E225" s="11">
        <f>Tabelle1[[#This Row],[Energie '[kcal/100g']]]/239</f>
        <v>0.66108786610878656</v>
      </c>
      <c r="F225" s="15">
        <v>23.483000000000001</v>
      </c>
      <c r="G225" s="11">
        <f>Tabelle1[[#This Row],[Rohprotein '[g/100g']]]*0.85</f>
        <v>19.960550000000001</v>
      </c>
      <c r="H225" s="15">
        <v>7.1619999999999999</v>
      </c>
      <c r="I225" s="11">
        <f>Tabelle1[[#This Row],[TS]]-Tabelle1[[#This Row],[Rohprotein '[g/100g']]]-Tabelle1[[#This Row],[Rohfett '[g/100g']]]-Tabelle1[[#This Row],[Rohasche '[g/100g']]]-Tabelle1[[#This Row],[Rohfaser '[g/100g']]]</f>
        <v>0.96000000000000019</v>
      </c>
      <c r="J225" s="11">
        <v>0</v>
      </c>
      <c r="K225" s="15">
        <v>1.163</v>
      </c>
      <c r="L225" s="15">
        <v>67.231999999999999</v>
      </c>
      <c r="M225" s="15">
        <f>100-Tabelle1[[#This Row],[Wasser '[g/100g']]]</f>
        <v>32.768000000000001</v>
      </c>
      <c r="N225" s="15">
        <v>23</v>
      </c>
      <c r="O225" s="15">
        <v>244</v>
      </c>
      <c r="P225" s="15">
        <v>35</v>
      </c>
      <c r="Q225" s="15">
        <v>136</v>
      </c>
      <c r="R225" s="15">
        <v>294</v>
      </c>
      <c r="S225" s="15"/>
      <c r="T225" s="15">
        <v>5.5780000000000003</v>
      </c>
      <c r="U225" s="15">
        <v>0.308</v>
      </c>
      <c r="V225" s="11">
        <v>0</v>
      </c>
      <c r="W225" s="15">
        <v>492</v>
      </c>
      <c r="X225" s="15">
        <v>46</v>
      </c>
      <c r="Y225" s="15">
        <v>2</v>
      </c>
      <c r="Z225" s="15"/>
      <c r="AA225" s="15">
        <v>0</v>
      </c>
      <c r="AB225" s="15">
        <v>0.42099999999999999</v>
      </c>
      <c r="AC225" s="15">
        <v>8.6999999999999993</v>
      </c>
      <c r="AD225" s="15">
        <v>0.49099999999999999</v>
      </c>
      <c r="AE225" s="15">
        <v>1.3540000000000001</v>
      </c>
      <c r="AF225" s="15">
        <v>8.6310000000000002</v>
      </c>
      <c r="AG225" s="15">
        <v>259</v>
      </c>
      <c r="AH225" s="15">
        <v>14</v>
      </c>
      <c r="AI225" s="15">
        <v>6.2309999999999999</v>
      </c>
      <c r="AJ225" s="15">
        <v>0</v>
      </c>
      <c r="AK225" s="15">
        <v>2.7</v>
      </c>
      <c r="AL225" s="15">
        <v>10</v>
      </c>
      <c r="AM225" s="15">
        <v>0</v>
      </c>
      <c r="AN225" s="15">
        <v>0.126</v>
      </c>
      <c r="AO225" s="15">
        <v>0</v>
      </c>
      <c r="AP225" s="15">
        <v>0</v>
      </c>
      <c r="AQ225" s="15">
        <v>0.46700000000000003</v>
      </c>
      <c r="AR225" s="15">
        <v>0.46700000000000003</v>
      </c>
      <c r="AS225" s="15">
        <v>1.4770000000000001</v>
      </c>
      <c r="AT225" s="15">
        <v>0.23599999999999999</v>
      </c>
      <c r="AU225" s="15">
        <v>0.59099999999999997</v>
      </c>
      <c r="AV225" s="15">
        <v>1.92</v>
      </c>
      <c r="AW225" s="15">
        <v>0.56100000000000005</v>
      </c>
      <c r="AX225" s="9">
        <f>Tabelle1[[#This Row],[Vitamin D3 '[µg/100g']]]*40</f>
        <v>0</v>
      </c>
      <c r="AY225" s="9">
        <f>Tabelle1[[#This Row],[Vitamin A '[µg/100g']]]*3.33</f>
        <v>28.970999999999997</v>
      </c>
      <c r="AZ225" s="9">
        <f>Tabelle1[[#This Row],[Vitamin E '[mg/100g']]]*1.49</f>
        <v>0.62729000000000001</v>
      </c>
    </row>
    <row r="226" spans="1:52" hidden="1" x14ac:dyDescent="0.45">
      <c r="A226" t="s">
        <v>1151</v>
      </c>
      <c r="B226" s="14" t="s">
        <v>1059</v>
      </c>
      <c r="C226" s="14" t="s">
        <v>1060</v>
      </c>
      <c r="D226" s="15">
        <v>175</v>
      </c>
      <c r="E226" s="11">
        <f>Tabelle1[[#This Row],[Energie '[kcal/100g']]]/239</f>
        <v>0.73221757322175729</v>
      </c>
      <c r="F226" s="15">
        <v>27.175000000000001</v>
      </c>
      <c r="G226" s="11">
        <f>Tabelle1[[#This Row],[Rohprotein '[g/100g']]]*0.85</f>
        <v>23.098749999999999</v>
      </c>
      <c r="H226" s="15">
        <v>7.36</v>
      </c>
      <c r="I226" s="11">
        <f>Tabelle1[[#This Row],[TS]]-Tabelle1[[#This Row],[Rohprotein '[g/100g']]]-Tabelle1[[#This Row],[Rohfett '[g/100g']]]-Tabelle1[[#This Row],[Rohasche '[g/100g']]]-Tabelle1[[#This Row],[Rohfaser '[g/100g']]]</f>
        <v>0.9599999999999973</v>
      </c>
      <c r="J226" s="11">
        <v>0</v>
      </c>
      <c r="K226" s="15">
        <v>1.335</v>
      </c>
      <c r="L226" s="15">
        <v>63.17</v>
      </c>
      <c r="M226" s="15">
        <f>100-Tabelle1[[#This Row],[Wasser '[g/100g']]]</f>
        <v>36.83</v>
      </c>
      <c r="N226" s="15">
        <v>27</v>
      </c>
      <c r="O226" s="15">
        <v>278</v>
      </c>
      <c r="P226" s="15">
        <v>36</v>
      </c>
      <c r="Q226" s="15">
        <v>113</v>
      </c>
      <c r="R226" s="15">
        <v>299</v>
      </c>
      <c r="S226" s="15"/>
      <c r="T226" s="15">
        <v>6.7270000000000003</v>
      </c>
      <c r="U226" s="15">
        <v>0.36399999999999999</v>
      </c>
      <c r="V226" s="11">
        <v>0</v>
      </c>
      <c r="W226" s="15">
        <v>582</v>
      </c>
      <c r="X226" s="15">
        <v>55</v>
      </c>
      <c r="Y226" s="15">
        <v>2</v>
      </c>
      <c r="Z226" s="15"/>
      <c r="AA226" s="15">
        <v>0</v>
      </c>
      <c r="AB226" s="15">
        <v>0.55300000000000005</v>
      </c>
      <c r="AC226" s="15">
        <v>7.9</v>
      </c>
      <c r="AD226" s="15">
        <v>0.55000000000000004</v>
      </c>
      <c r="AE226" s="15">
        <v>1.5449999999999999</v>
      </c>
      <c r="AF226" s="15">
        <v>8.64</v>
      </c>
      <c r="AG226" s="15">
        <v>290</v>
      </c>
      <c r="AH226" s="15">
        <v>14</v>
      </c>
      <c r="AI226" s="15">
        <v>7.8550000000000004</v>
      </c>
      <c r="AJ226" s="15">
        <v>0</v>
      </c>
      <c r="AK226" s="15">
        <v>1.6</v>
      </c>
      <c r="AL226" s="15">
        <v>10</v>
      </c>
      <c r="AM226" s="15">
        <v>0</v>
      </c>
      <c r="AN226" s="15">
        <v>0.129</v>
      </c>
      <c r="AO226" s="15">
        <v>0</v>
      </c>
      <c r="AP226" s="15">
        <v>0</v>
      </c>
      <c r="AQ226" s="15">
        <v>0.48</v>
      </c>
      <c r="AR226" s="15">
        <v>0.48</v>
      </c>
      <c r="AS226" s="15">
        <v>1.7090000000000001</v>
      </c>
      <c r="AT226" s="15">
        <v>0.27300000000000002</v>
      </c>
      <c r="AU226" s="15">
        <v>0.68400000000000005</v>
      </c>
      <c r="AV226" s="15">
        <v>2.222</v>
      </c>
      <c r="AW226" s="15">
        <v>0.64900000000000002</v>
      </c>
      <c r="AX226" s="9">
        <f>Tabelle1[[#This Row],[Vitamin D3 '[µg/100g']]]*40</f>
        <v>0</v>
      </c>
      <c r="AY226" s="9">
        <f>Tabelle1[[#This Row],[Vitamin A '[µg/100g']]]*3.33</f>
        <v>26.307000000000002</v>
      </c>
      <c r="AZ226" s="9">
        <f>Tabelle1[[#This Row],[Vitamin E '[mg/100g']]]*1.49</f>
        <v>0.82397000000000009</v>
      </c>
    </row>
    <row r="227" spans="1:52" hidden="1" x14ac:dyDescent="0.45">
      <c r="A227" t="s">
        <v>1151</v>
      </c>
      <c r="B227" t="s">
        <v>1061</v>
      </c>
      <c r="C227" t="s">
        <v>1062</v>
      </c>
      <c r="D227" s="9">
        <v>109</v>
      </c>
      <c r="E227" s="11">
        <f>Tabelle1[[#This Row],[Energie '[kcal/100g']]]/239</f>
        <v>0.45606694560669458</v>
      </c>
      <c r="F227" s="9">
        <v>15.9</v>
      </c>
      <c r="G227" s="11">
        <f>Tabelle1[[#This Row],[Rohprotein '[g/100g']]]*0.85</f>
        <v>13.515000000000001</v>
      </c>
      <c r="H227" s="9">
        <v>5.0599999999999996</v>
      </c>
      <c r="I227" s="11">
        <f>Tabelle1[[#This Row],[TS]]-Tabelle1[[#This Row],[Rohprotein '[g/100g']]]-Tabelle1[[#This Row],[Rohfett '[g/100g']]]-Tabelle1[[#This Row],[Rohasche '[g/100g']]]-Tabelle1[[#This Row],[Rohfaser '[g/100g']]]</f>
        <v>0.96</v>
      </c>
      <c r="J227" s="11">
        <v>0</v>
      </c>
      <c r="K227" s="9">
        <v>1.08</v>
      </c>
      <c r="L227" s="9">
        <v>77</v>
      </c>
      <c r="M227" s="9">
        <f>100-Tabelle1[[#This Row],[Wasser '[g/100g']]]</f>
        <v>23</v>
      </c>
      <c r="N227" s="9">
        <v>16</v>
      </c>
      <c r="O227" s="9">
        <v>180</v>
      </c>
      <c r="P227" s="9">
        <v>25</v>
      </c>
      <c r="Q227" s="9">
        <v>104</v>
      </c>
      <c r="R227" s="9">
        <v>265</v>
      </c>
      <c r="T227" s="9">
        <v>3.7</v>
      </c>
      <c r="U227" s="9">
        <v>0.2</v>
      </c>
      <c r="V227" s="11">
        <v>0</v>
      </c>
      <c r="W227" s="9">
        <v>320</v>
      </c>
      <c r="X227" s="9">
        <v>30</v>
      </c>
      <c r="Y227" s="9">
        <v>2</v>
      </c>
      <c r="AA227" s="9">
        <v>0</v>
      </c>
      <c r="AB227" s="9">
        <v>0.38</v>
      </c>
      <c r="AC227" s="9">
        <v>0</v>
      </c>
      <c r="AD227" s="9">
        <v>0.55000000000000004</v>
      </c>
      <c r="AE227" s="9">
        <v>1</v>
      </c>
      <c r="AF227" s="9">
        <v>6.6</v>
      </c>
      <c r="AG227" s="9">
        <v>290</v>
      </c>
      <c r="AH227" s="9">
        <v>11</v>
      </c>
      <c r="AI227" s="9">
        <v>5.4</v>
      </c>
      <c r="AJ227" s="15">
        <v>0</v>
      </c>
      <c r="AK227" s="9">
        <v>4</v>
      </c>
      <c r="AL227" s="9">
        <v>7</v>
      </c>
      <c r="AM227" s="9">
        <v>0</v>
      </c>
      <c r="AN227" s="9">
        <v>8.8999999999999996E-2</v>
      </c>
      <c r="AO227" s="9">
        <v>2.8000000000000001E-2</v>
      </c>
      <c r="AP227" s="9">
        <v>1.4E-2</v>
      </c>
      <c r="AQ227" s="9">
        <v>0.33</v>
      </c>
      <c r="AR227" s="9">
        <v>0.33</v>
      </c>
      <c r="AS227" s="9">
        <v>1</v>
      </c>
      <c r="AT227" s="9">
        <v>0.16</v>
      </c>
      <c r="AU227" s="9">
        <v>0.4</v>
      </c>
      <c r="AV227" s="9">
        <v>1.3</v>
      </c>
      <c r="AW227" s="9">
        <v>0.38</v>
      </c>
      <c r="AX227" s="9">
        <f>Tabelle1[[#This Row],[Vitamin D3 '[µg/100g']]]*40</f>
        <v>0</v>
      </c>
      <c r="AY227" s="9">
        <f>Tabelle1[[#This Row],[Vitamin A '[µg/100g']]]*3.33</f>
        <v>0</v>
      </c>
      <c r="AZ227" s="9">
        <f>Tabelle1[[#This Row],[Vitamin E '[mg/100g']]]*1.49</f>
        <v>0.56620000000000004</v>
      </c>
    </row>
    <row r="228" spans="1:52" hidden="1" x14ac:dyDescent="0.45">
      <c r="A228" t="s">
        <v>1151</v>
      </c>
      <c r="B228" t="s">
        <v>1063</v>
      </c>
      <c r="C228" t="s">
        <v>1064</v>
      </c>
      <c r="D228" s="9">
        <v>110</v>
      </c>
      <c r="E228" s="11">
        <f>Tabelle1[[#This Row],[Energie '[kcal/100g']]]/239</f>
        <v>0.46025104602510458</v>
      </c>
      <c r="F228" s="9">
        <v>18.625</v>
      </c>
      <c r="G228" s="11">
        <f>Tabelle1[[#This Row],[Rohprotein '[g/100g']]]*0.85</f>
        <v>15.831249999999999</v>
      </c>
      <c r="H228" s="9">
        <v>1.5129999999999999</v>
      </c>
      <c r="I228" s="11">
        <f>Tabelle1[[#This Row],[TS]]-Tabelle1[[#This Row],[Rohprotein '[g/100g']]]-Tabelle1[[#This Row],[Rohfett '[g/100g']]]-Tabelle1[[#This Row],[Rohasche '[g/100g']]]-Tabelle1[[#This Row],[Rohfaser '[g/100g']]]</f>
        <v>12.275</v>
      </c>
      <c r="J228" s="11">
        <v>0</v>
      </c>
      <c r="K228" s="9">
        <v>1.3520000000000001</v>
      </c>
      <c r="L228" s="9">
        <v>66.234999999999999</v>
      </c>
      <c r="M228" s="9">
        <f>100-Tabelle1[[#This Row],[Wasser '[g/100g']]]</f>
        <v>33.765000000000001</v>
      </c>
      <c r="N228" s="9">
        <v>11.4</v>
      </c>
      <c r="O228" s="9">
        <v>322</v>
      </c>
      <c r="P228" s="9">
        <v>21</v>
      </c>
      <c r="Q228" s="9">
        <v>97</v>
      </c>
      <c r="R228" s="9">
        <v>312</v>
      </c>
      <c r="T228" s="9">
        <v>8</v>
      </c>
      <c r="U228" s="9">
        <v>7.25</v>
      </c>
      <c r="V228" s="11">
        <v>0</v>
      </c>
      <c r="W228" s="9">
        <v>13568</v>
      </c>
      <c r="X228" s="9">
        <v>320</v>
      </c>
      <c r="Y228" s="9">
        <v>0</v>
      </c>
      <c r="AA228" s="9">
        <v>0.41</v>
      </c>
      <c r="AB228" s="9">
        <v>0.316</v>
      </c>
      <c r="AC228" s="9">
        <v>26</v>
      </c>
      <c r="AD228" s="9">
        <v>0.313</v>
      </c>
      <c r="AE228" s="9">
        <v>3.262</v>
      </c>
      <c r="AF228" s="9">
        <v>16.776</v>
      </c>
      <c r="AG228" s="9">
        <v>179</v>
      </c>
      <c r="AH228" s="9">
        <v>64.73</v>
      </c>
      <c r="AI228" s="9">
        <v>34.539000000000001</v>
      </c>
      <c r="AJ228" s="9">
        <v>39.1</v>
      </c>
      <c r="AK228" s="9">
        <v>21</v>
      </c>
      <c r="AL228" s="9">
        <v>84</v>
      </c>
      <c r="AM228" s="9">
        <v>0</v>
      </c>
      <c r="AN228" s="9">
        <v>4.1000000000000002E-2</v>
      </c>
      <c r="AO228" s="9">
        <v>0</v>
      </c>
      <c r="AP228" s="9">
        <v>0</v>
      </c>
      <c r="AQ228" s="9">
        <v>0.16600000000000001</v>
      </c>
      <c r="AR228" s="9">
        <v>0.15</v>
      </c>
      <c r="AS228" s="9">
        <v>1.175</v>
      </c>
      <c r="AT228" s="9">
        <v>0.27500000000000002</v>
      </c>
      <c r="AU228" s="9">
        <v>0.66200000000000003</v>
      </c>
      <c r="AV228" s="9">
        <v>1.6879999999999999</v>
      </c>
      <c r="AW228" s="9">
        <v>0.51200000000000001</v>
      </c>
      <c r="AX228" s="9">
        <f>Tabelle1[[#This Row],[Vitamin D3 '[µg/100g']]]*40</f>
        <v>16.399999999999999</v>
      </c>
      <c r="AY228" s="9">
        <f>Tabelle1[[#This Row],[Vitamin A '[µg/100g']]]*3.33</f>
        <v>86.58</v>
      </c>
      <c r="AZ228" s="9">
        <f>Tabelle1[[#This Row],[Vitamin E '[mg/100g']]]*1.49</f>
        <v>0.47083999999999998</v>
      </c>
    </row>
    <row r="229" spans="1:52" hidden="1" x14ac:dyDescent="0.45">
      <c r="A229" t="s">
        <v>1151</v>
      </c>
      <c r="B229" s="14" t="s">
        <v>1065</v>
      </c>
      <c r="C229" s="14" t="s">
        <v>1066</v>
      </c>
      <c r="D229" s="15">
        <v>86</v>
      </c>
      <c r="E229" s="11">
        <f>Tabelle1[[#This Row],[Energie '[kcal/100g']]]/239</f>
        <v>0.35983263598326359</v>
      </c>
      <c r="F229" s="15">
        <v>14.9</v>
      </c>
      <c r="G229" s="11">
        <f>Tabelle1[[#This Row],[Rohprotein '[g/100g']]]*0.85</f>
        <v>12.664999999999999</v>
      </c>
      <c r="H229" s="15">
        <v>1.1499999999999999</v>
      </c>
      <c r="I229" s="11">
        <f>Tabelle1[[#This Row],[TS]]-Tabelle1[[#This Row],[Rohprotein '[g/100g']]]-Tabelle1[[#This Row],[Rohfett '[g/100g']]]-Tabelle1[[#This Row],[Rohasche '[g/100g']]]-Tabelle1[[#This Row],[Rohfaser '[g/100g']]]</f>
        <v>10.980000000000004</v>
      </c>
      <c r="J229" s="11">
        <v>0</v>
      </c>
      <c r="K229" s="15">
        <v>1.37</v>
      </c>
      <c r="L229" s="15">
        <v>71.599999999999994</v>
      </c>
      <c r="M229" s="15">
        <f>100-Tabelle1[[#This Row],[Wasser '[g/100g']]]</f>
        <v>28.400000000000006</v>
      </c>
      <c r="N229" s="15">
        <v>8.6999999999999993</v>
      </c>
      <c r="O229" s="15">
        <v>306</v>
      </c>
      <c r="P229" s="15">
        <v>19</v>
      </c>
      <c r="Q229" s="15">
        <v>87</v>
      </c>
      <c r="R229" s="15">
        <v>316</v>
      </c>
      <c r="S229" s="15"/>
      <c r="T229" s="15">
        <v>6.4</v>
      </c>
      <c r="U229" s="15">
        <v>6.48</v>
      </c>
      <c r="V229" s="11">
        <v>0</v>
      </c>
      <c r="W229" s="15">
        <v>12890</v>
      </c>
      <c r="X229" s="15">
        <v>240</v>
      </c>
      <c r="Y229" s="9">
        <v>0</v>
      </c>
      <c r="AA229" s="15">
        <v>0.33</v>
      </c>
      <c r="AB229" s="15">
        <v>0.24</v>
      </c>
      <c r="AC229" s="15">
        <v>95</v>
      </c>
      <c r="AD229" s="15">
        <v>0.28000000000000003</v>
      </c>
      <c r="AE229" s="15">
        <v>2.61</v>
      </c>
      <c r="AF229" s="15">
        <v>15</v>
      </c>
      <c r="AG229" s="15">
        <v>170</v>
      </c>
      <c r="AH229" s="15">
        <v>65.59</v>
      </c>
      <c r="AI229" s="15">
        <v>35</v>
      </c>
      <c r="AJ229" s="15">
        <v>29.7</v>
      </c>
      <c r="AK229" s="15">
        <v>28</v>
      </c>
      <c r="AL229" s="15">
        <v>75</v>
      </c>
      <c r="AM229" s="15">
        <v>0</v>
      </c>
      <c r="AN229" s="15">
        <v>3.1E-2</v>
      </c>
      <c r="AO229" s="15">
        <v>0.05</v>
      </c>
      <c r="AP229" s="15">
        <v>0.03</v>
      </c>
      <c r="AQ229" s="15">
        <v>0.126</v>
      </c>
      <c r="AR229" s="15">
        <v>0.114</v>
      </c>
      <c r="AS229" s="15">
        <v>0.94</v>
      </c>
      <c r="AT229" s="15">
        <v>0.22</v>
      </c>
      <c r="AU229" s="15">
        <v>0.53</v>
      </c>
      <c r="AV229" s="15">
        <v>1.35</v>
      </c>
      <c r="AW229" s="15">
        <v>0.41</v>
      </c>
      <c r="AX229" s="9">
        <f>Tabelle1[[#This Row],[Vitamin D3 '[µg/100g']]]*40</f>
        <v>13.200000000000001</v>
      </c>
      <c r="AY229" s="9">
        <f>Tabelle1[[#This Row],[Vitamin A '[µg/100g']]]*3.33</f>
        <v>316.35000000000002</v>
      </c>
      <c r="AZ229" s="9">
        <f>Tabelle1[[#This Row],[Vitamin E '[mg/100g']]]*1.49</f>
        <v>0.35759999999999997</v>
      </c>
    </row>
    <row r="230" spans="1:52" hidden="1" x14ac:dyDescent="0.45">
      <c r="A230" t="s">
        <v>1151</v>
      </c>
      <c r="B230" t="s">
        <v>1067</v>
      </c>
      <c r="C230" t="s">
        <v>1068</v>
      </c>
      <c r="D230" s="9">
        <v>87</v>
      </c>
      <c r="E230" s="11">
        <f>Tabelle1[[#This Row],[Energie '[kcal/100g']]]/239</f>
        <v>0.36401673640167365</v>
      </c>
      <c r="F230" s="9">
        <v>17.5</v>
      </c>
      <c r="G230" s="11">
        <f>Tabelle1[[#This Row],[Rohprotein '[g/100g']]]*0.85</f>
        <v>14.875</v>
      </c>
      <c r="H230" s="9">
        <v>1.929</v>
      </c>
      <c r="I230" s="11">
        <f>Tabelle1[[#This Row],[TS]]-Tabelle1[[#This Row],[Rohprotein '[g/100g']]]-Tabelle1[[#This Row],[Rohfett '[g/100g']]]-Tabelle1[[#This Row],[Rohasche '[g/100g']]]-Tabelle1[[#This Row],[Rohfaser '[g/100g']]]</f>
        <v>-9.9999999999980105E-3</v>
      </c>
      <c r="J230" s="11">
        <v>0</v>
      </c>
      <c r="K230" s="9">
        <v>0.76</v>
      </c>
      <c r="L230" s="9">
        <v>79.820999999999998</v>
      </c>
      <c r="M230" s="9">
        <f>100-Tabelle1[[#This Row],[Wasser '[g/100g']]]</f>
        <v>20.179000000000002</v>
      </c>
      <c r="N230" s="9">
        <v>4</v>
      </c>
      <c r="O230" s="9">
        <v>194</v>
      </c>
      <c r="P230" s="9">
        <v>12</v>
      </c>
      <c r="Q230" s="9">
        <v>103</v>
      </c>
      <c r="R230" s="9">
        <v>202</v>
      </c>
      <c r="T230" s="9">
        <v>5.2779999999999996</v>
      </c>
      <c r="U230" s="9">
        <v>2.0779999999999998</v>
      </c>
      <c r="V230" s="11">
        <v>0</v>
      </c>
      <c r="W230" s="9">
        <v>231</v>
      </c>
      <c r="X230" s="9">
        <v>21</v>
      </c>
      <c r="Y230" s="9">
        <v>0</v>
      </c>
      <c r="AA230" s="9">
        <v>0</v>
      </c>
      <c r="AB230" s="9">
        <v>0</v>
      </c>
      <c r="AC230" s="9">
        <v>49</v>
      </c>
      <c r="AD230" s="9">
        <v>8.5999999999999993E-2</v>
      </c>
      <c r="AE230" s="9">
        <v>0.32</v>
      </c>
      <c r="AF230" s="9">
        <v>2.222</v>
      </c>
      <c r="AG230" s="9">
        <v>35</v>
      </c>
      <c r="AH230" s="9">
        <v>2.2000000000000002</v>
      </c>
      <c r="AI230" s="9">
        <v>30.567</v>
      </c>
      <c r="AJ230" s="9">
        <v>0</v>
      </c>
      <c r="AK230" s="9">
        <v>8</v>
      </c>
      <c r="AL230" s="9">
        <v>4</v>
      </c>
      <c r="AM230" s="9">
        <v>0</v>
      </c>
      <c r="AN230" s="9">
        <v>0.22</v>
      </c>
      <c r="AO230" s="9">
        <v>5.0999999999999997E-2</v>
      </c>
      <c r="AP230" s="9">
        <v>6.4000000000000001E-2</v>
      </c>
      <c r="AQ230" s="9">
        <v>9.1999999999999998E-2</v>
      </c>
      <c r="AR230" s="9">
        <v>0.06</v>
      </c>
      <c r="AS230" s="9">
        <v>1.07</v>
      </c>
      <c r="AT230" s="9">
        <v>0</v>
      </c>
      <c r="AU230" s="9">
        <v>0.4</v>
      </c>
      <c r="AV230" s="9">
        <v>1.35</v>
      </c>
      <c r="AW230" s="9">
        <v>0.32</v>
      </c>
      <c r="AX230" s="9">
        <f>Tabelle1[[#This Row],[Vitamin D3 '[µg/100g']]]*40</f>
        <v>0</v>
      </c>
      <c r="AY230" s="9">
        <f>Tabelle1[[#This Row],[Vitamin A '[µg/100g']]]*3.33</f>
        <v>163.17000000000002</v>
      </c>
      <c r="AZ230" s="9">
        <f>Tabelle1[[#This Row],[Vitamin E '[mg/100g']]]*1.49</f>
        <v>0</v>
      </c>
    </row>
    <row r="231" spans="1:52" hidden="1" x14ac:dyDescent="0.45">
      <c r="A231" t="s">
        <v>1151</v>
      </c>
      <c r="B231" t="s">
        <v>1069</v>
      </c>
      <c r="C231" t="s">
        <v>1070</v>
      </c>
      <c r="D231" s="9">
        <v>90</v>
      </c>
      <c r="E231" s="11">
        <f>Tabelle1[[#This Row],[Energie '[kcal/100g']]]/239</f>
        <v>0.37656903765690375</v>
      </c>
      <c r="F231" s="9">
        <v>17.5</v>
      </c>
      <c r="G231" s="11">
        <f>Tabelle1[[#This Row],[Rohprotein '[g/100g']]]*0.85</f>
        <v>14.875</v>
      </c>
      <c r="H231" s="9">
        <v>2.17</v>
      </c>
      <c r="I231" s="11">
        <f>Tabelle1[[#This Row],[TS]]-Tabelle1[[#This Row],[Rohprotein '[g/100g']]]-Tabelle1[[#This Row],[Rohfett '[g/100g']]]-Tabelle1[[#This Row],[Rohasche '[g/100g']]]-Tabelle1[[#This Row],[Rohfaser '[g/100g']]]</f>
        <v>-1.0000000000002673E-2</v>
      </c>
      <c r="J231" s="11">
        <v>0</v>
      </c>
      <c r="K231" s="9">
        <v>1.1399999999999999</v>
      </c>
      <c r="L231" s="9">
        <v>79.2</v>
      </c>
      <c r="M231" s="9">
        <f>100-Tabelle1[[#This Row],[Wasser '[g/100g']]]</f>
        <v>20.799999999999997</v>
      </c>
      <c r="N231" s="9">
        <v>5</v>
      </c>
      <c r="O231" s="9">
        <v>250</v>
      </c>
      <c r="P231" s="9">
        <v>14</v>
      </c>
      <c r="Q231" s="9">
        <v>154</v>
      </c>
      <c r="R231" s="9">
        <v>303</v>
      </c>
      <c r="T231" s="9">
        <v>5</v>
      </c>
      <c r="U231" s="9">
        <v>2.2000000000000002</v>
      </c>
      <c r="V231" s="11">
        <v>0</v>
      </c>
      <c r="W231" s="9">
        <v>260</v>
      </c>
      <c r="X231" s="9">
        <v>19</v>
      </c>
      <c r="Y231" s="9">
        <v>0</v>
      </c>
      <c r="AA231" s="9">
        <v>0</v>
      </c>
      <c r="AB231" s="9">
        <v>0</v>
      </c>
      <c r="AC231" s="9">
        <v>330</v>
      </c>
      <c r="AD231" s="9">
        <v>0.11</v>
      </c>
      <c r="AE231" s="9">
        <v>0.36</v>
      </c>
      <c r="AF231" s="9">
        <v>4</v>
      </c>
      <c r="AG231" s="9">
        <v>70</v>
      </c>
      <c r="AH231" s="9">
        <v>3.3</v>
      </c>
      <c r="AI231" s="9">
        <v>39.299999999999997</v>
      </c>
      <c r="AJ231" s="9">
        <v>0</v>
      </c>
      <c r="AK231" s="9">
        <v>170</v>
      </c>
      <c r="AL231" s="9">
        <v>6</v>
      </c>
      <c r="AM231" s="9">
        <v>0</v>
      </c>
      <c r="AN231" s="9">
        <v>0.248</v>
      </c>
      <c r="AO231" s="9">
        <v>0</v>
      </c>
      <c r="AP231" s="9">
        <v>0</v>
      </c>
      <c r="AQ231" s="9">
        <v>0.10199999999999999</v>
      </c>
      <c r="AR231" s="9">
        <v>6.7000000000000004E-2</v>
      </c>
      <c r="AS231" s="9">
        <v>1.07</v>
      </c>
      <c r="AT231" s="9">
        <v>0</v>
      </c>
      <c r="AU231" s="9">
        <v>0.4</v>
      </c>
      <c r="AV231" s="9">
        <v>1.35</v>
      </c>
      <c r="AW231" s="9">
        <v>0.32</v>
      </c>
      <c r="AX231" s="9">
        <f>Tabelle1[[#This Row],[Vitamin D3 '[µg/100g']]]*40</f>
        <v>0</v>
      </c>
      <c r="AY231" s="9">
        <f>Tabelle1[[#This Row],[Vitamin A '[µg/100g']]]*3.33</f>
        <v>1098.9000000000001</v>
      </c>
      <c r="AZ231" s="9">
        <f>Tabelle1[[#This Row],[Vitamin E '[mg/100g']]]*1.49</f>
        <v>0</v>
      </c>
    </row>
    <row r="232" spans="1:52" hidden="1" x14ac:dyDescent="0.45">
      <c r="A232" t="s">
        <v>1151</v>
      </c>
      <c r="B232" t="s">
        <v>1071</v>
      </c>
      <c r="C232" t="s">
        <v>1072</v>
      </c>
      <c r="D232" s="9">
        <v>100</v>
      </c>
      <c r="E232" s="11">
        <f>Tabelle1[[#This Row],[Energie '[kcal/100g']]]/239</f>
        <v>0.41841004184100417</v>
      </c>
      <c r="F232" s="9">
        <v>18.2</v>
      </c>
      <c r="G232" s="11">
        <f>Tabelle1[[#This Row],[Rohprotein '[g/100g']]]*0.85</f>
        <v>15.469999999999999</v>
      </c>
      <c r="H232" s="9">
        <v>3</v>
      </c>
      <c r="I232" s="11">
        <f>Tabelle1[[#This Row],[TS]]-Tabelle1[[#This Row],[Rohprotein '[g/100g']]]-Tabelle1[[#This Row],[Rohfett '[g/100g']]]-Tabelle1[[#This Row],[Rohasche '[g/100g']]]-Tabelle1[[#This Row],[Rohfaser '[g/100g']]]</f>
        <v>0.15000000000000346</v>
      </c>
      <c r="J232" s="11">
        <v>0</v>
      </c>
      <c r="K232" s="9">
        <v>1.35</v>
      </c>
      <c r="L232" s="9">
        <v>77.3</v>
      </c>
      <c r="M232" s="9">
        <f>100-Tabelle1[[#This Row],[Wasser '[g/100g']]]</f>
        <v>22.700000000000003</v>
      </c>
      <c r="N232" s="9">
        <v>3</v>
      </c>
      <c r="O232" s="9">
        <v>272</v>
      </c>
      <c r="P232" s="9">
        <v>21</v>
      </c>
      <c r="Q232" s="9">
        <v>114</v>
      </c>
      <c r="R232" s="9">
        <v>400</v>
      </c>
      <c r="T232" s="9">
        <v>9.6999999999999993</v>
      </c>
      <c r="U232" s="9">
        <v>2.84</v>
      </c>
      <c r="V232" s="11">
        <v>0</v>
      </c>
      <c r="W232" s="9">
        <v>121</v>
      </c>
      <c r="X232" s="9">
        <v>51</v>
      </c>
      <c r="Y232" s="9">
        <v>0</v>
      </c>
      <c r="AA232" s="9">
        <v>0</v>
      </c>
      <c r="AB232" s="9">
        <v>0</v>
      </c>
      <c r="AC232" s="9">
        <v>330</v>
      </c>
      <c r="AD232" s="9">
        <v>0.13</v>
      </c>
      <c r="AE232" s="9">
        <v>0.37</v>
      </c>
      <c r="AF232" s="9">
        <v>8.1999999999999993</v>
      </c>
      <c r="AG232" s="9">
        <v>120</v>
      </c>
      <c r="AH232" s="9">
        <v>5.0999999999999996</v>
      </c>
      <c r="AI232" s="9">
        <v>41</v>
      </c>
      <c r="AJ232" s="9">
        <v>0</v>
      </c>
      <c r="AK232" s="9">
        <v>8</v>
      </c>
      <c r="AL232" s="9">
        <v>6</v>
      </c>
      <c r="AM232" s="9">
        <v>0</v>
      </c>
      <c r="AN232" s="9">
        <v>9.7000000000000003E-2</v>
      </c>
      <c r="AO232" s="9">
        <v>5.0999999999999997E-2</v>
      </c>
      <c r="AP232" s="9">
        <v>3.1E-2</v>
      </c>
      <c r="AQ232" s="9">
        <v>7.8E-2</v>
      </c>
      <c r="AR232" s="9">
        <v>6.5000000000000002E-2</v>
      </c>
      <c r="AS232" s="9">
        <v>1.034</v>
      </c>
      <c r="AT232" s="9">
        <v>0</v>
      </c>
      <c r="AU232" s="9">
        <v>0.433</v>
      </c>
      <c r="AV232" s="9">
        <v>1.4159999999999999</v>
      </c>
      <c r="AW232" s="9">
        <v>0.36399999999999999</v>
      </c>
      <c r="AX232" s="9">
        <f>Tabelle1[[#This Row],[Vitamin D3 '[µg/100g']]]*40</f>
        <v>0</v>
      </c>
      <c r="AY232" s="9">
        <f>Tabelle1[[#This Row],[Vitamin A '[µg/100g']]]*3.33</f>
        <v>1098.9000000000001</v>
      </c>
      <c r="AZ232" s="9">
        <f>Tabelle1[[#This Row],[Vitamin E '[mg/100g']]]*1.49</f>
        <v>0</v>
      </c>
    </row>
    <row r="233" spans="1:52" hidden="1" x14ac:dyDescent="0.45">
      <c r="A233" t="s">
        <v>1151</v>
      </c>
      <c r="B233" t="s">
        <v>1073</v>
      </c>
      <c r="C233" t="s">
        <v>1074</v>
      </c>
      <c r="D233" s="9">
        <v>219</v>
      </c>
      <c r="E233" s="11">
        <f>Tabelle1[[#This Row],[Energie '[kcal/100g']]]/239</f>
        <v>0.91631799163179917</v>
      </c>
      <c r="F233" s="9">
        <v>31.73</v>
      </c>
      <c r="G233" s="11">
        <f>Tabelle1[[#This Row],[Rohprotein '[g/100g']]]*0.85</f>
        <v>26.970500000000001</v>
      </c>
      <c r="H233" s="9">
        <v>10.192</v>
      </c>
      <c r="I233" s="11">
        <f>Tabelle1[[#This Row],[TS]]-Tabelle1[[#This Row],[Rohprotein '[g/100g']]]-Tabelle1[[#This Row],[Rohfett '[g/100g']]]-Tabelle1[[#This Row],[Rohasche '[g/100g']]]-Tabelle1[[#This Row],[Rohfaser '[g/100g']]]</f>
        <v>0.83000000000000096</v>
      </c>
      <c r="J233" s="11">
        <v>0</v>
      </c>
      <c r="K233" s="9">
        <v>1.54</v>
      </c>
      <c r="L233" s="9">
        <v>55.707999999999998</v>
      </c>
      <c r="M233" s="9">
        <f>100-Tabelle1[[#This Row],[Wasser '[g/100g']]]</f>
        <v>44.292000000000002</v>
      </c>
      <c r="N233" s="9">
        <v>20</v>
      </c>
      <c r="O233" s="9">
        <v>416</v>
      </c>
      <c r="P233" s="9">
        <v>31</v>
      </c>
      <c r="Q233" s="9">
        <v>265</v>
      </c>
      <c r="R233" s="9">
        <v>406</v>
      </c>
      <c r="T233" s="9">
        <v>21.85</v>
      </c>
      <c r="U233" s="9">
        <v>5.76</v>
      </c>
      <c r="V233" s="11">
        <v>0</v>
      </c>
      <c r="W233" s="9">
        <v>1880</v>
      </c>
      <c r="X233" s="9">
        <v>100</v>
      </c>
      <c r="Y233" s="9">
        <v>0</v>
      </c>
      <c r="AA233" s="9">
        <v>0.2</v>
      </c>
      <c r="AB233" s="9">
        <v>0.54</v>
      </c>
      <c r="AC233" s="9">
        <v>336</v>
      </c>
      <c r="AD233" s="9">
        <v>0.629</v>
      </c>
      <c r="AE233" s="9">
        <v>4.7119999999999997</v>
      </c>
      <c r="AF233" s="9">
        <v>10.999000000000001</v>
      </c>
      <c r="AG233" s="9">
        <v>800</v>
      </c>
      <c r="AH233" s="9">
        <v>35</v>
      </c>
      <c r="AI233" s="9">
        <v>19.05</v>
      </c>
      <c r="AJ233" s="9">
        <v>0</v>
      </c>
      <c r="AK233" s="9">
        <v>82</v>
      </c>
      <c r="AL233" s="9">
        <v>112</v>
      </c>
      <c r="AM233" s="9">
        <v>0</v>
      </c>
      <c r="AN233" s="9">
        <v>9.8000000000000004E-2</v>
      </c>
      <c r="AO233" s="9">
        <v>0</v>
      </c>
      <c r="AP233" s="9">
        <v>0</v>
      </c>
      <c r="AQ233" s="9">
        <v>9.8000000000000004E-2</v>
      </c>
      <c r="AR233" s="9">
        <v>9.8000000000000004E-2</v>
      </c>
      <c r="AS233" s="9">
        <v>1.976</v>
      </c>
      <c r="AT233" s="9">
        <v>0.38</v>
      </c>
      <c r="AU233" s="9">
        <v>0.79800000000000004</v>
      </c>
      <c r="AV233" s="9">
        <v>2.2989999999999999</v>
      </c>
      <c r="AW233" s="9">
        <v>0.64600000000000002</v>
      </c>
      <c r="AX233" s="9">
        <f>Tabelle1[[#This Row],[Vitamin D3 '[µg/100g']]]*40</f>
        <v>8</v>
      </c>
      <c r="AY233" s="9">
        <f>Tabelle1[[#This Row],[Vitamin A '[µg/100g']]]*3.33</f>
        <v>1118.8800000000001</v>
      </c>
      <c r="AZ233" s="9">
        <f>Tabelle1[[#This Row],[Vitamin E '[mg/100g']]]*1.49</f>
        <v>0.80460000000000009</v>
      </c>
    </row>
    <row r="234" spans="1:52" hidden="1" x14ac:dyDescent="0.45">
      <c r="A234" t="s">
        <v>1151</v>
      </c>
      <c r="B234" t="s">
        <v>1075</v>
      </c>
      <c r="C234" t="s">
        <v>1076</v>
      </c>
      <c r="D234" s="9">
        <v>124</v>
      </c>
      <c r="E234" s="11">
        <f>Tabelle1[[#This Row],[Energie '[kcal/100g']]]/239</f>
        <v>0.51882845188284521</v>
      </c>
      <c r="F234" s="9">
        <v>16.7</v>
      </c>
      <c r="G234" s="11">
        <f>Tabelle1[[#This Row],[Rohprotein '[g/100g']]]*0.85</f>
        <v>14.194999999999999</v>
      </c>
      <c r="H234" s="9">
        <v>6.37</v>
      </c>
      <c r="I234" s="11">
        <f>Tabelle1[[#This Row],[TS]]-Tabelle1[[#This Row],[Rohprotein '[g/100g']]]-Tabelle1[[#This Row],[Rohfett '[g/100g']]]-Tabelle1[[#This Row],[Rohasche '[g/100g']]]-Tabelle1[[#This Row],[Rohfaser '[g/100g']]]</f>
        <v>0.83000000000000052</v>
      </c>
      <c r="J234" s="11">
        <v>0</v>
      </c>
      <c r="K234" s="9">
        <v>1.1000000000000001</v>
      </c>
      <c r="L234" s="9">
        <v>75</v>
      </c>
      <c r="M234" s="9">
        <f>100-Tabelle1[[#This Row],[Wasser '[g/100g']]]</f>
        <v>25</v>
      </c>
      <c r="N234" s="9">
        <v>10</v>
      </c>
      <c r="O234" s="9">
        <v>260</v>
      </c>
      <c r="P234" s="9">
        <v>18</v>
      </c>
      <c r="Q234" s="9">
        <v>189</v>
      </c>
      <c r="R234" s="9">
        <v>290</v>
      </c>
      <c r="T234" s="9">
        <v>11.5</v>
      </c>
      <c r="U234" s="9">
        <v>3.39</v>
      </c>
      <c r="V234" s="11">
        <v>0</v>
      </c>
      <c r="W234" s="9">
        <v>1175</v>
      </c>
      <c r="X234" s="9">
        <v>50</v>
      </c>
      <c r="Y234" s="9">
        <v>0</v>
      </c>
      <c r="AA234" s="9">
        <v>0.1</v>
      </c>
      <c r="AB234" s="9">
        <v>0.3</v>
      </c>
      <c r="AC234" s="9">
        <v>5</v>
      </c>
      <c r="AD234" s="9">
        <v>0.37</v>
      </c>
      <c r="AE234" s="9">
        <v>2.48</v>
      </c>
      <c r="AF234" s="9">
        <v>6.47</v>
      </c>
      <c r="AG234" s="9">
        <v>500</v>
      </c>
      <c r="AH234" s="9">
        <v>25</v>
      </c>
      <c r="AI234" s="9">
        <v>12.7</v>
      </c>
      <c r="AJ234" s="9">
        <v>0</v>
      </c>
      <c r="AK234" s="9">
        <v>2</v>
      </c>
      <c r="AL234" s="9">
        <v>80</v>
      </c>
      <c r="AM234" s="9">
        <v>0</v>
      </c>
      <c r="AN234" s="9">
        <v>6.0999999999999999E-2</v>
      </c>
      <c r="AO234" s="9">
        <v>0</v>
      </c>
      <c r="AP234" s="9">
        <v>0</v>
      </c>
      <c r="AQ234" s="9">
        <v>6.0999999999999999E-2</v>
      </c>
      <c r="AR234" s="9">
        <v>6.0999999999999999E-2</v>
      </c>
      <c r="AS234" s="9">
        <v>1.04</v>
      </c>
      <c r="AT234" s="9">
        <v>0.2</v>
      </c>
      <c r="AU234" s="9">
        <v>0.42</v>
      </c>
      <c r="AV234" s="9">
        <v>1.21</v>
      </c>
      <c r="AW234" s="9">
        <v>0.34</v>
      </c>
      <c r="AX234" s="9">
        <f>Tabelle1[[#This Row],[Vitamin D3 '[µg/100g']]]*40</f>
        <v>4</v>
      </c>
      <c r="AY234" s="9">
        <f>Tabelle1[[#This Row],[Vitamin A '[µg/100g']]]*3.33</f>
        <v>16.649999999999999</v>
      </c>
      <c r="AZ234" s="9">
        <f>Tabelle1[[#This Row],[Vitamin E '[mg/100g']]]*1.49</f>
        <v>0.44700000000000001</v>
      </c>
    </row>
    <row r="235" spans="1:52" hidden="1" x14ac:dyDescent="0.45">
      <c r="A235" t="s">
        <v>58</v>
      </c>
      <c r="C235" t="s">
        <v>536</v>
      </c>
      <c r="D235" s="9">
        <v>102</v>
      </c>
      <c r="E235" s="11">
        <f>Tabelle1[[#This Row],[Energie '[kcal/100g']]]/239</f>
        <v>0.42677824267782427</v>
      </c>
      <c r="F235" s="9">
        <v>22.9</v>
      </c>
      <c r="G235" s="11">
        <f>Tabelle1[[#This Row],[Rohprotein '[g/100g']]]*0.85</f>
        <v>19.465</v>
      </c>
      <c r="H235" s="9">
        <v>1.3</v>
      </c>
      <c r="I235" s="11">
        <f>Tabelle1[[#This Row],[TS]]-Tabelle1[[#This Row],[Rohprotein '[g/100g']]]-Tabelle1[[#This Row],[Rohfett '[g/100g']]]-Tabelle1[[#This Row],[Rohasche '[g/100g']]]-Tabelle1[[#This Row],[Rohfaser '[g/100g']]]</f>
        <v>-0.29999999999999871</v>
      </c>
      <c r="J235" s="11">
        <v>0</v>
      </c>
      <c r="K235" s="9">
        <v>1.1000000000000001</v>
      </c>
      <c r="L235" s="9">
        <v>75</v>
      </c>
      <c r="M235" s="9">
        <f>100-Tabelle1[[#This Row],[Wasser '[g/100g']]]</f>
        <v>25</v>
      </c>
      <c r="N235" s="9">
        <v>11</v>
      </c>
      <c r="O235" s="9">
        <v>198</v>
      </c>
      <c r="P235" s="9">
        <v>24</v>
      </c>
      <c r="Q235" s="9">
        <v>55</v>
      </c>
      <c r="R235" s="9">
        <v>320</v>
      </c>
      <c r="T235" s="9">
        <v>3.2</v>
      </c>
      <c r="U235" s="9">
        <v>4.3</v>
      </c>
      <c r="V235" s="11">
        <v>14.5</v>
      </c>
      <c r="W235" s="9">
        <v>160</v>
      </c>
      <c r="X235" s="9">
        <v>20</v>
      </c>
      <c r="Y235" s="9">
        <v>2.2000000000000002</v>
      </c>
      <c r="AA235" s="9">
        <v>0</v>
      </c>
      <c r="AB235" s="9">
        <v>0.25</v>
      </c>
      <c r="AC235" s="9">
        <v>0</v>
      </c>
      <c r="AD235" s="9">
        <v>0.15</v>
      </c>
      <c r="AE235" s="9">
        <v>0.24</v>
      </c>
      <c r="AF235" s="9">
        <v>0.55000000000000004</v>
      </c>
      <c r="AG235" s="9">
        <v>300</v>
      </c>
      <c r="AH235" s="9">
        <v>2.1</v>
      </c>
      <c r="AI235" s="9">
        <v>0</v>
      </c>
      <c r="AJ235" s="9">
        <v>1.2</v>
      </c>
      <c r="AK235" s="9">
        <v>5</v>
      </c>
      <c r="AL235" s="9">
        <v>1.8</v>
      </c>
      <c r="AM235" s="9">
        <v>0</v>
      </c>
      <c r="AN235" s="9">
        <v>0.03</v>
      </c>
      <c r="AO235" s="9">
        <v>0</v>
      </c>
      <c r="AP235" s="9">
        <v>0</v>
      </c>
      <c r="AQ235" s="9">
        <v>0.08</v>
      </c>
      <c r="AR235" s="9">
        <v>0</v>
      </c>
      <c r="AS235" s="9">
        <v>1.42</v>
      </c>
      <c r="AT235" s="9">
        <v>0.26</v>
      </c>
      <c r="AU235" s="9">
        <v>0.67</v>
      </c>
      <c r="AV235" s="9">
        <v>2.04</v>
      </c>
      <c r="AW235" s="9">
        <v>0.6</v>
      </c>
      <c r="AX235" s="9">
        <f>Tabelle1[[#This Row],[Vitamin D3 '[µg/100g']]]*40</f>
        <v>0</v>
      </c>
      <c r="AY235" s="9">
        <f>Tabelle1[[#This Row],[Vitamin A '[µg/100g']]]*3.33</f>
        <v>0</v>
      </c>
      <c r="AZ235" s="9">
        <f>Tabelle1[[#This Row],[Vitamin E '[mg/100g']]]*1.49</f>
        <v>0.3725</v>
      </c>
    </row>
    <row r="236" spans="1:52" hidden="1" x14ac:dyDescent="0.45">
      <c r="A236" t="s">
        <v>877</v>
      </c>
      <c r="B236" t="s">
        <v>775</v>
      </c>
      <c r="C236" t="s">
        <v>776</v>
      </c>
      <c r="D236" s="9">
        <v>47</v>
      </c>
      <c r="E236" s="11">
        <f>Tabelle1[[#This Row],[Energie '[kcal/100g']]]/239</f>
        <v>0.19665271966527198</v>
      </c>
      <c r="F236" s="9">
        <v>0.98799999999999999</v>
      </c>
      <c r="G236" s="11">
        <f>Tabelle1[[#This Row],[Rohprotein '[g/100g']]]*0.85</f>
        <v>0.83979999999999999</v>
      </c>
      <c r="H236" s="9">
        <v>0.47099999999999997</v>
      </c>
      <c r="I236" s="11">
        <f>Tabelle1[[#This Row],[TS]]-Tabelle1[[#This Row],[Rohprotein '[g/100g']]]-Tabelle1[[#This Row],[Rohfett '[g/100g']]]-Tabelle1[[#This Row],[Rohasche '[g/100g']]]-Tabelle1[[#This Row],[Rohfaser '[g/100g']]]</f>
        <v>11.764999999999995</v>
      </c>
      <c r="J236" s="11">
        <v>0</v>
      </c>
      <c r="K236" s="9">
        <v>0.876</v>
      </c>
      <c r="L236" s="9">
        <v>85.9</v>
      </c>
      <c r="M236" s="9">
        <f>100-Tabelle1[[#This Row],[Wasser '[g/100g']]]</f>
        <v>14.099999999999994</v>
      </c>
      <c r="N236" s="9">
        <v>24.8</v>
      </c>
      <c r="O236" s="9">
        <v>42.2</v>
      </c>
      <c r="P236" s="9">
        <v>14</v>
      </c>
      <c r="Q236" s="9">
        <v>26.7</v>
      </c>
      <c r="R236" s="9">
        <v>417.8</v>
      </c>
      <c r="T236" s="9">
        <v>0.41799999999999998</v>
      </c>
      <c r="U236" s="9">
        <v>0.30095</v>
      </c>
      <c r="V236" s="11">
        <v>0</v>
      </c>
      <c r="W236" s="9">
        <v>65.209999999999994</v>
      </c>
      <c r="X236" s="9">
        <v>113.86</v>
      </c>
      <c r="Y236" s="9">
        <v>3.5</v>
      </c>
      <c r="AA236" s="9">
        <v>0</v>
      </c>
      <c r="AB236" s="9">
        <v>0.92600000000000005</v>
      </c>
      <c r="AC236" s="9">
        <v>2046</v>
      </c>
      <c r="AD236" s="9">
        <v>0.1108</v>
      </c>
      <c r="AE236" s="9">
        <v>1.6E-2</v>
      </c>
      <c r="AF236" s="9">
        <v>0.219</v>
      </c>
      <c r="AG236" s="9">
        <v>181.4</v>
      </c>
      <c r="AH236" s="9">
        <v>0</v>
      </c>
      <c r="AI236" s="9">
        <v>3.1059999999999999</v>
      </c>
      <c r="AJ236" s="9">
        <v>12</v>
      </c>
      <c r="AK236" s="9">
        <v>19</v>
      </c>
      <c r="AL236" s="9">
        <v>0.3</v>
      </c>
      <c r="AM236" s="9">
        <v>0</v>
      </c>
      <c r="AN236" s="9">
        <v>6.3E-3</v>
      </c>
      <c r="AO236" s="9">
        <v>0</v>
      </c>
      <c r="AP236" s="9">
        <v>0</v>
      </c>
      <c r="AQ236" s="9">
        <v>8.1600000000000006E-2</v>
      </c>
      <c r="AR236" s="9">
        <v>7.9799999999999996E-2</v>
      </c>
      <c r="AS236" s="9">
        <v>4.8000000000000001E-2</v>
      </c>
      <c r="AT236" s="9">
        <v>1.4999999999999999E-2</v>
      </c>
      <c r="AU236" s="9">
        <v>1.7999999999999999E-2</v>
      </c>
      <c r="AV236" s="9">
        <v>5.5E-2</v>
      </c>
      <c r="AW236" s="9">
        <v>8.9999999999999993E-3</v>
      </c>
      <c r="AX236" s="9">
        <f>Tabelle1[[#This Row],[Vitamin D3 '[µg/100g']]]*40</f>
        <v>0</v>
      </c>
      <c r="AY236" s="9">
        <f>Tabelle1[[#This Row],[Vitamin A '[µg/100g']]]*3.33</f>
        <v>6813.18</v>
      </c>
      <c r="AZ236" s="9">
        <f>Tabelle1[[#This Row],[Vitamin E '[mg/100g']]]*1.49</f>
        <v>1.37974</v>
      </c>
    </row>
    <row r="237" spans="1:52" hidden="1" x14ac:dyDescent="0.45">
      <c r="A237" t="s">
        <v>877</v>
      </c>
      <c r="B237" t="s">
        <v>777</v>
      </c>
      <c r="C237" t="s">
        <v>778</v>
      </c>
      <c r="D237" s="9">
        <v>74</v>
      </c>
      <c r="E237" s="11">
        <f>Tabelle1[[#This Row],[Energie '[kcal/100g']]]/239</f>
        <v>0.30962343096234307</v>
      </c>
      <c r="F237" s="9">
        <v>1.556</v>
      </c>
      <c r="G237" s="11">
        <f>Tabelle1[[#This Row],[Rohprotein '[g/100g']]]*0.85</f>
        <v>1.3226</v>
      </c>
      <c r="H237" s="9">
        <v>0.74099999999999999</v>
      </c>
      <c r="I237" s="11">
        <f>Tabelle1[[#This Row],[TS]]-Tabelle1[[#This Row],[Rohprotein '[g/100g']]]-Tabelle1[[#This Row],[Rohfett '[g/100g']]]-Tabelle1[[#This Row],[Rohasche '[g/100g']]]-Tabelle1[[#This Row],[Rohfaser '[g/100g']]]</f>
        <v>18.323</v>
      </c>
      <c r="J237" s="11">
        <v>0</v>
      </c>
      <c r="K237" s="9">
        <v>1.38</v>
      </c>
      <c r="L237" s="9">
        <v>78</v>
      </c>
      <c r="M237" s="9">
        <f>100-Tabelle1[[#This Row],[Wasser '[g/100g']]]</f>
        <v>22</v>
      </c>
      <c r="N237" s="9">
        <v>39.1</v>
      </c>
      <c r="O237" s="9">
        <v>66.5</v>
      </c>
      <c r="P237" s="9">
        <v>22</v>
      </c>
      <c r="Q237" s="9">
        <v>42</v>
      </c>
      <c r="R237" s="9">
        <v>657.6</v>
      </c>
      <c r="T237" s="9">
        <v>0.65800000000000003</v>
      </c>
      <c r="U237" s="9">
        <v>0.47371999999999997</v>
      </c>
      <c r="V237" s="11">
        <v>0</v>
      </c>
      <c r="W237" s="9">
        <v>102.65</v>
      </c>
      <c r="X237" s="9">
        <v>179.22</v>
      </c>
      <c r="Y237" s="9">
        <v>5.5</v>
      </c>
      <c r="AA237" s="9">
        <v>0</v>
      </c>
      <c r="AB237" s="9">
        <v>1.4570000000000001</v>
      </c>
      <c r="AC237" s="9">
        <v>3151</v>
      </c>
      <c r="AD237" s="9">
        <v>0.1847</v>
      </c>
      <c r="AE237" s="9">
        <v>2.5000000000000001E-2</v>
      </c>
      <c r="AF237" s="9">
        <v>0.35199999999999998</v>
      </c>
      <c r="AG237" s="9">
        <v>279.3</v>
      </c>
      <c r="AH237" s="9">
        <v>0</v>
      </c>
      <c r="AI237" s="9">
        <v>5.069</v>
      </c>
      <c r="AJ237" s="9">
        <v>19</v>
      </c>
      <c r="AK237" s="9">
        <v>29</v>
      </c>
      <c r="AL237" s="9">
        <v>0.5</v>
      </c>
      <c r="AM237" s="9">
        <v>0</v>
      </c>
      <c r="AN237" s="9">
        <v>0.01</v>
      </c>
      <c r="AO237" s="9">
        <v>0</v>
      </c>
      <c r="AP237" s="9">
        <v>0</v>
      </c>
      <c r="AQ237" s="9">
        <v>0.12839999999999999</v>
      </c>
      <c r="AR237" s="9">
        <v>0.12559999999999999</v>
      </c>
      <c r="AS237" s="9">
        <v>7.5999999999999998E-2</v>
      </c>
      <c r="AT237" s="9">
        <v>2.4E-2</v>
      </c>
      <c r="AU237" s="9">
        <v>2.8000000000000001E-2</v>
      </c>
      <c r="AV237" s="9">
        <v>8.6999999999999994E-2</v>
      </c>
      <c r="AW237" s="9">
        <v>1.4999999999999999E-2</v>
      </c>
      <c r="AX237" s="9">
        <f>Tabelle1[[#This Row],[Vitamin D3 '[µg/100g']]]*40</f>
        <v>0</v>
      </c>
      <c r="AY237" s="9">
        <f>Tabelle1[[#This Row],[Vitamin A '[µg/100g']]]*3.33</f>
        <v>10492.83</v>
      </c>
      <c r="AZ237" s="9">
        <f>Tabelle1[[#This Row],[Vitamin E '[mg/100g']]]*1.49</f>
        <v>2.1709300000000002</v>
      </c>
    </row>
    <row r="238" spans="1:52" hidden="1" x14ac:dyDescent="0.45">
      <c r="A238" t="s">
        <v>877</v>
      </c>
      <c r="B238" s="14" t="s">
        <v>779</v>
      </c>
      <c r="C238" s="14" t="s">
        <v>780</v>
      </c>
      <c r="D238" s="15">
        <v>42</v>
      </c>
      <c r="E238" s="11">
        <f>Tabelle1[[#This Row],[Energie '[kcal/100g']]]/239</f>
        <v>0.17573221757322174</v>
      </c>
      <c r="F238" s="15">
        <v>0.875</v>
      </c>
      <c r="G238" s="11">
        <f>Tabelle1[[#This Row],[Rohprotein '[g/100g']]]*0.85</f>
        <v>0.74375000000000002</v>
      </c>
      <c r="H238" s="15">
        <v>0.41699999999999998</v>
      </c>
      <c r="I238" s="11">
        <f>Tabelle1[[#This Row],[TS]]-Tabelle1[[#This Row],[Rohprotein '[g/100g']]]-Tabelle1[[#This Row],[Rohfett '[g/100g']]]-Tabelle1[[#This Row],[Rohasche '[g/100g']]]-Tabelle1[[#This Row],[Rohfaser '[g/100g']]]</f>
        <v>10.432</v>
      </c>
      <c r="J238" s="11">
        <v>0</v>
      </c>
      <c r="K238" s="15">
        <v>0.77600000000000002</v>
      </c>
      <c r="L238" s="15">
        <v>87.5</v>
      </c>
      <c r="M238" s="15">
        <f>100-Tabelle1[[#This Row],[Wasser '[g/100g']]]</f>
        <v>12.5</v>
      </c>
      <c r="N238" s="15">
        <v>22</v>
      </c>
      <c r="O238" s="15">
        <v>37.4</v>
      </c>
      <c r="P238" s="15">
        <v>12</v>
      </c>
      <c r="Q238" s="15">
        <v>23.6</v>
      </c>
      <c r="R238" s="15">
        <v>369.9</v>
      </c>
      <c r="S238" s="15"/>
      <c r="T238" s="15">
        <v>0.37009999999999998</v>
      </c>
      <c r="U238" s="15">
        <v>0.26646999999999998</v>
      </c>
      <c r="V238" s="11">
        <v>0</v>
      </c>
      <c r="W238" s="15">
        <v>57.74</v>
      </c>
      <c r="X238" s="15">
        <v>100.81</v>
      </c>
      <c r="Y238" s="15">
        <v>3.1</v>
      </c>
      <c r="Z238" s="15"/>
      <c r="AA238" s="15">
        <v>0</v>
      </c>
      <c r="AB238" s="15">
        <v>0.82</v>
      </c>
      <c r="AC238" s="15">
        <v>1772</v>
      </c>
      <c r="AD238" s="15">
        <v>0.10390000000000001</v>
      </c>
      <c r="AE238" s="15">
        <v>1.4E-2</v>
      </c>
      <c r="AF238" s="15">
        <v>0.19800000000000001</v>
      </c>
      <c r="AG238" s="15">
        <v>157.1</v>
      </c>
      <c r="AH238" s="15">
        <v>0</v>
      </c>
      <c r="AI238" s="15">
        <v>2.851</v>
      </c>
      <c r="AJ238" s="15">
        <v>10</v>
      </c>
      <c r="AK238" s="15">
        <v>16</v>
      </c>
      <c r="AL238" s="15">
        <v>0.3</v>
      </c>
      <c r="AM238" s="15">
        <v>0</v>
      </c>
      <c r="AN238" s="15">
        <v>5.5999999999999999E-3</v>
      </c>
      <c r="AO238" s="15">
        <v>0</v>
      </c>
      <c r="AP238" s="15">
        <v>0</v>
      </c>
      <c r="AQ238" s="15">
        <v>7.22E-2</v>
      </c>
      <c r="AR238" s="15">
        <v>7.0599999999999996E-2</v>
      </c>
      <c r="AS238" s="15">
        <v>4.2999999999999997E-2</v>
      </c>
      <c r="AT238" s="15">
        <v>1.4E-2</v>
      </c>
      <c r="AU238" s="15">
        <v>1.6E-2</v>
      </c>
      <c r="AV238" s="15">
        <v>4.9000000000000002E-2</v>
      </c>
      <c r="AW238" s="15">
        <v>8.0000000000000002E-3</v>
      </c>
      <c r="AX238" s="9">
        <f>Tabelle1[[#This Row],[Vitamin D3 '[µg/100g']]]*40</f>
        <v>0</v>
      </c>
      <c r="AY238" s="9">
        <f>Tabelle1[[#This Row],[Vitamin A '[µg/100g']]]*3.33</f>
        <v>5900.76</v>
      </c>
      <c r="AZ238" s="9">
        <f>Tabelle1[[#This Row],[Vitamin E '[mg/100g']]]*1.49</f>
        <v>1.2218</v>
      </c>
    </row>
    <row r="239" spans="1:52" hidden="1" x14ac:dyDescent="0.45">
      <c r="A239" t="s">
        <v>877</v>
      </c>
      <c r="B239" s="14" t="s">
        <v>781</v>
      </c>
      <c r="C239" s="14" t="s">
        <v>782</v>
      </c>
      <c r="D239" s="15">
        <v>34</v>
      </c>
      <c r="E239" s="11">
        <f>Tabelle1[[#This Row],[Energie '[kcal/100g']]]/239</f>
        <v>0.14225941422594143</v>
      </c>
      <c r="F239" s="15">
        <v>0.5</v>
      </c>
      <c r="G239" s="11">
        <f>Tabelle1[[#This Row],[Rohprotein '[g/100g']]]*0.85</f>
        <v>0.42499999999999999</v>
      </c>
      <c r="H239" s="15">
        <v>0.5</v>
      </c>
      <c r="I239" s="11">
        <f>Tabelle1[[#This Row],[TS]]-Tabelle1[[#This Row],[Rohprotein '[g/100g']]]-Tabelle1[[#This Row],[Rohfett '[g/100g']]]-Tabelle1[[#This Row],[Rohasche '[g/100g']]]-Tabelle1[[#This Row],[Rohfaser '[g/100g']]]</f>
        <v>9.2999999999999972</v>
      </c>
      <c r="J239" s="11">
        <v>0</v>
      </c>
      <c r="K239" s="15">
        <v>0.5</v>
      </c>
      <c r="L239" s="15">
        <v>89.2</v>
      </c>
      <c r="M239" s="15">
        <f>100-Tabelle1[[#This Row],[Wasser '[g/100g']]]</f>
        <v>10.799999999999997</v>
      </c>
      <c r="N239" s="15">
        <v>31</v>
      </c>
      <c r="O239" s="15">
        <v>28.2</v>
      </c>
      <c r="P239" s="15">
        <v>8</v>
      </c>
      <c r="Q239" s="15">
        <v>29</v>
      </c>
      <c r="R239" s="15">
        <v>166</v>
      </c>
      <c r="S239" s="15"/>
      <c r="T239" s="15">
        <v>0.34</v>
      </c>
      <c r="U239" s="15">
        <v>0.13</v>
      </c>
      <c r="V239" s="11">
        <v>0</v>
      </c>
      <c r="W239" s="15">
        <v>17</v>
      </c>
      <c r="X239" s="15">
        <v>118</v>
      </c>
      <c r="Y239" s="15">
        <v>2.9</v>
      </c>
      <c r="Z239" s="15"/>
      <c r="AA239" s="15">
        <v>0</v>
      </c>
      <c r="AB239" s="15">
        <v>0.8</v>
      </c>
      <c r="AC239" s="15">
        <v>180</v>
      </c>
      <c r="AD239" s="15">
        <v>0.09</v>
      </c>
      <c r="AE239" s="15">
        <v>0.02</v>
      </c>
      <c r="AF239" s="15">
        <v>0.2</v>
      </c>
      <c r="AG239" s="15">
        <v>27.09</v>
      </c>
      <c r="AH239" s="15">
        <v>0</v>
      </c>
      <c r="AI239" s="15">
        <v>5</v>
      </c>
      <c r="AJ239" s="15">
        <v>11</v>
      </c>
      <c r="AK239" s="15">
        <v>31</v>
      </c>
      <c r="AL239" s="15">
        <v>0.3</v>
      </c>
      <c r="AM239" s="15">
        <v>0</v>
      </c>
      <c r="AN239" s="15">
        <v>5.4000000000000003E-3</v>
      </c>
      <c r="AO239" s="15">
        <v>0</v>
      </c>
      <c r="AP239" s="15">
        <v>0</v>
      </c>
      <c r="AQ239" s="15">
        <v>6.93E-2</v>
      </c>
      <c r="AR239" s="15">
        <v>6.7799999999999999E-2</v>
      </c>
      <c r="AS239" s="15">
        <v>4.1000000000000002E-2</v>
      </c>
      <c r="AT239" s="15">
        <v>1.2999999999999999E-2</v>
      </c>
      <c r="AU239" s="15">
        <v>1.4999999999999999E-2</v>
      </c>
      <c r="AV239" s="15">
        <v>4.7E-2</v>
      </c>
      <c r="AW239" s="15">
        <v>8.0000000000000002E-3</v>
      </c>
      <c r="AX239" s="9">
        <f>Tabelle1[[#This Row],[Vitamin D3 '[µg/100g']]]*40</f>
        <v>0</v>
      </c>
      <c r="AY239" s="9">
        <f>Tabelle1[[#This Row],[Vitamin A '[µg/100g']]]*3.33</f>
        <v>599.4</v>
      </c>
      <c r="AZ239" s="9">
        <f>Tabelle1[[#This Row],[Vitamin E '[mg/100g']]]*1.49</f>
        <v>1.1919999999999999</v>
      </c>
    </row>
    <row r="240" spans="1:52" hidden="1" x14ac:dyDescent="0.45">
      <c r="A240" t="s">
        <v>877</v>
      </c>
      <c r="B240" s="14" t="s">
        <v>783</v>
      </c>
      <c r="C240" s="14" t="s">
        <v>784</v>
      </c>
      <c r="D240" s="15">
        <v>48</v>
      </c>
      <c r="E240" s="11">
        <f>Tabelle1[[#This Row],[Energie '[kcal/100g']]]/239</f>
        <v>0.20083682008368201</v>
      </c>
      <c r="F240" s="15">
        <v>1.002</v>
      </c>
      <c r="G240" s="11">
        <f>Tabelle1[[#This Row],[Rohprotein '[g/100g']]]*0.85</f>
        <v>0.85170000000000001</v>
      </c>
      <c r="H240" s="15">
        <v>0.47699999999999998</v>
      </c>
      <c r="I240" s="11">
        <f>Tabelle1[[#This Row],[TS]]-Tabelle1[[#This Row],[Rohprotein '[g/100g']]]-Tabelle1[[#This Row],[Rohfett '[g/100g']]]-Tabelle1[[#This Row],[Rohasche '[g/100g']]]-Tabelle1[[#This Row],[Rohfaser '[g/100g']]]</f>
        <v>12.023000000000005</v>
      </c>
      <c r="J240" s="11">
        <v>0</v>
      </c>
      <c r="K240" s="15">
        <v>0.89800000000000002</v>
      </c>
      <c r="L240" s="15">
        <v>85.6</v>
      </c>
      <c r="M240" s="15">
        <f>100-Tabelle1[[#This Row],[Wasser '[g/100g']]]</f>
        <v>14.400000000000006</v>
      </c>
      <c r="N240" s="15">
        <v>25.2</v>
      </c>
      <c r="O240" s="15">
        <v>43.3</v>
      </c>
      <c r="P240" s="15">
        <v>14</v>
      </c>
      <c r="Q240" s="15">
        <v>27.1</v>
      </c>
      <c r="R240" s="15">
        <v>423.6</v>
      </c>
      <c r="S240" s="15"/>
      <c r="T240" s="15">
        <v>0.42809999999999998</v>
      </c>
      <c r="U240" s="15">
        <v>0.30512</v>
      </c>
      <c r="V240" s="11">
        <v>0</v>
      </c>
      <c r="W240" s="15">
        <v>66.78</v>
      </c>
      <c r="X240" s="15">
        <v>116.6</v>
      </c>
      <c r="Y240" s="15">
        <v>3.5</v>
      </c>
      <c r="Z240" s="15"/>
      <c r="AA240" s="15">
        <v>0</v>
      </c>
      <c r="AB240" s="15">
        <v>0.94799999999999995</v>
      </c>
      <c r="AC240" s="15">
        <v>1959</v>
      </c>
      <c r="AD240" s="15">
        <v>0.1028</v>
      </c>
      <c r="AE240" s="15">
        <v>1.7000000000000001E-2</v>
      </c>
      <c r="AF240" s="15">
        <v>0.21</v>
      </c>
      <c r="AG240" s="15">
        <v>157.5</v>
      </c>
      <c r="AH240" s="15">
        <v>0</v>
      </c>
      <c r="AI240" s="15">
        <v>3.1040000000000001</v>
      </c>
      <c r="AJ240" s="15">
        <v>12</v>
      </c>
      <c r="AK240" s="15">
        <v>20</v>
      </c>
      <c r="AL240" s="15">
        <v>0.3</v>
      </c>
      <c r="AM240" s="15">
        <v>0</v>
      </c>
      <c r="AN240" s="15">
        <v>6.4000000000000003E-3</v>
      </c>
      <c r="AO240" s="15">
        <v>0</v>
      </c>
      <c r="AP240" s="15">
        <v>0</v>
      </c>
      <c r="AQ240" s="15">
        <v>8.2699999999999996E-2</v>
      </c>
      <c r="AR240" s="15">
        <v>8.09E-2</v>
      </c>
      <c r="AS240" s="15">
        <v>4.9000000000000002E-2</v>
      </c>
      <c r="AT240" s="15">
        <v>1.6E-2</v>
      </c>
      <c r="AU240" s="15">
        <v>1.7999999999999999E-2</v>
      </c>
      <c r="AV240" s="15">
        <v>5.6000000000000001E-2</v>
      </c>
      <c r="AW240" s="15">
        <v>0.01</v>
      </c>
      <c r="AX240" s="9">
        <f>Tabelle1[[#This Row],[Vitamin D3 '[µg/100g']]]*40</f>
        <v>0</v>
      </c>
      <c r="AY240" s="9">
        <f>Tabelle1[[#This Row],[Vitamin A '[µg/100g']]]*3.33</f>
        <v>6523.47</v>
      </c>
      <c r="AZ240" s="9">
        <f>Tabelle1[[#This Row],[Vitamin E '[mg/100g']]]*1.49</f>
        <v>1.41252</v>
      </c>
    </row>
    <row r="241" spans="1:52" hidden="1" x14ac:dyDescent="0.45">
      <c r="A241" t="s">
        <v>877</v>
      </c>
      <c r="B241" s="14" t="s">
        <v>785</v>
      </c>
      <c r="C241" s="14" t="s">
        <v>786</v>
      </c>
      <c r="D241" s="15">
        <v>40</v>
      </c>
      <c r="E241" s="11">
        <f>Tabelle1[[#This Row],[Energie '[kcal/100g']]]/239</f>
        <v>0.16736401673640167</v>
      </c>
      <c r="F241" s="15">
        <v>0.84</v>
      </c>
      <c r="G241" s="11">
        <f>Tabelle1[[#This Row],[Rohprotein '[g/100g']]]*0.85</f>
        <v>0.71399999999999997</v>
      </c>
      <c r="H241" s="15">
        <v>0.4</v>
      </c>
      <c r="I241" s="11">
        <f>Tabelle1[[#This Row],[TS]]-Tabelle1[[#This Row],[Rohprotein '[g/100g']]]-Tabelle1[[#This Row],[Rohfett '[g/100g']]]-Tabelle1[[#This Row],[Rohasche '[g/100g']]]-Tabelle1[[#This Row],[Rohfaser '[g/100g']]]</f>
        <v>10.015000000000001</v>
      </c>
      <c r="J241" s="11">
        <v>0</v>
      </c>
      <c r="K241" s="15">
        <v>0.745</v>
      </c>
      <c r="L241" s="15">
        <v>88</v>
      </c>
      <c r="M241" s="15">
        <f>100-Tabelle1[[#This Row],[Wasser '[g/100g']]]</f>
        <v>12</v>
      </c>
      <c r="N241" s="15">
        <v>21.1</v>
      </c>
      <c r="O241" s="15">
        <v>35.9</v>
      </c>
      <c r="P241" s="15">
        <v>12</v>
      </c>
      <c r="Q241" s="15">
        <v>22.7</v>
      </c>
      <c r="R241" s="15">
        <v>355.1</v>
      </c>
      <c r="S241" s="15"/>
      <c r="T241" s="15">
        <v>0.3553</v>
      </c>
      <c r="U241" s="15">
        <v>0.25580999999999998</v>
      </c>
      <c r="V241" s="11">
        <v>0</v>
      </c>
      <c r="W241" s="15">
        <v>55.43</v>
      </c>
      <c r="X241" s="15">
        <v>96.78</v>
      </c>
      <c r="Y241" s="15">
        <v>3.1</v>
      </c>
      <c r="Z241" s="15"/>
      <c r="AA241" s="15">
        <v>0</v>
      </c>
      <c r="AB241" s="15">
        <v>0.78700000000000003</v>
      </c>
      <c r="AC241" s="15">
        <v>1890</v>
      </c>
      <c r="AD241" s="15">
        <v>0.1108</v>
      </c>
      <c r="AE241" s="15">
        <v>1.4E-2</v>
      </c>
      <c r="AF241" s="15">
        <v>0.2</v>
      </c>
      <c r="AG241" s="15">
        <v>167.6</v>
      </c>
      <c r="AH241" s="15">
        <v>0</v>
      </c>
      <c r="AI241" s="15">
        <v>3.22</v>
      </c>
      <c r="AJ241" s="15">
        <v>10</v>
      </c>
      <c r="AK241" s="15">
        <v>22</v>
      </c>
      <c r="AL241" s="15">
        <v>0.3</v>
      </c>
      <c r="AM241" s="15">
        <v>0</v>
      </c>
      <c r="AN241" s="15">
        <v>5.4000000000000003E-3</v>
      </c>
      <c r="AO241" s="15">
        <v>0</v>
      </c>
      <c r="AP241" s="15">
        <v>0</v>
      </c>
      <c r="AQ241" s="15">
        <v>6.93E-2</v>
      </c>
      <c r="AR241" s="15">
        <v>6.7799999999999999E-2</v>
      </c>
      <c r="AS241" s="15">
        <v>4.1000000000000002E-2</v>
      </c>
      <c r="AT241" s="15">
        <v>1.2999999999999999E-2</v>
      </c>
      <c r="AU241" s="15">
        <v>1.4999999999999999E-2</v>
      </c>
      <c r="AV241" s="15">
        <v>4.7E-2</v>
      </c>
      <c r="AW241" s="15">
        <v>8.0000000000000002E-3</v>
      </c>
      <c r="AX241" s="9">
        <f>Tabelle1[[#This Row],[Vitamin D3 '[µg/100g']]]*40</f>
        <v>0</v>
      </c>
      <c r="AY241" s="9">
        <f>Tabelle1[[#This Row],[Vitamin A '[µg/100g']]]*3.33</f>
        <v>6293.7</v>
      </c>
      <c r="AZ241" s="9">
        <f>Tabelle1[[#This Row],[Vitamin E '[mg/100g']]]*1.49</f>
        <v>1.1726300000000001</v>
      </c>
    </row>
    <row r="242" spans="1:52" hidden="1" x14ac:dyDescent="0.45">
      <c r="A242" t="s">
        <v>877</v>
      </c>
      <c r="B242" s="14" t="s">
        <v>787</v>
      </c>
      <c r="C242" s="14" t="s">
        <v>788</v>
      </c>
      <c r="D242" s="15">
        <v>40</v>
      </c>
      <c r="E242" s="11">
        <f>Tabelle1[[#This Row],[Energie '[kcal/100g']]]/239</f>
        <v>0.16736401673640167</v>
      </c>
      <c r="F242" s="15">
        <v>0.75</v>
      </c>
      <c r="G242" s="11">
        <f>Tabelle1[[#This Row],[Rohprotein '[g/100g']]]*0.85</f>
        <v>0.63749999999999996</v>
      </c>
      <c r="H242" s="15">
        <v>0.42099999999999999</v>
      </c>
      <c r="I242" s="11">
        <f>Tabelle1[[#This Row],[TS]]-Tabelle1[[#This Row],[Rohprotein '[g/100g']]]-Tabelle1[[#This Row],[Rohfett '[g/100g']]]-Tabelle1[[#This Row],[Rohasche '[g/100g']]]-Tabelle1[[#This Row],[Rohfaser '[g/100g']]]</f>
        <v>10.209000000000007</v>
      </c>
      <c r="J242" s="11">
        <v>0</v>
      </c>
      <c r="K242" s="15">
        <v>0.52</v>
      </c>
      <c r="L242" s="15">
        <v>88.1</v>
      </c>
      <c r="M242" s="15">
        <f>100-Tabelle1[[#This Row],[Wasser '[g/100g']]]</f>
        <v>11.900000000000006</v>
      </c>
      <c r="N242" s="15">
        <v>24</v>
      </c>
      <c r="O242" s="15">
        <v>34</v>
      </c>
      <c r="P242" s="15">
        <v>8.1999999999999993</v>
      </c>
      <c r="Q242" s="15">
        <v>21.5</v>
      </c>
      <c r="R242" s="15">
        <v>220</v>
      </c>
      <c r="S242" s="15"/>
      <c r="T242" s="15">
        <v>0.33</v>
      </c>
      <c r="U242" s="15">
        <v>0.22</v>
      </c>
      <c r="V242" s="11">
        <v>0</v>
      </c>
      <c r="W242" s="15">
        <v>42</v>
      </c>
      <c r="X242" s="15">
        <v>370</v>
      </c>
      <c r="Y242" s="15">
        <v>2.9</v>
      </c>
      <c r="Z242" s="15"/>
      <c r="AA242" s="15">
        <v>0</v>
      </c>
      <c r="AB242" s="15">
        <v>0.82799999999999996</v>
      </c>
      <c r="AC242" s="15">
        <v>1904</v>
      </c>
      <c r="AD242" s="15">
        <v>9.3299999999999994E-2</v>
      </c>
      <c r="AE242" s="15">
        <v>1.2E-2</v>
      </c>
      <c r="AF242" s="15">
        <v>0.189</v>
      </c>
      <c r="AG242" s="15">
        <v>141.1</v>
      </c>
      <c r="AH242" s="15">
        <v>0</v>
      </c>
      <c r="AI242" s="15">
        <v>2.7789999999999999</v>
      </c>
      <c r="AJ242" s="15">
        <v>11</v>
      </c>
      <c r="AK242" s="15">
        <v>16</v>
      </c>
      <c r="AL242" s="15">
        <v>0.3</v>
      </c>
      <c r="AM242" s="15">
        <v>0</v>
      </c>
      <c r="AN242" s="15">
        <v>5.5999999999999999E-3</v>
      </c>
      <c r="AO242" s="15">
        <v>0</v>
      </c>
      <c r="AP242" s="15">
        <v>0</v>
      </c>
      <c r="AQ242" s="15">
        <v>7.2999999999999995E-2</v>
      </c>
      <c r="AR242" s="15">
        <v>7.1400000000000005E-2</v>
      </c>
      <c r="AS242" s="15">
        <v>4.2999999999999997E-2</v>
      </c>
      <c r="AT242" s="15">
        <v>1.4E-2</v>
      </c>
      <c r="AU242" s="15">
        <v>1.6E-2</v>
      </c>
      <c r="AV242" s="15">
        <v>4.9000000000000002E-2</v>
      </c>
      <c r="AW242" s="15">
        <v>8.0000000000000002E-3</v>
      </c>
      <c r="AX242" s="9">
        <f>Tabelle1[[#This Row],[Vitamin D3 '[µg/100g']]]*40</f>
        <v>0</v>
      </c>
      <c r="AY242" s="9">
        <f>Tabelle1[[#This Row],[Vitamin A '[µg/100g']]]*3.33</f>
        <v>6340.32</v>
      </c>
      <c r="AZ242" s="9">
        <f>Tabelle1[[#This Row],[Vitamin E '[mg/100g']]]*1.49</f>
        <v>1.2337199999999999</v>
      </c>
    </row>
    <row r="243" spans="1:52" hidden="1" x14ac:dyDescent="0.45">
      <c r="A243" t="s">
        <v>877</v>
      </c>
      <c r="B243" t="s">
        <v>789</v>
      </c>
      <c r="C243" t="s">
        <v>790</v>
      </c>
      <c r="D243" s="9">
        <v>47</v>
      </c>
      <c r="E243" s="11">
        <f>Tabelle1[[#This Row],[Energie '[kcal/100g']]]/239</f>
        <v>0.19665271966527198</v>
      </c>
      <c r="F243" s="9">
        <v>0.88200000000000001</v>
      </c>
      <c r="G243" s="11">
        <f>Tabelle1[[#This Row],[Rohprotein '[g/100g']]]*0.85</f>
        <v>0.74970000000000003</v>
      </c>
      <c r="H243" s="9">
        <v>0.495</v>
      </c>
      <c r="I243" s="11">
        <f>Tabelle1[[#This Row],[TS]]-Tabelle1[[#This Row],[Rohprotein '[g/100g']]]-Tabelle1[[#This Row],[Rohfett '[g/100g']]]-Tabelle1[[#This Row],[Rohasche '[g/100g']]]-Tabelle1[[#This Row],[Rohfaser '[g/100g']]]</f>
        <v>12.011000000000001</v>
      </c>
      <c r="J243" s="11">
        <v>0</v>
      </c>
      <c r="K243" s="9">
        <v>0.61199999999999999</v>
      </c>
      <c r="L243" s="9">
        <v>86</v>
      </c>
      <c r="M243" s="9">
        <f>100-Tabelle1[[#This Row],[Wasser '[g/100g']]]</f>
        <v>14</v>
      </c>
      <c r="N243" s="9">
        <v>28</v>
      </c>
      <c r="O243" s="9">
        <v>40</v>
      </c>
      <c r="P243" s="9">
        <v>9.6</v>
      </c>
      <c r="Q243" s="9">
        <v>25.3</v>
      </c>
      <c r="R243" s="9">
        <v>259</v>
      </c>
      <c r="T243" s="9">
        <v>0.38800000000000001</v>
      </c>
      <c r="U243" s="9">
        <v>0.25900000000000001</v>
      </c>
      <c r="V243" s="9">
        <v>0</v>
      </c>
      <c r="W243" s="9">
        <v>49</v>
      </c>
      <c r="X243" s="9">
        <v>435</v>
      </c>
      <c r="Y243" s="9">
        <v>3.2</v>
      </c>
      <c r="AA243" s="9">
        <v>0</v>
      </c>
      <c r="AB243" s="9">
        <v>0.97399999999999998</v>
      </c>
      <c r="AC243" s="9">
        <v>2061</v>
      </c>
      <c r="AD243" s="9">
        <v>9.3299999999999994E-2</v>
      </c>
      <c r="AE243" s="9">
        <v>1.2999999999999999E-2</v>
      </c>
      <c r="AF243" s="9">
        <v>0.20699999999999999</v>
      </c>
      <c r="AG243" s="9">
        <v>152.69999999999999</v>
      </c>
      <c r="AH243" s="9">
        <v>0</v>
      </c>
      <c r="AI243" s="9">
        <v>2.681</v>
      </c>
      <c r="AJ243" s="9">
        <v>13</v>
      </c>
      <c r="AK243" s="9">
        <v>14</v>
      </c>
      <c r="AL243" s="9">
        <v>0.3</v>
      </c>
      <c r="AM243" s="9">
        <v>0</v>
      </c>
      <c r="AN243" s="9">
        <v>6.6E-3</v>
      </c>
      <c r="AO243" s="9">
        <v>0</v>
      </c>
      <c r="AP243" s="9">
        <v>0</v>
      </c>
      <c r="AQ243" s="9">
        <v>8.5800000000000001E-2</v>
      </c>
      <c r="AR243" s="9">
        <v>8.4000000000000005E-2</v>
      </c>
      <c r="AS243" s="9">
        <v>5.0999999999999997E-2</v>
      </c>
      <c r="AT243" s="9">
        <v>1.6E-2</v>
      </c>
      <c r="AU243" s="9">
        <v>1.9E-2</v>
      </c>
      <c r="AV243" s="9">
        <v>5.8000000000000003E-2</v>
      </c>
      <c r="AW243" s="9">
        <v>8.9999999999999993E-3</v>
      </c>
      <c r="AX243" s="9">
        <f>Tabelle1[[#This Row],[Vitamin D3 '[µg/100g']]]*40</f>
        <v>0</v>
      </c>
      <c r="AY243" s="9">
        <f>Tabelle1[[#This Row],[Vitamin A '[µg/100g']]]*3.33</f>
        <v>6863.13</v>
      </c>
      <c r="AZ243" s="9">
        <f>Tabelle1[[#This Row],[Vitamin E '[mg/100g']]]*1.49</f>
        <v>1.45126</v>
      </c>
    </row>
    <row r="244" spans="1:52" hidden="1" x14ac:dyDescent="0.45">
      <c r="A244" t="s">
        <v>877</v>
      </c>
      <c r="B244" t="s">
        <v>791</v>
      </c>
      <c r="C244" t="s">
        <v>792</v>
      </c>
      <c r="D244" s="9">
        <v>74</v>
      </c>
      <c r="E244" s="11">
        <f>Tabelle1[[#This Row],[Energie '[kcal/100g']]]/239</f>
        <v>0.30962343096234307</v>
      </c>
      <c r="F244" s="9">
        <v>1.389</v>
      </c>
      <c r="G244" s="11">
        <f>Tabelle1[[#This Row],[Rohprotein '[g/100g']]]*0.85</f>
        <v>1.18065</v>
      </c>
      <c r="H244" s="9">
        <v>0.78</v>
      </c>
      <c r="I244" s="11">
        <f>Tabelle1[[#This Row],[TS]]-Tabelle1[[#This Row],[Rohprotein '[g/100g']]]-Tabelle1[[#This Row],[Rohfett '[g/100g']]]-Tabelle1[[#This Row],[Rohasche '[g/100g']]]-Tabelle1[[#This Row],[Rohfaser '[g/100g']]]</f>
        <v>18.768000000000004</v>
      </c>
      <c r="J244" s="11">
        <v>0</v>
      </c>
      <c r="K244" s="9">
        <v>0.96299999999999997</v>
      </c>
      <c r="L244" s="9">
        <v>78.099999999999994</v>
      </c>
      <c r="M244" s="9">
        <f>100-Tabelle1[[#This Row],[Wasser '[g/100g']]]</f>
        <v>21.900000000000006</v>
      </c>
      <c r="N244" s="9">
        <v>44</v>
      </c>
      <c r="O244" s="9">
        <v>63</v>
      </c>
      <c r="P244" s="9">
        <v>15.2</v>
      </c>
      <c r="Q244" s="9">
        <v>39.799999999999997</v>
      </c>
      <c r="R244" s="9">
        <v>407</v>
      </c>
      <c r="T244" s="9">
        <v>0.61099999999999999</v>
      </c>
      <c r="U244" s="9">
        <v>0.40699999999999997</v>
      </c>
      <c r="V244" s="9">
        <v>0</v>
      </c>
      <c r="W244" s="9">
        <v>78</v>
      </c>
      <c r="X244" s="9">
        <v>685</v>
      </c>
      <c r="Y244" s="9">
        <v>5.0999999999999996</v>
      </c>
      <c r="AA244" s="9">
        <v>0</v>
      </c>
      <c r="AB244" s="9">
        <v>1.5329999999999999</v>
      </c>
      <c r="AC244" s="9">
        <v>3173</v>
      </c>
      <c r="AD244" s="9">
        <v>0.1555</v>
      </c>
      <c r="AE244" s="9">
        <v>2.1000000000000001E-2</v>
      </c>
      <c r="AF244" s="9">
        <v>0.33200000000000002</v>
      </c>
      <c r="AG244" s="9">
        <v>235.2</v>
      </c>
      <c r="AH244" s="9">
        <v>0</v>
      </c>
      <c r="AI244" s="9">
        <v>4.3739999999999997</v>
      </c>
      <c r="AJ244" s="9">
        <v>20</v>
      </c>
      <c r="AK244" s="9">
        <v>21</v>
      </c>
      <c r="AL244" s="9">
        <v>0.5</v>
      </c>
      <c r="AM244" s="9">
        <v>0</v>
      </c>
      <c r="AN244" s="9">
        <v>1.0500000000000001E-2</v>
      </c>
      <c r="AO244" s="9">
        <v>0</v>
      </c>
      <c r="AP244" s="9">
        <v>0</v>
      </c>
      <c r="AQ244" s="9">
        <v>0.1351</v>
      </c>
      <c r="AR244" s="9">
        <v>0.13220000000000001</v>
      </c>
      <c r="AS244" s="9">
        <v>0.08</v>
      </c>
      <c r="AT244" s="9">
        <v>2.5999999999999999E-2</v>
      </c>
      <c r="AU244" s="9">
        <v>0.03</v>
      </c>
      <c r="AV244" s="9">
        <v>9.0999999999999998E-2</v>
      </c>
      <c r="AW244" s="9">
        <v>1.4999999999999999E-2</v>
      </c>
      <c r="AX244" s="9">
        <f>Tabelle1[[#This Row],[Vitamin D3 '[µg/100g']]]*40</f>
        <v>0</v>
      </c>
      <c r="AY244" s="9">
        <f>Tabelle1[[#This Row],[Vitamin A '[µg/100g']]]*3.33</f>
        <v>10566.09</v>
      </c>
      <c r="AZ244" s="9">
        <f>Tabelle1[[#This Row],[Vitamin E '[mg/100g']]]*1.49</f>
        <v>2.28417</v>
      </c>
    </row>
    <row r="245" spans="1:52" hidden="1" x14ac:dyDescent="0.45">
      <c r="A245" t="s">
        <v>877</v>
      </c>
      <c r="B245" s="3" t="s">
        <v>793</v>
      </c>
      <c r="C245" s="4" t="s">
        <v>794</v>
      </c>
      <c r="D245" s="11">
        <v>46</v>
      </c>
      <c r="E245" s="11">
        <f>Tabelle1[[#This Row],[Energie '[kcal/100g']]]/239</f>
        <v>0.19246861924686193</v>
      </c>
      <c r="F245" s="11">
        <v>0.86199999999999999</v>
      </c>
      <c r="G245" s="11">
        <f>Tabelle1[[#This Row],[Rohprotein '[g/100g']]]*0.85</f>
        <v>0.73270000000000002</v>
      </c>
      <c r="H245" s="11">
        <v>0.48399999999999999</v>
      </c>
      <c r="I245" s="11">
        <f>Tabelle1[[#This Row],[TS]]-Tabelle1[[#This Row],[Rohprotein '[g/100g']]]-Tabelle1[[#This Row],[Rohfett '[g/100g']]]-Tabelle1[[#This Row],[Rohasche '[g/100g']]]-Tabelle1[[#This Row],[Rohfaser '[g/100g']]]</f>
        <v>11.756000000000002</v>
      </c>
      <c r="J245" s="11">
        <v>0</v>
      </c>
      <c r="K245" s="11">
        <v>0.59799999999999998</v>
      </c>
      <c r="L245" s="11">
        <v>86.3</v>
      </c>
      <c r="M245" s="11">
        <f>100-Tabelle1[[#This Row],[Wasser '[g/100g']]]</f>
        <v>13.700000000000003</v>
      </c>
      <c r="N245" s="11">
        <v>28</v>
      </c>
      <c r="O245" s="11">
        <v>39.1</v>
      </c>
      <c r="P245" s="11">
        <v>9.4</v>
      </c>
      <c r="Q245" s="11">
        <v>24.7</v>
      </c>
      <c r="R245" s="11">
        <v>253</v>
      </c>
      <c r="S245" s="11"/>
      <c r="T245" s="11">
        <v>0.379</v>
      </c>
      <c r="U245" s="11">
        <v>0.253</v>
      </c>
      <c r="V245" s="11">
        <v>0</v>
      </c>
      <c r="W245" s="11">
        <v>48</v>
      </c>
      <c r="X245" s="11">
        <v>425</v>
      </c>
      <c r="Y245" s="11">
        <v>3.2</v>
      </c>
      <c r="Z245" s="11"/>
      <c r="AA245" s="11">
        <v>0</v>
      </c>
      <c r="AB245" s="11">
        <v>0.95199999999999996</v>
      </c>
      <c r="AC245" s="11">
        <v>1970</v>
      </c>
      <c r="AD245" s="11">
        <v>9.6500000000000002E-2</v>
      </c>
      <c r="AE245" s="11">
        <v>1.2999999999999999E-2</v>
      </c>
      <c r="AF245" s="11">
        <v>0.20599999999999999</v>
      </c>
      <c r="AG245" s="11">
        <v>146</v>
      </c>
      <c r="AH245" s="11">
        <v>0</v>
      </c>
      <c r="AI245" s="11">
        <v>2.7149999999999999</v>
      </c>
      <c r="AJ245" s="11">
        <v>13</v>
      </c>
      <c r="AK245" s="11">
        <v>13</v>
      </c>
      <c r="AL245" s="11">
        <v>0.3</v>
      </c>
      <c r="AM245" s="11">
        <v>0</v>
      </c>
      <c r="AN245" s="11">
        <v>6.4000000000000003E-3</v>
      </c>
      <c r="AO245" s="11">
        <v>0</v>
      </c>
      <c r="AP245" s="9">
        <v>0</v>
      </c>
      <c r="AQ245" s="11">
        <v>8.3900000000000002E-2</v>
      </c>
      <c r="AR245" s="11">
        <v>8.2100000000000006E-2</v>
      </c>
      <c r="AS245" s="11">
        <v>4.9000000000000002E-2</v>
      </c>
      <c r="AT245" s="11">
        <v>1.6E-2</v>
      </c>
      <c r="AU245" s="11">
        <v>1.7999999999999999E-2</v>
      </c>
      <c r="AV245" s="11">
        <v>5.6000000000000001E-2</v>
      </c>
      <c r="AW245" s="11">
        <v>8.9999999999999993E-3</v>
      </c>
      <c r="AX245" s="9">
        <f>Tabelle1[[#This Row],[Vitamin D3 '[µg/100g']]]*40</f>
        <v>0</v>
      </c>
      <c r="AY245" s="9">
        <f>Tabelle1[[#This Row],[Vitamin A '[µg/100g']]]*3.33</f>
        <v>6560.1</v>
      </c>
      <c r="AZ245" s="9">
        <f>Tabelle1[[#This Row],[Vitamin E '[mg/100g']]]*1.49</f>
        <v>1.41848</v>
      </c>
    </row>
    <row r="246" spans="1:52" hidden="1" x14ac:dyDescent="0.45">
      <c r="A246" t="s">
        <v>877</v>
      </c>
      <c r="B246" s="3" t="s">
        <v>795</v>
      </c>
      <c r="C246" s="4" t="s">
        <v>796</v>
      </c>
      <c r="D246" s="11">
        <v>38</v>
      </c>
      <c r="E246" s="11">
        <f>Tabelle1[[#This Row],[Energie '[kcal/100g']]]/239</f>
        <v>0.15899581589958159</v>
      </c>
      <c r="F246" s="11">
        <v>0.72599999999999998</v>
      </c>
      <c r="G246" s="11">
        <f>Tabelle1[[#This Row],[Rohprotein '[g/100g']]]*0.85</f>
        <v>0.61709999999999998</v>
      </c>
      <c r="H246" s="11">
        <v>0.40699999999999997</v>
      </c>
      <c r="I246" s="11">
        <f>Tabelle1[[#This Row],[TS]]-Tabelle1[[#This Row],[Rohprotein '[g/100g']]]-Tabelle1[[#This Row],[Rohfett '[g/100g']]]-Tabelle1[[#This Row],[Rohasche '[g/100g']]]-Tabelle1[[#This Row],[Rohfaser '[g/100g']]]</f>
        <v>9.8039999999999985</v>
      </c>
      <c r="J246" s="11">
        <v>0</v>
      </c>
      <c r="K246" s="11">
        <v>0.36299999999999999</v>
      </c>
      <c r="L246" s="11">
        <v>88.7</v>
      </c>
      <c r="M246" s="11">
        <f>100-Tabelle1[[#This Row],[Wasser '[g/100g']]]</f>
        <v>11.299999999999997</v>
      </c>
      <c r="N246" s="11">
        <v>25</v>
      </c>
      <c r="O246" s="11">
        <v>32.9</v>
      </c>
      <c r="P246" s="11">
        <v>7.3</v>
      </c>
      <c r="Q246" s="11">
        <v>19</v>
      </c>
      <c r="R246" s="11">
        <v>177</v>
      </c>
      <c r="S246" s="11"/>
      <c r="T246" s="11">
        <v>0.312</v>
      </c>
      <c r="U246" s="11">
        <v>0.20799999999999999</v>
      </c>
      <c r="V246" s="11">
        <v>0</v>
      </c>
      <c r="W246" s="11">
        <v>43</v>
      </c>
      <c r="X246" s="11">
        <v>366</v>
      </c>
      <c r="Y246" s="11">
        <v>2.7</v>
      </c>
      <c r="Z246" s="11"/>
      <c r="AA246" s="11">
        <v>0</v>
      </c>
      <c r="AB246" s="11">
        <v>0.89</v>
      </c>
      <c r="AC246" s="11">
        <v>23</v>
      </c>
      <c r="AD246" s="11">
        <v>7.8299999999999995E-2</v>
      </c>
      <c r="AE246" s="11">
        <v>0.01</v>
      </c>
      <c r="AF246" s="11">
        <v>0.16500000000000001</v>
      </c>
      <c r="AG246" s="11">
        <v>127.4</v>
      </c>
      <c r="AH246" s="11">
        <v>0</v>
      </c>
      <c r="AI246" s="11">
        <v>1.7629999999999999</v>
      </c>
      <c r="AJ246" s="11">
        <v>12</v>
      </c>
      <c r="AK246" s="11">
        <v>70</v>
      </c>
      <c r="AL246" s="11">
        <v>0.2</v>
      </c>
      <c r="AM246" s="11">
        <v>0</v>
      </c>
      <c r="AN246" s="11">
        <v>5.4999999999999997E-3</v>
      </c>
      <c r="AO246" s="11">
        <v>0</v>
      </c>
      <c r="AP246" s="9">
        <v>0</v>
      </c>
      <c r="AQ246" s="11">
        <v>7.0599999999999996E-2</v>
      </c>
      <c r="AR246" s="11">
        <v>6.9099999999999995E-2</v>
      </c>
      <c r="AS246" s="11">
        <v>4.2000000000000003E-2</v>
      </c>
      <c r="AT246" s="11">
        <v>1.4E-2</v>
      </c>
      <c r="AU246" s="11">
        <v>1.4999999999999999E-2</v>
      </c>
      <c r="AV246" s="11">
        <v>4.7E-2</v>
      </c>
      <c r="AW246" s="11">
        <v>8.0000000000000002E-3</v>
      </c>
      <c r="AX246" s="9">
        <f>Tabelle1[[#This Row],[Vitamin D3 '[µg/100g']]]*40</f>
        <v>0</v>
      </c>
      <c r="AY246" s="9">
        <f>Tabelle1[[#This Row],[Vitamin A '[µg/100g']]]*3.33</f>
        <v>76.59</v>
      </c>
      <c r="AZ246" s="9">
        <f>Tabelle1[[#This Row],[Vitamin E '[mg/100g']]]*1.49</f>
        <v>1.3261000000000001</v>
      </c>
    </row>
    <row r="247" spans="1:52" hidden="1" x14ac:dyDescent="0.45">
      <c r="A247" t="s">
        <v>877</v>
      </c>
      <c r="B247" s="3" t="s">
        <v>797</v>
      </c>
      <c r="C247" s="4" t="s">
        <v>798</v>
      </c>
      <c r="D247" s="11">
        <v>44</v>
      </c>
      <c r="E247" s="11">
        <f>Tabelle1[[#This Row],[Energie '[kcal/100g']]]/239</f>
        <v>0.18410041841004185</v>
      </c>
      <c r="F247" s="11">
        <v>0.81599999999999995</v>
      </c>
      <c r="G247" s="11">
        <f>Tabelle1[[#This Row],[Rohprotein '[g/100g']]]*0.85</f>
        <v>0.69359999999999988</v>
      </c>
      <c r="H247" s="11">
        <v>0.45800000000000002</v>
      </c>
      <c r="I247" s="11">
        <f>Tabelle1[[#This Row],[TS]]-Tabelle1[[#This Row],[Rohprotein '[g/100g']]]-Tabelle1[[#This Row],[Rohfett '[g/100g']]]-Tabelle1[[#This Row],[Rohasche '[g/100g']]]-Tabelle1[[#This Row],[Rohfaser '[g/100g']]]</f>
        <v>11.154999999999999</v>
      </c>
      <c r="J247" s="11">
        <v>0</v>
      </c>
      <c r="K247" s="11">
        <v>0.57099999999999995</v>
      </c>
      <c r="L247" s="11">
        <v>87</v>
      </c>
      <c r="M247" s="11">
        <f>100-Tabelle1[[#This Row],[Wasser '[g/100g']]]</f>
        <v>13</v>
      </c>
      <c r="N247" s="11">
        <v>26</v>
      </c>
      <c r="O247" s="11">
        <v>37.4</v>
      </c>
      <c r="P247" s="11">
        <v>9</v>
      </c>
      <c r="Q247" s="11">
        <v>23.4</v>
      </c>
      <c r="R247" s="11">
        <v>239</v>
      </c>
      <c r="S247" s="11"/>
      <c r="T247" s="11">
        <v>0.36299999999999999</v>
      </c>
      <c r="U247" s="11">
        <v>0.23899999999999999</v>
      </c>
      <c r="V247" s="11">
        <v>0</v>
      </c>
      <c r="W247" s="11">
        <v>46</v>
      </c>
      <c r="X247" s="11">
        <v>407</v>
      </c>
      <c r="Y247" s="11">
        <v>3</v>
      </c>
      <c r="Z247" s="11"/>
      <c r="AA247" s="11">
        <v>0</v>
      </c>
      <c r="AB247" s="11">
        <v>0.91</v>
      </c>
      <c r="AC247" s="11">
        <v>1799</v>
      </c>
      <c r="AD247" s="11">
        <v>7.8899999999999998E-2</v>
      </c>
      <c r="AE247" s="11">
        <v>1.2999999999999999E-2</v>
      </c>
      <c r="AF247" s="11">
        <v>0.18099999999999999</v>
      </c>
      <c r="AG247" s="11">
        <v>120.9</v>
      </c>
      <c r="AH247" s="11">
        <v>0</v>
      </c>
      <c r="AI247" s="11">
        <v>2.4430000000000001</v>
      </c>
      <c r="AJ247" s="11">
        <v>12</v>
      </c>
      <c r="AK247" s="11">
        <v>13</v>
      </c>
      <c r="AL247" s="11">
        <v>0.3</v>
      </c>
      <c r="AM247" s="11">
        <v>0</v>
      </c>
      <c r="AN247" s="11">
        <v>6.1000000000000004E-3</v>
      </c>
      <c r="AO247" s="11">
        <v>0</v>
      </c>
      <c r="AP247" s="9">
        <v>0</v>
      </c>
      <c r="AQ247" s="11">
        <v>7.9399999999999998E-2</v>
      </c>
      <c r="AR247" s="11">
        <v>7.7700000000000005E-2</v>
      </c>
      <c r="AS247" s="11">
        <v>4.7E-2</v>
      </c>
      <c r="AT247" s="11">
        <v>1.4999999999999999E-2</v>
      </c>
      <c r="AU247" s="11">
        <v>1.7000000000000001E-2</v>
      </c>
      <c r="AV247" s="11">
        <v>5.2999999999999999E-2</v>
      </c>
      <c r="AW247" s="11">
        <v>8.9999999999999993E-3</v>
      </c>
      <c r="AX247" s="9">
        <f>Tabelle1[[#This Row],[Vitamin D3 '[µg/100g']]]*40</f>
        <v>0</v>
      </c>
      <c r="AY247" s="9">
        <f>Tabelle1[[#This Row],[Vitamin A '[µg/100g']]]*3.33</f>
        <v>5990.67</v>
      </c>
      <c r="AZ247" s="9">
        <f>Tabelle1[[#This Row],[Vitamin E '[mg/100g']]]*1.49</f>
        <v>1.3559000000000001</v>
      </c>
    </row>
    <row r="248" spans="1:52" hidden="1" x14ac:dyDescent="0.45">
      <c r="A248" t="s">
        <v>534</v>
      </c>
      <c r="B248" s="3" t="s">
        <v>510</v>
      </c>
      <c r="C248" s="4" t="s">
        <v>511</v>
      </c>
      <c r="D248" s="11">
        <v>81</v>
      </c>
      <c r="E248" s="13">
        <f>Tabelle1[[#This Row],[Energie '[kcal/100g']]]/239</f>
        <v>0.33891213389121339</v>
      </c>
      <c r="F248" s="11">
        <v>2.08</v>
      </c>
      <c r="G248" s="13">
        <f>Tabelle1[[#This Row],[Rohprotein '[g/100g']]]*0.85</f>
        <v>1.768</v>
      </c>
      <c r="H248" s="11">
        <v>0.04</v>
      </c>
      <c r="I248" s="11">
        <f>Tabelle1[[#This Row],[TS]]-Tabelle1[[#This Row],[Rohprotein '[g/100g']]]-Tabelle1[[#This Row],[Rohfett '[g/100g']]]-Tabelle1[[#This Row],[Rohasche '[g/100g']]]-Tabelle1[[#This Row],[Rohfaser '[g/100g']]]</f>
        <v>20.378000000000007</v>
      </c>
      <c r="J248" s="11">
        <v>0</v>
      </c>
      <c r="K248" s="11">
        <v>0.872</v>
      </c>
      <c r="L248" s="11">
        <v>76.63</v>
      </c>
      <c r="M248" s="11">
        <f>100-Tabelle1[[#This Row],[Wasser '[g/100g']]]</f>
        <v>23.370000000000005</v>
      </c>
      <c r="N248" s="11">
        <v>7.5</v>
      </c>
      <c r="O248" s="11">
        <v>35.5</v>
      </c>
      <c r="P248" s="11">
        <v>24.2</v>
      </c>
      <c r="Q248" s="11">
        <v>1.8</v>
      </c>
      <c r="R248" s="11">
        <v>434.2</v>
      </c>
      <c r="S248" s="11"/>
      <c r="T248" s="11">
        <v>0.40739999999999998</v>
      </c>
      <c r="U248" s="11">
        <v>0.31069999999999998</v>
      </c>
      <c r="V248" s="11">
        <v>0</v>
      </c>
      <c r="W248" s="11">
        <v>83.6</v>
      </c>
      <c r="X248" s="11">
        <v>118.1</v>
      </c>
      <c r="Y248" s="11">
        <v>4.5</v>
      </c>
      <c r="Z248" s="11"/>
      <c r="AA248" s="11">
        <v>0</v>
      </c>
      <c r="AB248" s="11">
        <v>7.0999999999999994E-2</v>
      </c>
      <c r="AC248" s="11">
        <v>2</v>
      </c>
      <c r="AD248" s="11">
        <v>8.6400000000000005E-2</v>
      </c>
      <c r="AE248" s="11">
        <v>7.6E-3</v>
      </c>
      <c r="AF248" s="11">
        <v>0.27600000000000002</v>
      </c>
      <c r="AG248" s="11">
        <v>43.6</v>
      </c>
      <c r="AH248" s="11">
        <v>0</v>
      </c>
      <c r="AI248" s="11">
        <v>25.56</v>
      </c>
      <c r="AJ248" s="11">
        <v>1.4</v>
      </c>
      <c r="AK248" s="11">
        <v>9</v>
      </c>
      <c r="AL248" s="11">
        <v>0.3</v>
      </c>
      <c r="AM248" s="11">
        <v>0</v>
      </c>
      <c r="AN248" s="11">
        <v>2.99E-3</v>
      </c>
      <c r="AO248" s="11">
        <v>0</v>
      </c>
      <c r="AP248" s="9">
        <v>0</v>
      </c>
      <c r="AQ248" s="11">
        <v>1.01E-2</v>
      </c>
      <c r="AR248" s="11">
        <v>1.01E-2</v>
      </c>
      <c r="AS248" s="11">
        <v>0.125</v>
      </c>
      <c r="AT248" s="11">
        <v>3.7999999999999999E-2</v>
      </c>
      <c r="AU248" s="11">
        <v>5.2999999999999999E-2</v>
      </c>
      <c r="AV248" s="11">
        <v>0.14599999999999999</v>
      </c>
      <c r="AW248" s="11">
        <v>1.6E-2</v>
      </c>
      <c r="AX248" s="9">
        <f>Tabelle1[[#This Row],[Vitamin D3 '[µg/100g']]]*40</f>
        <v>0</v>
      </c>
      <c r="AY248" s="9">
        <f>Tabelle1[[#This Row],[Vitamin A '[µg/100g']]]*3.33</f>
        <v>6.66</v>
      </c>
      <c r="AZ248" s="9">
        <f>Tabelle1[[#This Row],[Vitamin E '[mg/100g']]]*1.49</f>
        <v>0.10579</v>
      </c>
    </row>
    <row r="249" spans="1:52" hidden="1" x14ac:dyDescent="0.45">
      <c r="A249" t="s">
        <v>534</v>
      </c>
      <c r="B249" s="3" t="s">
        <v>512</v>
      </c>
      <c r="C249" s="4" t="s">
        <v>513</v>
      </c>
      <c r="D249" s="11">
        <v>117</v>
      </c>
      <c r="E249" s="13">
        <f>Tabelle1[[#This Row],[Energie '[kcal/100g']]]/239</f>
        <v>0.4895397489539749</v>
      </c>
      <c r="F249" s="11">
        <v>2.7320000000000002</v>
      </c>
      <c r="G249" s="13">
        <f>Tabelle1[[#This Row],[Rohprotein '[g/100g']]]*0.85</f>
        <v>2.3222</v>
      </c>
      <c r="H249" s="11">
        <v>0.14099999999999999</v>
      </c>
      <c r="I249" s="11">
        <f>Tabelle1[[#This Row],[TS]]-Tabelle1[[#This Row],[Rohprotein '[g/100g']]]-Tabelle1[[#This Row],[Rohfett '[g/100g']]]-Tabelle1[[#This Row],[Rohasche '[g/100g']]]-Tabelle1[[#This Row],[Rohfaser '[g/100g']]]</f>
        <v>25.381000000000007</v>
      </c>
      <c r="J249" s="11">
        <v>0</v>
      </c>
      <c r="K249" s="11">
        <v>1.268</v>
      </c>
      <c r="L249" s="11">
        <v>70.477999999999994</v>
      </c>
      <c r="M249" s="11">
        <f>100-Tabelle1[[#This Row],[Wasser '[g/100g']]]</f>
        <v>29.522000000000006</v>
      </c>
      <c r="N249" s="11">
        <v>13</v>
      </c>
      <c r="O249" s="11">
        <v>44.1</v>
      </c>
      <c r="P249" s="11">
        <v>30.6</v>
      </c>
      <c r="Q249" s="11">
        <v>4.8</v>
      </c>
      <c r="R249" s="11">
        <v>535.9</v>
      </c>
      <c r="S249" s="11"/>
      <c r="T249" s="11">
        <v>1.2539</v>
      </c>
      <c r="U249" s="11">
        <v>0.59589999999999999</v>
      </c>
      <c r="V249" s="11">
        <v>0</v>
      </c>
      <c r="W249" s="11">
        <v>138.97</v>
      </c>
      <c r="X249" s="11">
        <v>149.44999999999999</v>
      </c>
      <c r="Y249" s="11">
        <v>4.5</v>
      </c>
      <c r="Z249" s="11"/>
      <c r="AA249" s="11">
        <v>0</v>
      </c>
      <c r="AB249" s="11">
        <v>9.9000000000000005E-2</v>
      </c>
      <c r="AC249" s="11">
        <v>2</v>
      </c>
      <c r="AD249" s="11">
        <v>0.09</v>
      </c>
      <c r="AE249" s="11">
        <v>8.9999999999999993E-3</v>
      </c>
      <c r="AF249" s="11">
        <v>0.39300000000000002</v>
      </c>
      <c r="AG249" s="11">
        <v>215.3</v>
      </c>
      <c r="AH249" s="11">
        <v>0</v>
      </c>
      <c r="AI249" s="11">
        <v>21.138000000000002</v>
      </c>
      <c r="AJ249" s="11">
        <v>2</v>
      </c>
      <c r="AK249" s="11">
        <v>16</v>
      </c>
      <c r="AL249" s="11">
        <v>0.4</v>
      </c>
      <c r="AM249" s="11">
        <v>0</v>
      </c>
      <c r="AN249" s="11">
        <v>4.3400000000000001E-3</v>
      </c>
      <c r="AO249" s="11">
        <v>0</v>
      </c>
      <c r="AP249" s="9">
        <v>0</v>
      </c>
      <c r="AQ249" s="11">
        <v>1.46E-2</v>
      </c>
      <c r="AR249" s="11">
        <v>1.46E-2</v>
      </c>
      <c r="AS249" s="11">
        <v>0.182</v>
      </c>
      <c r="AT249" s="11">
        <v>5.5E-2</v>
      </c>
      <c r="AU249" s="11">
        <v>7.6999999999999999E-2</v>
      </c>
      <c r="AV249" s="11">
        <v>0.21299999999999999</v>
      </c>
      <c r="AW249" s="11">
        <v>2.3E-2</v>
      </c>
      <c r="AX249" s="9">
        <f>Tabelle1[[#This Row],[Vitamin D3 '[µg/100g']]]*40</f>
        <v>0</v>
      </c>
      <c r="AY249" s="9">
        <f>Tabelle1[[#This Row],[Vitamin A '[µg/100g']]]*3.33</f>
        <v>6.66</v>
      </c>
      <c r="AZ249" s="9">
        <f>Tabelle1[[#This Row],[Vitamin E '[mg/100g']]]*1.49</f>
        <v>0.14751</v>
      </c>
    </row>
    <row r="250" spans="1:52" hidden="1" x14ac:dyDescent="0.45">
      <c r="A250" t="s">
        <v>534</v>
      </c>
      <c r="B250" s="3" t="s">
        <v>514</v>
      </c>
      <c r="C250" s="4" t="s">
        <v>515</v>
      </c>
      <c r="D250" s="11">
        <v>115</v>
      </c>
      <c r="E250" s="13">
        <f>Tabelle1[[#This Row],[Energie '[kcal/100g']]]/239</f>
        <v>0.48117154811715479</v>
      </c>
      <c r="F250" s="11">
        <v>2.694</v>
      </c>
      <c r="G250" s="13">
        <f>Tabelle1[[#This Row],[Rohprotein '[g/100g']]]*0.85</f>
        <v>2.2898999999999998</v>
      </c>
      <c r="H250" s="11">
        <v>0.13900000000000001</v>
      </c>
      <c r="I250" s="11">
        <f>Tabelle1[[#This Row],[TS]]-Tabelle1[[#This Row],[Rohprotein '[g/100g']]]-Tabelle1[[#This Row],[Rohfett '[g/100g']]]-Tabelle1[[#This Row],[Rohasche '[g/100g']]]-Tabelle1[[#This Row],[Rohfaser '[g/100g']]]</f>
        <v>31.016999999999989</v>
      </c>
      <c r="J250" s="11">
        <v>0</v>
      </c>
      <c r="K250" s="11">
        <v>1.25</v>
      </c>
      <c r="L250" s="11">
        <v>64.900000000000006</v>
      </c>
      <c r="M250" s="11">
        <f>100-Tabelle1[[#This Row],[Wasser '[g/100g']]]</f>
        <v>35.099999999999994</v>
      </c>
      <c r="N250" s="11">
        <v>12</v>
      </c>
      <c r="O250" s="11">
        <v>43.5</v>
      </c>
      <c r="P250" s="11">
        <v>30.1</v>
      </c>
      <c r="Q250" s="11">
        <v>4.7</v>
      </c>
      <c r="R250" s="11">
        <v>528.5</v>
      </c>
      <c r="S250" s="11"/>
      <c r="T250" s="11">
        <v>1.2364999999999999</v>
      </c>
      <c r="U250" s="11">
        <v>0.58760000000000001</v>
      </c>
      <c r="V250" s="11">
        <v>0</v>
      </c>
      <c r="W250" s="11">
        <v>137.04</v>
      </c>
      <c r="X250" s="11">
        <v>147.38</v>
      </c>
      <c r="Y250" s="11">
        <v>4.5</v>
      </c>
      <c r="Z250" s="11"/>
      <c r="AA250" s="11">
        <v>0</v>
      </c>
      <c r="AB250" s="11">
        <v>9.7000000000000003E-2</v>
      </c>
      <c r="AC250" s="11">
        <v>2</v>
      </c>
      <c r="AD250" s="11">
        <v>8.6999999999999994E-2</v>
      </c>
      <c r="AE250" s="11">
        <v>8.6999999999999994E-3</v>
      </c>
      <c r="AF250" s="11">
        <v>0.39600000000000002</v>
      </c>
      <c r="AG250" s="11">
        <v>216.9</v>
      </c>
      <c r="AH250" s="11">
        <v>0</v>
      </c>
      <c r="AI250" s="11">
        <v>20.844000000000001</v>
      </c>
      <c r="AJ250" s="11">
        <v>1.9</v>
      </c>
      <c r="AK250" s="11">
        <v>15</v>
      </c>
      <c r="AL250" s="11">
        <v>0.4</v>
      </c>
      <c r="AM250" s="11">
        <v>0</v>
      </c>
      <c r="AN250" s="11">
        <v>4.28E-3</v>
      </c>
      <c r="AO250" s="11">
        <v>0</v>
      </c>
      <c r="AP250" s="11">
        <v>0</v>
      </c>
      <c r="AQ250" s="11">
        <v>1.44E-2</v>
      </c>
      <c r="AR250" s="11">
        <v>1.44E-2</v>
      </c>
      <c r="AS250" s="11">
        <v>0.17899999999999999</v>
      </c>
      <c r="AT250" s="11">
        <v>5.3999999999999999E-2</v>
      </c>
      <c r="AU250" s="11">
        <v>7.5999999999999998E-2</v>
      </c>
      <c r="AV250" s="11">
        <v>0.21</v>
      </c>
      <c r="AW250" s="11">
        <v>2.1999999999999999E-2</v>
      </c>
      <c r="AX250" s="9">
        <f>Tabelle1[[#This Row],[Vitamin D3 '[µg/100g']]]*40</f>
        <v>0</v>
      </c>
      <c r="AY250" s="9">
        <f>Tabelle1[[#This Row],[Vitamin A '[µg/100g']]]*3.33</f>
        <v>6.66</v>
      </c>
      <c r="AZ250" s="9">
        <f>Tabelle1[[#This Row],[Vitamin E '[mg/100g']]]*1.49</f>
        <v>0.14452999999999999</v>
      </c>
    </row>
    <row r="251" spans="1:52" hidden="1" x14ac:dyDescent="0.45">
      <c r="A251" t="s">
        <v>534</v>
      </c>
      <c r="B251" s="3" t="s">
        <v>518</v>
      </c>
      <c r="C251" s="4" t="s">
        <v>519</v>
      </c>
      <c r="D251" s="11">
        <v>76</v>
      </c>
      <c r="E251" s="13">
        <f>Tabelle1[[#This Row],[Energie '[kcal/100g']]]/239</f>
        <v>0.31799163179916318</v>
      </c>
      <c r="F251" s="11">
        <v>2</v>
      </c>
      <c r="G251" s="13">
        <f>Tabelle1[[#This Row],[Rohprotein '[g/100g']]]*0.85</f>
        <v>1.7</v>
      </c>
      <c r="H251" s="11">
        <v>0.1</v>
      </c>
      <c r="I251" s="11">
        <f>Tabelle1[[#This Row],[TS]]-Tabelle1[[#This Row],[Rohprotein '[g/100g']]]-Tabelle1[[#This Row],[Rohfett '[g/100g']]]-Tabelle1[[#This Row],[Rohasche '[g/100g']]]-Tabelle1[[#This Row],[Rohfaser '[g/100g']]]</f>
        <v>20.8</v>
      </c>
      <c r="J251" s="11">
        <v>0</v>
      </c>
      <c r="K251" s="11">
        <v>0.8</v>
      </c>
      <c r="L251" s="11">
        <v>76.3</v>
      </c>
      <c r="M251" s="11">
        <f>100-Tabelle1[[#This Row],[Wasser '[g/100g']]]</f>
        <v>23.700000000000003</v>
      </c>
      <c r="N251" s="11">
        <v>6.7</v>
      </c>
      <c r="O251" s="11">
        <v>32.5</v>
      </c>
      <c r="P251" s="11">
        <v>21.8</v>
      </c>
      <c r="Q251" s="11">
        <v>2.6</v>
      </c>
      <c r="R251" s="11">
        <v>383.8</v>
      </c>
      <c r="S251" s="11"/>
      <c r="T251" s="11">
        <v>0.39500000000000002</v>
      </c>
      <c r="U251" s="11">
        <v>0.30919999999999997</v>
      </c>
      <c r="V251" s="11">
        <v>0</v>
      </c>
      <c r="W251" s="11">
        <v>109.2</v>
      </c>
      <c r="X251" s="11">
        <v>101.1</v>
      </c>
      <c r="Y251" s="11">
        <v>4.3</v>
      </c>
      <c r="Z251" s="11"/>
      <c r="AA251" s="11">
        <v>0</v>
      </c>
      <c r="AB251" s="11">
        <v>7.3999999999999996E-2</v>
      </c>
      <c r="AC251" s="11">
        <v>0</v>
      </c>
      <c r="AD251" s="11">
        <v>7.8200000000000006E-2</v>
      </c>
      <c r="AE251" s="11">
        <v>7.4000000000000003E-3</v>
      </c>
      <c r="AF251" s="11">
        <v>0.5</v>
      </c>
      <c r="AG251" s="11">
        <v>46.2</v>
      </c>
      <c r="AH251" s="11">
        <v>0</v>
      </c>
      <c r="AI251" s="11">
        <v>22.02</v>
      </c>
      <c r="AJ251" s="11">
        <v>1.5</v>
      </c>
      <c r="AK251" s="11">
        <v>140.6</v>
      </c>
      <c r="AL251" s="11">
        <v>0.3</v>
      </c>
      <c r="AM251" s="11">
        <v>0</v>
      </c>
      <c r="AN251" s="11">
        <v>2.9199999999999999E-3</v>
      </c>
      <c r="AO251" s="11">
        <v>0</v>
      </c>
      <c r="AP251" s="11">
        <v>0</v>
      </c>
      <c r="AQ251" s="11">
        <v>9.9000000000000008E-3</v>
      </c>
      <c r="AR251" s="11">
        <v>9.9000000000000008E-3</v>
      </c>
      <c r="AS251" s="11">
        <v>0.129</v>
      </c>
      <c r="AT251" s="11">
        <v>3.9E-2</v>
      </c>
      <c r="AU251" s="11">
        <v>5.5E-2</v>
      </c>
      <c r="AV251" s="11">
        <v>0.151</v>
      </c>
      <c r="AW251" s="11">
        <v>1.6E-2</v>
      </c>
      <c r="AX251" s="9">
        <f>Tabelle1[[#This Row],[Vitamin D3 '[µg/100g']]]*40</f>
        <v>0</v>
      </c>
      <c r="AY251" s="9">
        <f>Tabelle1[[#This Row],[Vitamin A '[µg/100g']]]*3.33</f>
        <v>0</v>
      </c>
      <c r="AZ251" s="9">
        <f>Tabelle1[[#This Row],[Vitamin E '[mg/100g']]]*1.49</f>
        <v>0.11026</v>
      </c>
    </row>
    <row r="252" spans="1:52" hidden="1" x14ac:dyDescent="0.45">
      <c r="A252" t="s">
        <v>534</v>
      </c>
      <c r="B252" s="3" t="s">
        <v>522</v>
      </c>
      <c r="C252" s="4" t="s">
        <v>523</v>
      </c>
      <c r="D252" s="11">
        <v>83</v>
      </c>
      <c r="E252" s="13">
        <f>Tabelle1[[#This Row],[Energie '[kcal/100g']]]/239</f>
        <v>0.34728033472803349</v>
      </c>
      <c r="F252" s="11">
        <v>1.94</v>
      </c>
      <c r="G252" s="13">
        <f>Tabelle1[[#This Row],[Rohprotein '[g/100g']]]*0.85</f>
        <v>1.649</v>
      </c>
      <c r="H252" s="11">
        <v>0.1</v>
      </c>
      <c r="I252" s="11">
        <f>Tabelle1[[#This Row],[TS]]-Tabelle1[[#This Row],[Rohprotein '[g/100g']]]-Tabelle1[[#This Row],[Rohfett '[g/100g']]]-Tabelle1[[#This Row],[Rohasche '[g/100g']]]-Tabelle1[[#This Row],[Rohfaser '[g/100g']]]</f>
        <v>17.490000000000006</v>
      </c>
      <c r="J252" s="11">
        <v>0</v>
      </c>
      <c r="K252" s="11">
        <v>0.9</v>
      </c>
      <c r="L252" s="11">
        <v>79.569999999999993</v>
      </c>
      <c r="M252" s="11">
        <f>100-Tabelle1[[#This Row],[Wasser '[g/100g']]]</f>
        <v>20.430000000000007</v>
      </c>
      <c r="N252" s="11">
        <v>9</v>
      </c>
      <c r="O252" s="11">
        <v>31.3</v>
      </c>
      <c r="P252" s="11">
        <v>21.7</v>
      </c>
      <c r="Q252" s="11">
        <v>3.4</v>
      </c>
      <c r="R252" s="11">
        <v>380.5</v>
      </c>
      <c r="S252" s="11"/>
      <c r="T252" s="11">
        <v>0.89029999999999998</v>
      </c>
      <c r="U252" s="11">
        <v>0.42309999999999998</v>
      </c>
      <c r="V252" s="11">
        <v>0</v>
      </c>
      <c r="W252" s="11">
        <v>98.67</v>
      </c>
      <c r="X252" s="11">
        <v>106.11</v>
      </c>
      <c r="Y252" s="11">
        <v>3.4</v>
      </c>
      <c r="Z252" s="11"/>
      <c r="AA252" s="11">
        <v>0</v>
      </c>
      <c r="AB252" s="11">
        <v>7.0000000000000007E-2</v>
      </c>
      <c r="AC252" s="11">
        <v>2</v>
      </c>
      <c r="AD252" s="11">
        <v>7.8E-2</v>
      </c>
      <c r="AE252" s="11">
        <v>6.6E-3</v>
      </c>
      <c r="AF252" s="11">
        <v>0.3</v>
      </c>
      <c r="AG252" s="11">
        <v>164.4</v>
      </c>
      <c r="AH252" s="11">
        <v>0</v>
      </c>
      <c r="AI252" s="11">
        <v>18.760000000000002</v>
      </c>
      <c r="AJ252" s="11">
        <v>1.4</v>
      </c>
      <c r="AK252" s="11">
        <v>14</v>
      </c>
      <c r="AL252" s="11">
        <v>0.3</v>
      </c>
      <c r="AM252" s="11">
        <v>0</v>
      </c>
      <c r="AN252" s="11">
        <v>3.0799999999999998E-3</v>
      </c>
      <c r="AO252" s="11">
        <v>0</v>
      </c>
      <c r="AP252" s="11">
        <v>0</v>
      </c>
      <c r="AQ252" s="11">
        <v>1.04E-2</v>
      </c>
      <c r="AR252" s="11">
        <v>1.04E-2</v>
      </c>
      <c r="AS252" s="11">
        <v>0.129</v>
      </c>
      <c r="AT252" s="11">
        <v>3.9E-2</v>
      </c>
      <c r="AU252" s="11">
        <v>5.5E-2</v>
      </c>
      <c r="AV252" s="11">
        <v>0.151</v>
      </c>
      <c r="AW252" s="11">
        <v>1.6E-2</v>
      </c>
      <c r="AX252" s="9">
        <f>Tabelle1[[#This Row],[Vitamin D3 '[µg/100g']]]*40</f>
        <v>0</v>
      </c>
      <c r="AY252" s="9">
        <f>Tabelle1[[#This Row],[Vitamin A '[µg/100g']]]*3.33</f>
        <v>6.66</v>
      </c>
      <c r="AZ252" s="9">
        <f>Tabelle1[[#This Row],[Vitamin E '[mg/100g']]]*1.49</f>
        <v>0.1043</v>
      </c>
    </row>
    <row r="253" spans="1:52" hidden="1" x14ac:dyDescent="0.45">
      <c r="A253" t="s">
        <v>534</v>
      </c>
      <c r="B253" s="3" t="s">
        <v>528</v>
      </c>
      <c r="C253" s="4" t="s">
        <v>529</v>
      </c>
      <c r="D253" s="11">
        <v>329</v>
      </c>
      <c r="E253" s="13">
        <f>Tabelle1[[#This Row],[Energie '[kcal/100g']]]/239</f>
        <v>1.3765690376569037</v>
      </c>
      <c r="F253" s="11">
        <v>7.4</v>
      </c>
      <c r="G253" s="13">
        <f>Tabelle1[[#This Row],[Rohprotein '[g/100g']]]*0.85</f>
        <v>6.29</v>
      </c>
      <c r="H253" s="11">
        <v>0.46700000000000003</v>
      </c>
      <c r="I253" s="11">
        <f>Tabelle1[[#This Row],[TS]]-Tabelle1[[#This Row],[Rohprotein '[g/100g']]]-Tabelle1[[#This Row],[Rohfett '[g/100g']]]-Tabelle1[[#This Row],[Rohasche '[g/100g']]]-Tabelle1[[#This Row],[Rohfaser '[g/100g']]]</f>
        <v>82.172999999999988</v>
      </c>
      <c r="J253" s="11">
        <v>0</v>
      </c>
      <c r="K253" s="11">
        <v>3.01</v>
      </c>
      <c r="L253" s="11">
        <v>6.95</v>
      </c>
      <c r="M253" s="11">
        <f>100-Tabelle1[[#This Row],[Wasser '[g/100g']]]</f>
        <v>93.05</v>
      </c>
      <c r="N253" s="11">
        <v>34</v>
      </c>
      <c r="O253" s="11">
        <v>310</v>
      </c>
      <c r="P253" s="11">
        <v>69</v>
      </c>
      <c r="Q253" s="11">
        <v>138</v>
      </c>
      <c r="R253" s="11">
        <v>1360</v>
      </c>
      <c r="S253" s="11"/>
      <c r="T253" s="11">
        <v>1.8</v>
      </c>
      <c r="U253" s="11">
        <v>0.78</v>
      </c>
      <c r="V253" s="11">
        <v>0</v>
      </c>
      <c r="W253" s="11">
        <v>206</v>
      </c>
      <c r="X253" s="11">
        <v>100</v>
      </c>
      <c r="Y253" s="11">
        <v>1</v>
      </c>
      <c r="Z253" s="11"/>
      <c r="AA253" s="11">
        <v>0</v>
      </c>
      <c r="AB253" s="11">
        <v>0</v>
      </c>
      <c r="AC253" s="11">
        <v>0</v>
      </c>
      <c r="AD253" s="11">
        <v>6.0000000000000001E-3</v>
      </c>
      <c r="AE253" s="11">
        <v>7.0000000000000001E-3</v>
      </c>
      <c r="AF253" s="11">
        <v>0.14000000000000001</v>
      </c>
      <c r="AG253" s="11">
        <v>10</v>
      </c>
      <c r="AH253" s="11">
        <v>0</v>
      </c>
      <c r="AI253" s="11">
        <v>0</v>
      </c>
      <c r="AJ253" s="11">
        <v>0</v>
      </c>
      <c r="AK253" s="11">
        <v>0</v>
      </c>
      <c r="AL253" s="11">
        <v>6</v>
      </c>
      <c r="AM253" s="11">
        <v>0</v>
      </c>
      <c r="AN253" s="11">
        <v>1.4E-2</v>
      </c>
      <c r="AO253" s="11">
        <v>0</v>
      </c>
      <c r="AP253" s="11">
        <v>0</v>
      </c>
      <c r="AQ253" s="11">
        <v>4.9000000000000002E-2</v>
      </c>
      <c r="AR253" s="11">
        <v>4.9000000000000002E-2</v>
      </c>
      <c r="AS253" s="11">
        <v>0.61</v>
      </c>
      <c r="AT253" s="11">
        <v>0.14000000000000001</v>
      </c>
      <c r="AU253" s="11">
        <v>0.28999999999999998</v>
      </c>
      <c r="AV253" s="11">
        <v>0.69</v>
      </c>
      <c r="AW253" s="11">
        <v>0.08</v>
      </c>
      <c r="AX253" s="9">
        <f>Tabelle1[[#This Row],[Vitamin D3 '[µg/100g']]]*40</f>
        <v>0</v>
      </c>
      <c r="AY253" s="9">
        <f>Tabelle1[[#This Row],[Vitamin A '[µg/100g']]]*3.33</f>
        <v>0</v>
      </c>
      <c r="AZ253" s="9">
        <f>Tabelle1[[#This Row],[Vitamin E '[mg/100g']]]*1.49</f>
        <v>0</v>
      </c>
    </row>
    <row r="254" spans="1:52" hidden="1" x14ac:dyDescent="0.45">
      <c r="A254" t="s">
        <v>534</v>
      </c>
      <c r="B254" s="3" t="s">
        <v>1015</v>
      </c>
      <c r="C254" s="4" t="s">
        <v>1016</v>
      </c>
      <c r="D254" s="11">
        <v>322</v>
      </c>
      <c r="E254" s="11">
        <f>Tabelle1[[#This Row],[Energie '[kcal/100g']]]/239</f>
        <v>1.3472803347280335</v>
      </c>
      <c r="F254" s="11">
        <v>20.042999999999999</v>
      </c>
      <c r="G254" s="11">
        <f>Tabelle1[[#This Row],[Rohprotein '[g/100g']]]*0.85</f>
        <v>17.036549999999998</v>
      </c>
      <c r="H254" s="11">
        <v>5.8</v>
      </c>
      <c r="I254" s="11">
        <f>Tabelle1[[#This Row],[TS]]-Tabelle1[[#This Row],[Rohprotein '[g/100g']]]-Tabelle1[[#This Row],[Rohfett '[g/100g']]]-Tabelle1[[#This Row],[Rohasche '[g/100g']]]-Tabelle1[[#This Row],[Rohfaser '[g/100g']]]</f>
        <v>63.357000000000014</v>
      </c>
      <c r="J254" s="11">
        <v>0</v>
      </c>
      <c r="K254" s="11">
        <v>3.5</v>
      </c>
      <c r="L254" s="11">
        <v>7.3</v>
      </c>
      <c r="M254" s="11">
        <f>100-Tabelle1[[#This Row],[Wasser '[g/100g']]]</f>
        <v>92.7</v>
      </c>
      <c r="N254" s="11">
        <v>86</v>
      </c>
      <c r="O254" s="11">
        <v>370</v>
      </c>
      <c r="P254" s="11">
        <v>127</v>
      </c>
      <c r="Q254" s="11">
        <v>23</v>
      </c>
      <c r="R254" s="11">
        <v>1040</v>
      </c>
      <c r="S254" s="11"/>
      <c r="T254" s="11">
        <v>5.9</v>
      </c>
      <c r="U254" s="11">
        <v>3.1</v>
      </c>
      <c r="V254" s="11">
        <v>0</v>
      </c>
      <c r="W254" s="11">
        <v>700</v>
      </c>
      <c r="X254" s="11">
        <v>2600</v>
      </c>
      <c r="Y254" s="11">
        <v>6.7</v>
      </c>
      <c r="Z254" s="11"/>
      <c r="AA254" s="11">
        <v>0</v>
      </c>
      <c r="AB254" s="11">
        <v>2.2000000000000002</v>
      </c>
      <c r="AC254" s="11">
        <v>0</v>
      </c>
      <c r="AD254" s="11">
        <v>0.51700000000000002</v>
      </c>
      <c r="AE254" s="11">
        <v>0.13400000000000001</v>
      </c>
      <c r="AF254" s="11">
        <v>1.72</v>
      </c>
      <c r="AG254" s="11">
        <v>560</v>
      </c>
      <c r="AH254" s="11">
        <v>0</v>
      </c>
      <c r="AI254" s="11">
        <v>5.08</v>
      </c>
      <c r="AJ254" s="11">
        <v>170</v>
      </c>
      <c r="AK254" s="11">
        <v>212</v>
      </c>
      <c r="AL254" s="11">
        <v>21.4</v>
      </c>
      <c r="AM254" s="11">
        <v>0</v>
      </c>
      <c r="AN254" s="11">
        <v>0.12</v>
      </c>
      <c r="AO254" s="11">
        <v>0</v>
      </c>
      <c r="AP254" s="11">
        <v>0</v>
      </c>
      <c r="AQ254" s="11">
        <v>2.6</v>
      </c>
      <c r="AR254" s="11">
        <v>2.6</v>
      </c>
      <c r="AS254" s="11">
        <v>1.7090000000000001</v>
      </c>
      <c r="AT254" s="11">
        <v>0.316</v>
      </c>
      <c r="AU254" s="11">
        <v>0.502</v>
      </c>
      <c r="AV254" s="11">
        <v>1.3009999999999999</v>
      </c>
      <c r="AW254" s="11">
        <v>0.29699999999999999</v>
      </c>
      <c r="AX254" s="9">
        <f>Tabelle1[[#This Row],[Vitamin D3 '[µg/100g']]]*40</f>
        <v>0</v>
      </c>
      <c r="AY254" s="9">
        <f>Tabelle1[[#This Row],[Vitamin A '[µg/100g']]]*3.33</f>
        <v>0</v>
      </c>
      <c r="AZ254" s="9">
        <f>Tabelle1[[#This Row],[Vitamin E '[mg/100g']]]*1.49</f>
        <v>3.278</v>
      </c>
    </row>
    <row r="255" spans="1:52" hidden="1" x14ac:dyDescent="0.45">
      <c r="A255" t="s">
        <v>877</v>
      </c>
      <c r="B255" s="3" t="s">
        <v>799</v>
      </c>
      <c r="C255" s="4" t="s">
        <v>800</v>
      </c>
      <c r="D255" s="11">
        <v>34</v>
      </c>
      <c r="E255" s="11">
        <f>Tabelle1[[#This Row],[Energie '[kcal/100g']]]/239</f>
        <v>0.14225941422594143</v>
      </c>
      <c r="F255" s="11">
        <v>2.282</v>
      </c>
      <c r="G255" s="11">
        <f>Tabelle1[[#This Row],[Rohprotein '[g/100g']]]*0.85</f>
        <v>1.9397</v>
      </c>
      <c r="H255" s="11">
        <v>0.188</v>
      </c>
      <c r="I255" s="11">
        <f>Tabelle1[[#This Row],[TS]]-Tabelle1[[#This Row],[Rohprotein '[g/100g']]]-Tabelle1[[#This Row],[Rohfett '[g/100g']]]-Tabelle1[[#This Row],[Rohasche '[g/100g']]]-Tabelle1[[#This Row],[Rohfaser '[g/100g']]]</f>
        <v>6.3120000000000056</v>
      </c>
      <c r="J255" s="11">
        <v>0</v>
      </c>
      <c r="K255" s="11">
        <v>1.1180000000000001</v>
      </c>
      <c r="L255" s="11">
        <v>90.1</v>
      </c>
      <c r="M255" s="11">
        <f>100-Tabelle1[[#This Row],[Wasser '[g/100g']]]</f>
        <v>9.9000000000000057</v>
      </c>
      <c r="N255" s="11">
        <v>69</v>
      </c>
      <c r="O255" s="11">
        <v>58.5</v>
      </c>
      <c r="P255" s="11">
        <v>51</v>
      </c>
      <c r="Q255" s="11">
        <v>24</v>
      </c>
      <c r="R255" s="11">
        <v>379</v>
      </c>
      <c r="S255" s="11"/>
      <c r="T255" s="11">
        <v>0.2</v>
      </c>
      <c r="U255" s="11">
        <v>0.2</v>
      </c>
      <c r="V255" s="11">
        <v>0</v>
      </c>
      <c r="W255" s="11">
        <v>32</v>
      </c>
      <c r="X255" s="11">
        <v>80</v>
      </c>
      <c r="Y255" s="11">
        <v>0.81399999999999995</v>
      </c>
      <c r="Z255" s="11"/>
      <c r="AA255" s="11">
        <v>0</v>
      </c>
      <c r="AB255" s="11">
        <v>7.3499999999999996E-2</v>
      </c>
      <c r="AC255" s="11">
        <v>2</v>
      </c>
      <c r="AD255" s="11">
        <v>5.0999999999999997E-2</v>
      </c>
      <c r="AE255" s="11">
        <v>5.0999999999999997E-2</v>
      </c>
      <c r="AF255" s="11">
        <v>2.012</v>
      </c>
      <c r="AG255" s="11">
        <v>75</v>
      </c>
      <c r="AH255" s="11">
        <v>0</v>
      </c>
      <c r="AI255" s="11">
        <v>55.853000000000002</v>
      </c>
      <c r="AJ255" s="11">
        <v>8</v>
      </c>
      <c r="AK255" s="11">
        <v>57.8</v>
      </c>
      <c r="AL255" s="11">
        <v>3</v>
      </c>
      <c r="AM255" s="11">
        <v>0</v>
      </c>
      <c r="AN255" s="11">
        <v>5.5E-2</v>
      </c>
      <c r="AO255" s="11">
        <v>0</v>
      </c>
      <c r="AP255" s="11">
        <v>0</v>
      </c>
      <c r="AQ255" s="11">
        <v>2.8000000000000001E-2</v>
      </c>
      <c r="AR255" s="11">
        <v>2.8000000000000001E-2</v>
      </c>
      <c r="AS255" s="11">
        <v>0.14099999999999999</v>
      </c>
      <c r="AT255" s="11">
        <v>0</v>
      </c>
      <c r="AU255" s="11">
        <v>4.3999999999999997E-2</v>
      </c>
      <c r="AV255" s="11">
        <v>7.4999999999999997E-2</v>
      </c>
      <c r="AW255" s="11">
        <v>1.9E-2</v>
      </c>
      <c r="AX255" s="9">
        <f>Tabelle1[[#This Row],[Vitamin D3 '[µg/100g']]]*40</f>
        <v>0</v>
      </c>
      <c r="AY255" s="9">
        <f>Tabelle1[[#This Row],[Vitamin A '[µg/100g']]]*3.33</f>
        <v>6.66</v>
      </c>
      <c r="AZ255" s="9">
        <f>Tabelle1[[#This Row],[Vitamin E '[mg/100g']]]*1.49</f>
        <v>0.10951499999999999</v>
      </c>
    </row>
    <row r="256" spans="1:52" hidden="1" x14ac:dyDescent="0.45">
      <c r="A256" t="s">
        <v>877</v>
      </c>
      <c r="B256" s="5" t="s">
        <v>801</v>
      </c>
      <c r="C256" s="6" t="s">
        <v>802</v>
      </c>
      <c r="D256" s="13">
        <v>53</v>
      </c>
      <c r="E256" s="11">
        <f>Tabelle1[[#This Row],[Energie '[kcal/100g']]]/239</f>
        <v>0.22175732217573221</v>
      </c>
      <c r="F256" s="13">
        <v>3.593</v>
      </c>
      <c r="G256" s="11">
        <f>Tabelle1[[#This Row],[Rohprotein '[g/100g']]]*0.85</f>
        <v>3.0540499999999997</v>
      </c>
      <c r="H256" s="13">
        <v>0.29599999999999999</v>
      </c>
      <c r="I256" s="11">
        <f>Tabelle1[[#This Row],[TS]]-Tabelle1[[#This Row],[Rohprotein '[g/100g']]]-Tabelle1[[#This Row],[Rohfett '[g/100g']]]-Tabelle1[[#This Row],[Rohasche '[g/100g']]]-Tabelle1[[#This Row],[Rohfaser '[g/100g']]]</f>
        <v>10.252000000000006</v>
      </c>
      <c r="J256" s="11">
        <v>0</v>
      </c>
      <c r="K256" s="13">
        <v>1.7589999999999999</v>
      </c>
      <c r="L256" s="13">
        <v>84.1</v>
      </c>
      <c r="M256" s="13">
        <f>100-Tabelle1[[#This Row],[Wasser '[g/100g']]]</f>
        <v>15.900000000000006</v>
      </c>
      <c r="N256" s="13">
        <v>109</v>
      </c>
      <c r="O256" s="13">
        <v>92</v>
      </c>
      <c r="P256" s="13">
        <v>80</v>
      </c>
      <c r="Q256" s="13">
        <v>37</v>
      </c>
      <c r="R256" s="13">
        <v>596</v>
      </c>
      <c r="S256" s="13"/>
      <c r="T256" s="13">
        <v>0.4</v>
      </c>
      <c r="U256" s="13">
        <v>0.31</v>
      </c>
      <c r="V256" s="11">
        <v>0</v>
      </c>
      <c r="W256" s="13">
        <v>50</v>
      </c>
      <c r="X256" s="13">
        <v>130</v>
      </c>
      <c r="Y256" s="13">
        <v>1.2809999999999999</v>
      </c>
      <c r="Z256" s="13"/>
      <c r="AA256" s="13">
        <v>0</v>
      </c>
      <c r="AB256" s="13">
        <v>0.1157</v>
      </c>
      <c r="AC256" s="13">
        <v>3</v>
      </c>
      <c r="AD256" s="13">
        <v>0.08</v>
      </c>
      <c r="AE256" s="13">
        <v>8.1000000000000003E-2</v>
      </c>
      <c r="AF256" s="13">
        <v>3.1669999999999998</v>
      </c>
      <c r="AG256" s="13">
        <v>118</v>
      </c>
      <c r="AH256" s="13">
        <v>0</v>
      </c>
      <c r="AI256" s="13">
        <v>93.778000000000006</v>
      </c>
      <c r="AJ256" s="13">
        <v>13</v>
      </c>
      <c r="AK256" s="13">
        <v>91</v>
      </c>
      <c r="AL256" s="13">
        <v>5</v>
      </c>
      <c r="AM256" s="13">
        <v>0</v>
      </c>
      <c r="AN256" s="13">
        <v>8.6999999999999994E-2</v>
      </c>
      <c r="AO256" s="13">
        <v>0</v>
      </c>
      <c r="AP256" s="13">
        <v>0</v>
      </c>
      <c r="AQ256" s="13">
        <v>4.3999999999999997E-2</v>
      </c>
      <c r="AR256" s="13">
        <v>4.3999999999999997E-2</v>
      </c>
      <c r="AS256" s="13">
        <v>0.222</v>
      </c>
      <c r="AT256" s="11">
        <v>0</v>
      </c>
      <c r="AU256" s="13">
        <v>6.9000000000000006E-2</v>
      </c>
      <c r="AV256" s="13">
        <v>0.11899999999999999</v>
      </c>
      <c r="AW256" s="13">
        <v>0.03</v>
      </c>
      <c r="AX256" s="9">
        <f>Tabelle1[[#This Row],[Vitamin D3 '[µg/100g']]]*40</f>
        <v>0</v>
      </c>
      <c r="AY256" s="9">
        <f>Tabelle1[[#This Row],[Vitamin A '[µg/100g']]]*3.33</f>
        <v>9.99</v>
      </c>
      <c r="AZ256" s="9">
        <f>Tabelle1[[#This Row],[Vitamin E '[mg/100g']]]*1.49</f>
        <v>0.17239299999999999</v>
      </c>
    </row>
    <row r="257" spans="1:52" hidden="1" x14ac:dyDescent="0.45">
      <c r="A257" t="s">
        <v>877</v>
      </c>
      <c r="B257" s="3" t="s">
        <v>803</v>
      </c>
      <c r="C257" s="4" t="s">
        <v>804</v>
      </c>
      <c r="D257" s="11">
        <v>30</v>
      </c>
      <c r="E257" s="11">
        <f>Tabelle1[[#This Row],[Energie '[kcal/100g']]]/239</f>
        <v>0.12552301255230125</v>
      </c>
      <c r="F257" s="11">
        <v>2.0419999999999998</v>
      </c>
      <c r="G257" s="11">
        <f>Tabelle1[[#This Row],[Rohprotein '[g/100g']]]*0.85</f>
        <v>1.7356999999999998</v>
      </c>
      <c r="H257" s="11">
        <v>0.16800000000000001</v>
      </c>
      <c r="I257" s="11">
        <f>Tabelle1[[#This Row],[TS]]-Tabelle1[[#This Row],[Rohprotein '[g/100g']]]-Tabelle1[[#This Row],[Rohfett '[g/100g']]]-Tabelle1[[#This Row],[Rohasche '[g/100g']]]-Tabelle1[[#This Row],[Rohfaser '[g/100g']]]</f>
        <v>5.6900000000000057</v>
      </c>
      <c r="J257" s="11">
        <v>0</v>
      </c>
      <c r="K257" s="11">
        <v>1</v>
      </c>
      <c r="L257" s="11">
        <v>91.1</v>
      </c>
      <c r="M257" s="11">
        <f>100-Tabelle1[[#This Row],[Wasser '[g/100g']]]</f>
        <v>8.9000000000000057</v>
      </c>
      <c r="N257" s="11">
        <v>62</v>
      </c>
      <c r="O257" s="11">
        <v>52.3</v>
      </c>
      <c r="P257" s="11">
        <v>45</v>
      </c>
      <c r="Q257" s="11">
        <v>21</v>
      </c>
      <c r="R257" s="11">
        <v>339</v>
      </c>
      <c r="S257" s="11"/>
      <c r="T257" s="11">
        <v>0.2</v>
      </c>
      <c r="U257" s="11">
        <v>0.18</v>
      </c>
      <c r="V257" s="11">
        <v>0</v>
      </c>
      <c r="W257" s="11">
        <v>28</v>
      </c>
      <c r="X257" s="11">
        <v>70</v>
      </c>
      <c r="Y257" s="11">
        <v>0.72799999999999998</v>
      </c>
      <c r="Z257" s="11"/>
      <c r="AA257" s="11">
        <v>0</v>
      </c>
      <c r="AB257" s="11">
        <v>6.5799999999999997E-2</v>
      </c>
      <c r="AC257" s="11">
        <v>2</v>
      </c>
      <c r="AD257" s="11">
        <v>4.4999999999999998E-2</v>
      </c>
      <c r="AE257" s="11">
        <v>4.5999999999999999E-2</v>
      </c>
      <c r="AF257" s="11">
        <v>1.8</v>
      </c>
      <c r="AG257" s="11">
        <v>67</v>
      </c>
      <c r="AH257" s="11">
        <v>0</v>
      </c>
      <c r="AI257" s="11">
        <v>53.305</v>
      </c>
      <c r="AJ257" s="11">
        <v>7</v>
      </c>
      <c r="AK257" s="11">
        <v>51.7</v>
      </c>
      <c r="AL257" s="11">
        <v>3</v>
      </c>
      <c r="AM257" s="11">
        <v>0</v>
      </c>
      <c r="AN257" s="11">
        <v>4.9000000000000002E-2</v>
      </c>
      <c r="AO257" s="11">
        <v>0</v>
      </c>
      <c r="AP257" s="11">
        <v>0</v>
      </c>
      <c r="AQ257" s="11">
        <v>2.5000000000000001E-2</v>
      </c>
      <c r="AR257" s="11">
        <v>2.5000000000000001E-2</v>
      </c>
      <c r="AS257" s="11">
        <v>0.126</v>
      </c>
      <c r="AT257" s="11">
        <v>0</v>
      </c>
      <c r="AU257" s="11">
        <v>3.9E-2</v>
      </c>
      <c r="AV257" s="11">
        <v>6.7000000000000004E-2</v>
      </c>
      <c r="AW257" s="11">
        <v>1.7000000000000001E-2</v>
      </c>
      <c r="AX257" s="9">
        <f>Tabelle1[[#This Row],[Vitamin D3 '[µg/100g']]]*40</f>
        <v>0</v>
      </c>
      <c r="AY257" s="9">
        <f>Tabelle1[[#This Row],[Vitamin A '[µg/100g']]]*3.33</f>
        <v>6.66</v>
      </c>
      <c r="AZ257" s="9">
        <f>Tabelle1[[#This Row],[Vitamin E '[mg/100g']]]*1.49</f>
        <v>9.804199999999999E-2</v>
      </c>
    </row>
    <row r="258" spans="1:52" hidden="1" x14ac:dyDescent="0.45">
      <c r="A258" t="s">
        <v>877</v>
      </c>
      <c r="B258" s="5" t="s">
        <v>805</v>
      </c>
      <c r="C258" s="6" t="s">
        <v>806</v>
      </c>
      <c r="D258" s="13">
        <v>28</v>
      </c>
      <c r="E258" s="11">
        <f>Tabelle1[[#This Row],[Energie '[kcal/100g']]]/239</f>
        <v>0.11715481171548117</v>
      </c>
      <c r="F258" s="13">
        <v>1.8979999999999999</v>
      </c>
      <c r="G258" s="11">
        <f>Tabelle1[[#This Row],[Rohprotein '[g/100g']]]*0.85</f>
        <v>1.6133</v>
      </c>
      <c r="H258" s="13">
        <v>0.157</v>
      </c>
      <c r="I258" s="11">
        <f>Tabelle1[[#This Row],[TS]]-Tabelle1[[#This Row],[Rohprotein '[g/100g']]]-Tabelle1[[#This Row],[Rohfett '[g/100g']]]-Tabelle1[[#This Row],[Rohasche '[g/100g']]]-Tabelle1[[#This Row],[Rohfaser '[g/100g']]]</f>
        <v>5.1740000000000057</v>
      </c>
      <c r="J258" s="11">
        <v>0</v>
      </c>
      <c r="K258" s="13">
        <v>0.67100000000000004</v>
      </c>
      <c r="L258" s="13">
        <v>92.1</v>
      </c>
      <c r="M258" s="13">
        <f>100-Tabelle1[[#This Row],[Wasser '[g/100g']]]</f>
        <v>7.9000000000000057</v>
      </c>
      <c r="N258" s="13">
        <v>61</v>
      </c>
      <c r="O258" s="13">
        <v>48.6</v>
      </c>
      <c r="P258" s="13">
        <v>28</v>
      </c>
      <c r="Q258" s="13">
        <v>16</v>
      </c>
      <c r="R258" s="13">
        <v>175</v>
      </c>
      <c r="S258" s="13"/>
      <c r="T258" s="13">
        <v>0.2</v>
      </c>
      <c r="U258" s="13">
        <v>0.14000000000000001</v>
      </c>
      <c r="V258" s="11">
        <v>0</v>
      </c>
      <c r="W258" s="13">
        <v>28</v>
      </c>
      <c r="X258" s="13">
        <v>70</v>
      </c>
      <c r="Y258" s="13">
        <v>0.68100000000000005</v>
      </c>
      <c r="Z258" s="13"/>
      <c r="AA258" s="13">
        <v>0</v>
      </c>
      <c r="AB258" s="13">
        <v>6.7900000000000002E-2</v>
      </c>
      <c r="AC258" s="13">
        <v>53.698999999999998</v>
      </c>
      <c r="AD258" s="13">
        <v>3.2000000000000001E-2</v>
      </c>
      <c r="AE258" s="13">
        <v>3.2000000000000001E-2</v>
      </c>
      <c r="AF258" s="13">
        <v>1.272</v>
      </c>
      <c r="AG258" s="13">
        <v>50</v>
      </c>
      <c r="AH258" s="13">
        <v>0</v>
      </c>
      <c r="AI258" s="13">
        <v>39.906999999999996</v>
      </c>
      <c r="AJ258" s="13">
        <v>7</v>
      </c>
      <c r="AK258" s="13">
        <v>0</v>
      </c>
      <c r="AL258" s="13">
        <v>2</v>
      </c>
      <c r="AM258" s="13">
        <v>0</v>
      </c>
      <c r="AN258" s="13">
        <v>4.5999999999999999E-2</v>
      </c>
      <c r="AO258" s="13">
        <v>0</v>
      </c>
      <c r="AP258" s="13">
        <v>0</v>
      </c>
      <c r="AQ258" s="13">
        <v>2.3E-2</v>
      </c>
      <c r="AR258" s="13">
        <v>2.3E-2</v>
      </c>
      <c r="AS258" s="13">
        <v>0.11700000000000001</v>
      </c>
      <c r="AT258" s="11">
        <v>0</v>
      </c>
      <c r="AU258" s="13">
        <v>3.5999999999999997E-2</v>
      </c>
      <c r="AV258" s="13">
        <v>6.3E-2</v>
      </c>
      <c r="AW258" s="13">
        <v>1.6E-2</v>
      </c>
      <c r="AX258" s="9">
        <f>Tabelle1[[#This Row],[Vitamin D3 '[µg/100g']]]*40</f>
        <v>0</v>
      </c>
      <c r="AY258" s="9">
        <f>Tabelle1[[#This Row],[Vitamin A '[µg/100g']]]*3.33</f>
        <v>178.81766999999999</v>
      </c>
      <c r="AZ258" s="9">
        <f>Tabelle1[[#This Row],[Vitamin E '[mg/100g']]]*1.49</f>
        <v>0.101171</v>
      </c>
    </row>
    <row r="259" spans="1:52" hidden="1" x14ac:dyDescent="0.45">
      <c r="A259" t="s">
        <v>877</v>
      </c>
      <c r="B259" s="3" t="s">
        <v>807</v>
      </c>
      <c r="C259" s="4" t="s">
        <v>808</v>
      </c>
      <c r="D259" s="11">
        <v>28</v>
      </c>
      <c r="E259" s="11">
        <f>Tabelle1[[#This Row],[Energie '[kcal/100g']]]/239</f>
        <v>0.11715481171548117</v>
      </c>
      <c r="F259" s="11">
        <v>1.94</v>
      </c>
      <c r="G259" s="11">
        <f>Tabelle1[[#This Row],[Rohprotein '[g/100g']]]*0.85</f>
        <v>1.649</v>
      </c>
      <c r="H259" s="11">
        <v>0.16</v>
      </c>
      <c r="I259" s="11">
        <f>Tabelle1[[#This Row],[TS]]-Tabelle1[[#This Row],[Rohprotein '[g/100g']]]-Tabelle1[[#This Row],[Rohfett '[g/100g']]]-Tabelle1[[#This Row],[Rohasche '[g/100g']]]-Tabelle1[[#This Row],[Rohfaser '[g/100g']]]</f>
        <v>5.3500000000000059</v>
      </c>
      <c r="J259" s="11">
        <v>0</v>
      </c>
      <c r="K259" s="11">
        <v>0.95</v>
      </c>
      <c r="L259" s="11">
        <v>91.6</v>
      </c>
      <c r="M259" s="11">
        <f>100-Tabelle1[[#This Row],[Wasser '[g/100g']]]</f>
        <v>8.4000000000000057</v>
      </c>
      <c r="N259" s="11">
        <v>59</v>
      </c>
      <c r="O259" s="11">
        <v>49.7</v>
      </c>
      <c r="P259" s="11">
        <v>43</v>
      </c>
      <c r="Q259" s="11">
        <v>20</v>
      </c>
      <c r="R259" s="11">
        <v>322</v>
      </c>
      <c r="S259" s="11"/>
      <c r="T259" s="11">
        <v>0.2</v>
      </c>
      <c r="U259" s="11">
        <v>0.17</v>
      </c>
      <c r="V259" s="11">
        <v>0</v>
      </c>
      <c r="W259" s="11">
        <v>27</v>
      </c>
      <c r="X259" s="11">
        <v>70</v>
      </c>
      <c r="Y259" s="11">
        <v>0.72799999999999998</v>
      </c>
      <c r="Z259" s="11"/>
      <c r="AA259" s="11">
        <v>0</v>
      </c>
      <c r="AB259" s="11">
        <v>6.25E-2</v>
      </c>
      <c r="AC259" s="11">
        <v>24</v>
      </c>
      <c r="AD259" s="11">
        <v>4.8000000000000001E-2</v>
      </c>
      <c r="AE259" s="11">
        <v>4.5999999999999999E-2</v>
      </c>
      <c r="AF259" s="11">
        <v>1.8</v>
      </c>
      <c r="AG259" s="11">
        <v>71</v>
      </c>
      <c r="AH259" s="11">
        <v>0</v>
      </c>
      <c r="AI259" s="11">
        <v>63.3</v>
      </c>
      <c r="AJ259" s="11">
        <v>7</v>
      </c>
      <c r="AK259" s="11">
        <v>13</v>
      </c>
      <c r="AL259" s="11">
        <v>3</v>
      </c>
      <c r="AM259" s="11">
        <v>0</v>
      </c>
      <c r="AN259" s="11">
        <v>4.7E-2</v>
      </c>
      <c r="AO259" s="11">
        <v>0</v>
      </c>
      <c r="AP259" s="11">
        <v>0</v>
      </c>
      <c r="AQ259" s="11">
        <v>2.4E-2</v>
      </c>
      <c r="AR259" s="11">
        <v>2.4E-2</v>
      </c>
      <c r="AS259" s="11">
        <v>0.12</v>
      </c>
      <c r="AT259" s="11">
        <v>0</v>
      </c>
      <c r="AU259" s="11">
        <v>3.6999999999999998E-2</v>
      </c>
      <c r="AV259" s="11">
        <v>6.4000000000000001E-2</v>
      </c>
      <c r="AW259" s="11">
        <v>1.6E-2</v>
      </c>
      <c r="AX259" s="9">
        <f>Tabelle1[[#This Row],[Vitamin D3 '[µg/100g']]]*40</f>
        <v>0</v>
      </c>
      <c r="AY259" s="9">
        <f>Tabelle1[[#This Row],[Vitamin A '[µg/100g']]]*3.33</f>
        <v>79.92</v>
      </c>
      <c r="AZ259" s="9">
        <f>Tabelle1[[#This Row],[Vitamin E '[mg/100g']]]*1.49</f>
        <v>9.3124999999999999E-2</v>
      </c>
    </row>
    <row r="260" spans="1:52" hidden="1" x14ac:dyDescent="0.45">
      <c r="A260" t="s">
        <v>877</v>
      </c>
      <c r="B260" s="3" t="s">
        <v>809</v>
      </c>
      <c r="C260" s="4" t="s">
        <v>810</v>
      </c>
      <c r="D260" s="11">
        <v>22</v>
      </c>
      <c r="E260" s="11">
        <f>Tabelle1[[#This Row],[Energie '[kcal/100g']]]/239</f>
        <v>9.2050209205020925E-2</v>
      </c>
      <c r="F260" s="11">
        <v>1.2250000000000001</v>
      </c>
      <c r="G260" s="11">
        <f>Tabelle1[[#This Row],[Rohprotein '[g/100g']]]*0.85</f>
        <v>1.04125</v>
      </c>
      <c r="H260" s="11">
        <v>0.157</v>
      </c>
      <c r="I260" s="11">
        <f>Tabelle1[[#This Row],[TS]]-Tabelle1[[#This Row],[Rohprotein '[g/100g']]]-Tabelle1[[#This Row],[Rohfett '[g/100g']]]-Tabelle1[[#This Row],[Rohasche '[g/100g']]]-Tabelle1[[#This Row],[Rohfaser '[g/100g']]]</f>
        <v>8.4169999999999998</v>
      </c>
      <c r="J260" s="11">
        <v>0</v>
      </c>
      <c r="K260" s="11">
        <v>0.70099999999999996</v>
      </c>
      <c r="L260" s="11">
        <v>89.5</v>
      </c>
      <c r="M260" s="11">
        <f>100-Tabelle1[[#This Row],[Wasser '[g/100g']]]</f>
        <v>10.5</v>
      </c>
      <c r="N260" s="11">
        <v>35</v>
      </c>
      <c r="O260" s="11">
        <v>30</v>
      </c>
      <c r="P260" s="11">
        <v>14</v>
      </c>
      <c r="Q260" s="11">
        <v>10</v>
      </c>
      <c r="R260" s="11">
        <v>275</v>
      </c>
      <c r="S260" s="11"/>
      <c r="T260" s="11">
        <v>0.31900000000000001</v>
      </c>
      <c r="U260" s="11">
        <v>0.152</v>
      </c>
      <c r="V260" s="11">
        <v>0</v>
      </c>
      <c r="W260" s="11">
        <v>29</v>
      </c>
      <c r="X260" s="11">
        <v>104</v>
      </c>
      <c r="Y260" s="11">
        <v>4</v>
      </c>
      <c r="Z260" s="11"/>
      <c r="AA260" s="11">
        <v>0</v>
      </c>
      <c r="AB260" s="11">
        <v>0.49</v>
      </c>
      <c r="AC260" s="11">
        <v>0</v>
      </c>
      <c r="AD260" s="11">
        <v>4.3999999999999997E-2</v>
      </c>
      <c r="AE260" s="11">
        <v>5.3999999999999999E-2</v>
      </c>
      <c r="AF260" s="11">
        <v>0.79200000000000004</v>
      </c>
      <c r="AG260" s="11">
        <v>176</v>
      </c>
      <c r="AH260" s="11">
        <v>0</v>
      </c>
      <c r="AI260" s="11">
        <v>27.5</v>
      </c>
      <c r="AJ260" s="11">
        <v>2</v>
      </c>
      <c r="AK260" s="11">
        <v>34</v>
      </c>
      <c r="AL260" s="11">
        <v>0</v>
      </c>
      <c r="AM260" s="11">
        <v>0</v>
      </c>
      <c r="AN260" s="11">
        <v>6.8000000000000005E-2</v>
      </c>
      <c r="AO260" s="11">
        <v>0</v>
      </c>
      <c r="AP260" s="11">
        <v>0</v>
      </c>
      <c r="AQ260" s="11">
        <v>2.7E-2</v>
      </c>
      <c r="AR260" s="11">
        <v>2.7E-2</v>
      </c>
      <c r="AS260" s="11">
        <v>7.0000000000000007E-2</v>
      </c>
      <c r="AT260" s="11">
        <v>0.01</v>
      </c>
      <c r="AU260" s="11">
        <v>2.5000000000000001E-2</v>
      </c>
      <c r="AV260" s="11">
        <v>5.8000000000000003E-2</v>
      </c>
      <c r="AW260" s="11">
        <v>1.2E-2</v>
      </c>
      <c r="AX260" s="9">
        <f>Tabelle1[[#This Row],[Vitamin D3 '[µg/100g']]]*40</f>
        <v>0</v>
      </c>
      <c r="AY260" s="9">
        <f>Tabelle1[[#This Row],[Vitamin A '[µg/100g']]]*3.33</f>
        <v>0</v>
      </c>
      <c r="AZ260" s="9">
        <f>Tabelle1[[#This Row],[Vitamin E '[mg/100g']]]*1.49</f>
        <v>0.73009999999999997</v>
      </c>
    </row>
    <row r="261" spans="1:52" hidden="1" x14ac:dyDescent="0.45">
      <c r="A261" t="s">
        <v>877</v>
      </c>
      <c r="B261" s="5" t="s">
        <v>811</v>
      </c>
      <c r="C261" s="6" t="s">
        <v>812</v>
      </c>
      <c r="D261" s="13">
        <v>38</v>
      </c>
      <c r="E261" s="11">
        <f>Tabelle1[[#This Row],[Energie '[kcal/100g']]]/239</f>
        <v>0.15899581589958159</v>
      </c>
      <c r="F261" s="13">
        <v>0.7</v>
      </c>
      <c r="G261" s="11">
        <f>Tabelle1[[#This Row],[Rohprotein '[g/100g']]]*0.85</f>
        <v>0.59499999999999997</v>
      </c>
      <c r="H261" s="13">
        <v>0.1</v>
      </c>
      <c r="I261" s="11">
        <f>Tabelle1[[#This Row],[TS]]-Tabelle1[[#This Row],[Rohprotein '[g/100g']]]-Tabelle1[[#This Row],[Rohfett '[g/100g']]]-Tabelle1[[#This Row],[Rohasche '[g/100g']]]-Tabelle1[[#This Row],[Rohfaser '[g/100g']]]</f>
        <v>10.3</v>
      </c>
      <c r="J261" s="11">
        <v>0</v>
      </c>
      <c r="K261" s="13">
        <v>0.4</v>
      </c>
      <c r="L261" s="13">
        <v>88.5</v>
      </c>
      <c r="M261" s="13">
        <f>100-Tabelle1[[#This Row],[Wasser '[g/100g']]]</f>
        <v>11.5</v>
      </c>
      <c r="N261" s="13">
        <v>37</v>
      </c>
      <c r="O261" s="13">
        <v>32</v>
      </c>
      <c r="P261" s="13">
        <v>8</v>
      </c>
      <c r="Q261" s="13">
        <v>4</v>
      </c>
      <c r="R261" s="13">
        <v>175</v>
      </c>
      <c r="S261" s="13"/>
      <c r="T261" s="13">
        <v>0.16</v>
      </c>
      <c r="U261" s="13"/>
      <c r="V261" s="11">
        <v>0</v>
      </c>
      <c r="W261" s="13">
        <v>0</v>
      </c>
      <c r="X261" s="13">
        <v>80</v>
      </c>
      <c r="Y261" s="13">
        <v>0.3</v>
      </c>
      <c r="Z261" s="13"/>
      <c r="AA261" s="13">
        <v>0</v>
      </c>
      <c r="AB261" s="13">
        <v>0.54300000000000004</v>
      </c>
      <c r="AC261" s="13">
        <v>71</v>
      </c>
      <c r="AD261" s="13">
        <v>0.02</v>
      </c>
      <c r="AE261" s="13">
        <v>0</v>
      </c>
      <c r="AF261" s="13">
        <v>0.5</v>
      </c>
      <c r="AG261" s="13">
        <v>60</v>
      </c>
      <c r="AH261" s="13">
        <v>0</v>
      </c>
      <c r="AI261" s="13">
        <v>15</v>
      </c>
      <c r="AJ261" s="13">
        <v>2</v>
      </c>
      <c r="AK261" s="13">
        <v>1.5</v>
      </c>
      <c r="AL261" s="13">
        <v>0</v>
      </c>
      <c r="AM261" s="13">
        <v>0</v>
      </c>
      <c r="AN261" s="13">
        <v>6.8000000000000005E-2</v>
      </c>
      <c r="AO261" s="13">
        <v>0</v>
      </c>
      <c r="AP261" s="13">
        <v>0</v>
      </c>
      <c r="AQ261" s="13">
        <v>2.7E-2</v>
      </c>
      <c r="AR261" s="13">
        <v>2.7E-2</v>
      </c>
      <c r="AS261" s="13">
        <v>1.9E-2</v>
      </c>
      <c r="AT261" s="13">
        <v>4.0000000000000001E-3</v>
      </c>
      <c r="AU261" s="13">
        <v>1.0999999999999999E-2</v>
      </c>
      <c r="AV261" s="13">
        <v>2.8000000000000001E-2</v>
      </c>
      <c r="AW261" s="13">
        <v>8.9999999999999993E-3</v>
      </c>
      <c r="AX261" s="9">
        <f>Tabelle1[[#This Row],[Vitamin D3 '[µg/100g']]]*40</f>
        <v>0</v>
      </c>
      <c r="AY261" s="9">
        <f>Tabelle1[[#This Row],[Vitamin A '[µg/100g']]]*3.33</f>
        <v>236.43</v>
      </c>
      <c r="AZ261" s="9">
        <f>Tabelle1[[#This Row],[Vitamin E '[mg/100g']]]*1.49</f>
        <v>0.80907000000000007</v>
      </c>
    </row>
    <row r="262" spans="1:52" hidden="1" x14ac:dyDescent="0.45">
      <c r="A262" t="s">
        <v>877</v>
      </c>
      <c r="B262" s="3" t="s">
        <v>813</v>
      </c>
      <c r="C262" s="4" t="s">
        <v>814</v>
      </c>
      <c r="D262" s="11">
        <v>22</v>
      </c>
      <c r="E262" s="11">
        <f>Tabelle1[[#This Row],[Energie '[kcal/100g']]]/239</f>
        <v>9.2050209205020925E-2</v>
      </c>
      <c r="F262" s="11">
        <v>1.25</v>
      </c>
      <c r="G262" s="11">
        <f>Tabelle1[[#This Row],[Rohprotein '[g/100g']]]*0.85</f>
        <v>1.0625</v>
      </c>
      <c r="H262" s="11">
        <v>0.16</v>
      </c>
      <c r="I262" s="11">
        <f>Tabelle1[[#This Row],[TS]]-Tabelle1[[#This Row],[Rohprotein '[g/100g']]]-Tabelle1[[#This Row],[Rohfett '[g/100g']]]-Tabelle1[[#This Row],[Rohasche '[g/100g']]]-Tabelle1[[#This Row],[Rohfaser '[g/100g']]]</f>
        <v>8.4749999999999943</v>
      </c>
      <c r="J262" s="11">
        <v>0</v>
      </c>
      <c r="K262" s="11">
        <v>0.71499999999999997</v>
      </c>
      <c r="L262" s="11">
        <v>89.4</v>
      </c>
      <c r="M262" s="11">
        <f>100-Tabelle1[[#This Row],[Wasser '[g/100g']]]</f>
        <v>10.599999999999994</v>
      </c>
      <c r="N262" s="11">
        <v>36</v>
      </c>
      <c r="O262" s="11">
        <v>31</v>
      </c>
      <c r="P262" s="11">
        <v>14</v>
      </c>
      <c r="Q262" s="11">
        <v>10</v>
      </c>
      <c r="R262" s="11">
        <v>280</v>
      </c>
      <c r="S262" s="11"/>
      <c r="T262" s="11">
        <v>0.32500000000000001</v>
      </c>
      <c r="U262" s="11">
        <v>0.155</v>
      </c>
      <c r="V262" s="11">
        <v>0</v>
      </c>
      <c r="W262" s="11">
        <v>30</v>
      </c>
      <c r="X262" s="11">
        <v>106</v>
      </c>
      <c r="Y262" s="11">
        <v>4</v>
      </c>
      <c r="Z262" s="11"/>
      <c r="AA262" s="11">
        <v>0</v>
      </c>
      <c r="AB262" s="11">
        <v>0.5</v>
      </c>
      <c r="AC262" s="11">
        <v>0</v>
      </c>
      <c r="AD262" s="11">
        <v>0.05</v>
      </c>
      <c r="AE262" s="11">
        <v>5.8000000000000003E-2</v>
      </c>
      <c r="AF262" s="11">
        <v>0.85</v>
      </c>
      <c r="AG262" s="11">
        <v>200</v>
      </c>
      <c r="AH262" s="11">
        <v>0</v>
      </c>
      <c r="AI262" s="11">
        <v>33</v>
      </c>
      <c r="AJ262" s="11">
        <v>2</v>
      </c>
      <c r="AK262" s="11">
        <v>49</v>
      </c>
      <c r="AL262" s="11">
        <v>0</v>
      </c>
      <c r="AM262" s="11">
        <v>0</v>
      </c>
      <c r="AN262" s="11">
        <v>6.9000000000000006E-2</v>
      </c>
      <c r="AO262" s="11">
        <v>0</v>
      </c>
      <c r="AP262" s="11">
        <v>0</v>
      </c>
      <c r="AQ262" s="11">
        <v>2.8000000000000001E-2</v>
      </c>
      <c r="AR262" s="11">
        <v>2.8000000000000001E-2</v>
      </c>
      <c r="AS262" s="11">
        <v>7.0999999999999994E-2</v>
      </c>
      <c r="AT262" s="11">
        <v>0.01</v>
      </c>
      <c r="AU262" s="11">
        <v>2.5999999999999999E-2</v>
      </c>
      <c r="AV262" s="11">
        <v>5.8999999999999997E-2</v>
      </c>
      <c r="AW262" s="11">
        <v>1.2E-2</v>
      </c>
      <c r="AX262" s="9">
        <f>Tabelle1[[#This Row],[Vitamin D3 '[µg/100g']]]*40</f>
        <v>0</v>
      </c>
      <c r="AY262" s="9">
        <f>Tabelle1[[#This Row],[Vitamin A '[µg/100g']]]*3.33</f>
        <v>0</v>
      </c>
      <c r="AZ262" s="9">
        <f>Tabelle1[[#This Row],[Vitamin E '[mg/100g']]]*1.49</f>
        <v>0.745</v>
      </c>
    </row>
    <row r="263" spans="1:52" hidden="1" x14ac:dyDescent="0.45">
      <c r="A263" t="s">
        <v>934</v>
      </c>
      <c r="B263" s="5" t="s">
        <v>928</v>
      </c>
      <c r="C263" s="6" t="s">
        <v>929</v>
      </c>
      <c r="D263" s="13">
        <v>227</v>
      </c>
      <c r="E263" s="11">
        <f>Tabelle1[[#This Row],[Energie '[kcal/100g']]]/239</f>
        <v>0.94979079497907948</v>
      </c>
      <c r="F263" s="13">
        <v>2.774</v>
      </c>
      <c r="G263" s="11">
        <f>Tabelle1[[#This Row],[Rohprotein '[g/100g']]]*0.85</f>
        <v>2.3578999999999999</v>
      </c>
      <c r="H263" s="13">
        <v>21.9</v>
      </c>
      <c r="I263" s="11">
        <f>Tabelle1[[#This Row],[TS]]-Tabelle1[[#This Row],[Rohprotein '[g/100g']]]-Tabelle1[[#This Row],[Rohfett '[g/100g']]]-Tabelle1[[#This Row],[Rohasche '[g/100g']]]-Tabelle1[[#This Row],[Rohfaser '[g/100g']]]</f>
        <v>6.6180000000000003</v>
      </c>
      <c r="J263" s="11">
        <v>0</v>
      </c>
      <c r="K263" s="13">
        <v>0.70799999999999996</v>
      </c>
      <c r="L263" s="13">
        <v>68</v>
      </c>
      <c r="M263" s="13">
        <f>100-Tabelle1[[#This Row],[Wasser '[g/100g']]]</f>
        <v>32</v>
      </c>
      <c r="N263" s="13">
        <v>8.6999999999999993</v>
      </c>
      <c r="O263" s="13">
        <v>14.5</v>
      </c>
      <c r="P263" s="13">
        <v>23.2</v>
      </c>
      <c r="Q263" s="13">
        <v>22</v>
      </c>
      <c r="R263" s="13">
        <v>156.69999999999999</v>
      </c>
      <c r="S263" s="13"/>
      <c r="T263" s="13">
        <v>0.34799999999999998</v>
      </c>
      <c r="U263" s="13">
        <v>0.3</v>
      </c>
      <c r="V263" s="11">
        <v>0</v>
      </c>
      <c r="W263" s="13">
        <v>185</v>
      </c>
      <c r="X263" s="13">
        <v>468</v>
      </c>
      <c r="Y263" s="13">
        <v>0.9</v>
      </c>
      <c r="Z263" s="13"/>
      <c r="AA263" s="13">
        <v>0</v>
      </c>
      <c r="AB263" s="13">
        <v>0.42</v>
      </c>
      <c r="AC263" s="13">
        <v>0</v>
      </c>
      <c r="AD263" s="13">
        <v>3.6999999999999998E-2</v>
      </c>
      <c r="AE263" s="13">
        <v>5.0000000000000001E-3</v>
      </c>
      <c r="AF263" s="13">
        <v>0.22800000000000001</v>
      </c>
      <c r="AG263" s="13">
        <v>36</v>
      </c>
      <c r="AH263" s="13">
        <v>0</v>
      </c>
      <c r="AI263" s="13">
        <v>1.2</v>
      </c>
      <c r="AJ263" s="13">
        <v>0</v>
      </c>
      <c r="AK263" s="13">
        <v>6</v>
      </c>
      <c r="AL263" s="13">
        <v>0</v>
      </c>
      <c r="AM263" s="13">
        <v>0</v>
      </c>
      <c r="AN263" s="13">
        <v>0</v>
      </c>
      <c r="AO263" s="13">
        <v>0</v>
      </c>
      <c r="AP263" s="13">
        <v>0</v>
      </c>
      <c r="AQ263" s="13">
        <v>0.40799999999999997</v>
      </c>
      <c r="AR263" s="13">
        <v>0.40799999999999997</v>
      </c>
      <c r="AS263" s="13">
        <v>0.29399999999999998</v>
      </c>
      <c r="AT263" s="13">
        <v>4.2999999999999997E-2</v>
      </c>
      <c r="AU263" s="13">
        <v>4.2999999999999997E-2</v>
      </c>
      <c r="AV263" s="13">
        <v>0.09</v>
      </c>
      <c r="AW263" s="13">
        <v>4.2000000000000003E-2</v>
      </c>
      <c r="AX263" s="9">
        <f>Tabelle1[[#This Row],[Vitamin D3 '[µg/100g']]]*40</f>
        <v>0</v>
      </c>
      <c r="AY263" s="9">
        <f>Tabelle1[[#This Row],[Vitamin A '[µg/100g']]]*3.33</f>
        <v>0</v>
      </c>
      <c r="AZ263" s="9">
        <f>Tabelle1[[#This Row],[Vitamin E '[mg/100g']]]*1.49</f>
        <v>0.62580000000000002</v>
      </c>
    </row>
    <row r="264" spans="1:52" hidden="1" x14ac:dyDescent="0.45">
      <c r="A264" t="s">
        <v>972</v>
      </c>
      <c r="B264" s="3" t="s">
        <v>941</v>
      </c>
      <c r="C264" s="4" t="s">
        <v>942</v>
      </c>
      <c r="D264" s="11">
        <v>900</v>
      </c>
      <c r="E264" s="11">
        <f>Tabelle1[[#This Row],[Energie '[kcal/100g']]]/239</f>
        <v>3.7656903765690375</v>
      </c>
      <c r="F264" s="11">
        <v>0</v>
      </c>
      <c r="G264" s="11">
        <f>Tabelle1[[#This Row],[Rohprotein '[g/100g']]]*0.85</f>
        <v>0</v>
      </c>
      <c r="H264" s="11">
        <v>100</v>
      </c>
      <c r="I264" s="11">
        <f>Tabelle1[[#This Row],[TS]]-Tabelle1[[#This Row],[Rohprotein '[g/100g']]]-Tabelle1[[#This Row],[Rohfett '[g/100g']]]-Tabelle1[[#This Row],[Rohasche '[g/100g']]]-Tabelle1[[#This Row],[Rohfaser '[g/100g']]]</f>
        <v>-0.1</v>
      </c>
      <c r="J264" s="11">
        <v>0</v>
      </c>
      <c r="K264" s="11">
        <v>0.1</v>
      </c>
      <c r="L264" s="11">
        <v>0</v>
      </c>
      <c r="M264" s="11">
        <f>100-Tabelle1[[#This Row],[Wasser '[g/100g']]]</f>
        <v>100</v>
      </c>
      <c r="N264" s="11">
        <v>0</v>
      </c>
      <c r="O264" s="11">
        <v>0.9</v>
      </c>
      <c r="P264" s="11">
        <v>0.2</v>
      </c>
      <c r="Q264" s="11">
        <v>0</v>
      </c>
      <c r="R264" s="11">
        <v>0</v>
      </c>
      <c r="S264" s="11"/>
      <c r="T264" s="11">
        <v>0.02</v>
      </c>
      <c r="U264" s="11">
        <v>0</v>
      </c>
      <c r="V264" s="11">
        <v>0</v>
      </c>
      <c r="W264" s="11">
        <v>2</v>
      </c>
      <c r="X264" s="11">
        <v>0</v>
      </c>
      <c r="Y264" s="11">
        <v>0</v>
      </c>
      <c r="Z264" s="11"/>
      <c r="AA264" s="11">
        <v>0</v>
      </c>
      <c r="AB264" s="11">
        <v>0.05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1.5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0.9</v>
      </c>
      <c r="AR264" s="11">
        <v>0.9</v>
      </c>
      <c r="AS264" s="11">
        <v>0</v>
      </c>
      <c r="AT264" s="11">
        <v>0</v>
      </c>
      <c r="AU264" s="11">
        <v>0</v>
      </c>
      <c r="AV264" s="11">
        <v>0</v>
      </c>
      <c r="AW264" s="11">
        <v>0</v>
      </c>
      <c r="AX264" s="9">
        <f>Tabelle1[[#This Row],[Vitamin D3 '[µg/100g']]]*40</f>
        <v>0</v>
      </c>
      <c r="AY264" s="9">
        <f>Tabelle1[[#This Row],[Vitamin A '[µg/100g']]]*3.33</f>
        <v>0</v>
      </c>
      <c r="AZ264" s="9">
        <f>Tabelle1[[#This Row],[Vitamin E '[mg/100g']]]*1.49</f>
        <v>7.4499999999999997E-2</v>
      </c>
    </row>
    <row r="265" spans="1:52" hidden="1" x14ac:dyDescent="0.45">
      <c r="A265" t="s">
        <v>877</v>
      </c>
      <c r="B265" s="3" t="s">
        <v>815</v>
      </c>
      <c r="C265" s="4" t="s">
        <v>816</v>
      </c>
      <c r="D265" s="11">
        <v>18</v>
      </c>
      <c r="E265" s="11">
        <f>Tabelle1[[#This Row],[Energie '[kcal/100g']]]/239</f>
        <v>7.5313807531380755E-2</v>
      </c>
      <c r="F265" s="11">
        <v>1.5</v>
      </c>
      <c r="G265" s="11">
        <f>Tabelle1[[#This Row],[Rohprotein '[g/100g']]]*0.85</f>
        <v>1.2749999999999999</v>
      </c>
      <c r="H265" s="11">
        <v>0.22</v>
      </c>
      <c r="I265" s="11">
        <f>Tabelle1[[#This Row],[TS]]-Tabelle1[[#This Row],[Rohprotein '[g/100g']]]-Tabelle1[[#This Row],[Rohfett '[g/100g']]]-Tabelle1[[#This Row],[Rohasche '[g/100g']]]-Tabelle1[[#This Row],[Rohfaser '[g/100g']]]</f>
        <v>1.9649999999999976</v>
      </c>
      <c r="J265" s="11">
        <v>0</v>
      </c>
      <c r="K265" s="11">
        <v>0.88</v>
      </c>
      <c r="L265" s="11">
        <v>95.435000000000002</v>
      </c>
      <c r="M265" s="11">
        <f>100-Tabelle1[[#This Row],[Wasser '[g/100g']]]</f>
        <v>4.5649999999999977</v>
      </c>
      <c r="N265" s="11">
        <v>60</v>
      </c>
      <c r="O265" s="11">
        <v>22.577000000000002</v>
      </c>
      <c r="P265" s="11">
        <v>20</v>
      </c>
      <c r="Q265" s="11">
        <v>31</v>
      </c>
      <c r="R265" s="11">
        <v>306</v>
      </c>
      <c r="S265" s="11"/>
      <c r="T265" s="11">
        <v>0.749</v>
      </c>
      <c r="U265" s="11">
        <v>0.3</v>
      </c>
      <c r="V265" s="11">
        <v>0</v>
      </c>
      <c r="W265" s="11">
        <v>44</v>
      </c>
      <c r="X265" s="11">
        <v>380</v>
      </c>
      <c r="Y265" s="11">
        <v>1.8169999999999999</v>
      </c>
      <c r="Z265" s="11"/>
      <c r="AA265" s="11">
        <v>0</v>
      </c>
      <c r="AB265" s="11">
        <v>0.23699999999999999</v>
      </c>
      <c r="AC265" s="11">
        <v>365</v>
      </c>
      <c r="AD265" s="11">
        <v>4.7E-2</v>
      </c>
      <c r="AE265" s="11">
        <v>3.2000000000000001E-2</v>
      </c>
      <c r="AF265" s="11">
        <v>0.32</v>
      </c>
      <c r="AG265" s="11">
        <v>56</v>
      </c>
      <c r="AH265" s="11">
        <v>0</v>
      </c>
      <c r="AI265" s="11">
        <v>11</v>
      </c>
      <c r="AJ265" s="11">
        <v>116</v>
      </c>
      <c r="AK265" s="11">
        <v>69</v>
      </c>
      <c r="AL265" s="11">
        <v>2</v>
      </c>
      <c r="AM265" s="11">
        <v>0</v>
      </c>
      <c r="AN265" s="11">
        <v>7.0999999999999994E-2</v>
      </c>
      <c r="AO265" s="11">
        <v>0</v>
      </c>
      <c r="AP265" s="11">
        <v>0</v>
      </c>
      <c r="AQ265" s="11">
        <v>5.1999999999999998E-2</v>
      </c>
      <c r="AR265" s="11">
        <v>5.1999999999999998E-2</v>
      </c>
      <c r="AS265" s="11">
        <v>6.2E-2</v>
      </c>
      <c r="AT265" s="11">
        <v>0</v>
      </c>
      <c r="AU265" s="11">
        <v>2.1000000000000001E-2</v>
      </c>
      <c r="AV265" s="11">
        <v>7.0000000000000007E-2</v>
      </c>
      <c r="AW265" s="11">
        <v>1.2E-2</v>
      </c>
      <c r="AX265" s="9">
        <f>Tabelle1[[#This Row],[Vitamin D3 '[µg/100g']]]*40</f>
        <v>0</v>
      </c>
      <c r="AY265" s="9">
        <f>Tabelle1[[#This Row],[Vitamin A '[µg/100g']]]*3.33</f>
        <v>1215.45</v>
      </c>
      <c r="AZ265" s="9">
        <f>Tabelle1[[#This Row],[Vitamin E '[mg/100g']]]*1.49</f>
        <v>0.35313</v>
      </c>
    </row>
    <row r="266" spans="1:52" hidden="1" x14ac:dyDescent="0.45">
      <c r="A266" t="s">
        <v>641</v>
      </c>
      <c r="B266" s="5" t="s">
        <v>585</v>
      </c>
      <c r="C266" s="6" t="s">
        <v>586</v>
      </c>
      <c r="D266" s="13">
        <v>73</v>
      </c>
      <c r="E266" s="11">
        <f>Tabelle1[[#This Row],[Energie '[kcal/100g']]]/239</f>
        <v>0.30543933054393307</v>
      </c>
      <c r="F266" s="13">
        <v>11.8</v>
      </c>
      <c r="G266" s="11">
        <f>Tabelle1[[#This Row],[Rohprotein '[g/100g']]]*0.85</f>
        <v>10.030000000000001</v>
      </c>
      <c r="H266" s="13">
        <v>1.2</v>
      </c>
      <c r="I266" s="11">
        <f>Tabelle1[[#This Row],[TS]]-Tabelle1[[#This Row],[Rohprotein '[g/100g']]]-Tabelle1[[#This Row],[Rohfett '[g/100g']]]-Tabelle1[[#This Row],[Rohasche '[g/100g']]]-Tabelle1[[#This Row],[Rohfaser '[g/100g']]]</f>
        <v>3.0999999999999961</v>
      </c>
      <c r="J266" s="11">
        <v>0</v>
      </c>
      <c r="K266" s="13">
        <v>1.2</v>
      </c>
      <c r="L266" s="13">
        <v>82.7</v>
      </c>
      <c r="M266" s="13">
        <f>100-Tabelle1[[#This Row],[Wasser '[g/100g']]]</f>
        <v>17.299999999999997</v>
      </c>
      <c r="N266" s="13">
        <v>100</v>
      </c>
      <c r="O266" s="13">
        <v>170</v>
      </c>
      <c r="P266" s="13">
        <v>10</v>
      </c>
      <c r="Q266" s="13">
        <v>200</v>
      </c>
      <c r="R266" s="13">
        <v>120</v>
      </c>
      <c r="S266" s="13"/>
      <c r="T266" s="13">
        <v>7.0000000000000007E-2</v>
      </c>
      <c r="U266" s="13">
        <v>0.5</v>
      </c>
      <c r="V266" s="11">
        <v>0</v>
      </c>
      <c r="W266" s="13">
        <v>26</v>
      </c>
      <c r="X266" s="13">
        <v>4</v>
      </c>
      <c r="Y266" s="13">
        <v>14</v>
      </c>
      <c r="Z266" s="13"/>
      <c r="AA266" s="13">
        <v>0</v>
      </c>
      <c r="AB266" s="13">
        <v>0</v>
      </c>
      <c r="AC266" s="13">
        <v>41</v>
      </c>
      <c r="AD266" s="13">
        <v>0.03</v>
      </c>
      <c r="AE266" s="13">
        <v>0.23</v>
      </c>
      <c r="AF266" s="13">
        <v>0.1</v>
      </c>
      <c r="AG266" s="13">
        <v>40</v>
      </c>
      <c r="AH266" s="13">
        <v>0.7</v>
      </c>
      <c r="AI266" s="13">
        <v>4.2050000000000001</v>
      </c>
      <c r="AJ266" s="13">
        <v>16.100000000000001</v>
      </c>
      <c r="AK266" s="13">
        <v>6.4</v>
      </c>
      <c r="AL266" s="13">
        <v>4.5</v>
      </c>
      <c r="AM266" s="13">
        <v>3</v>
      </c>
      <c r="AN266" s="13">
        <v>0.01</v>
      </c>
      <c r="AO266" s="13">
        <v>0</v>
      </c>
      <c r="AP266" s="13">
        <v>0</v>
      </c>
      <c r="AQ266" s="13">
        <v>0.02</v>
      </c>
      <c r="AR266" s="13">
        <v>0.02</v>
      </c>
      <c r="AS266" s="13">
        <v>0.4</v>
      </c>
      <c r="AT266" s="13">
        <v>0</v>
      </c>
      <c r="AU266" s="13">
        <v>0.3</v>
      </c>
      <c r="AV266" s="13">
        <v>0.9</v>
      </c>
      <c r="AW266" s="13">
        <v>0.3</v>
      </c>
      <c r="AX266" s="9">
        <f>Tabelle1[[#This Row],[Vitamin D3 '[µg/100g']]]*40</f>
        <v>0</v>
      </c>
      <c r="AY266" s="9">
        <f>Tabelle1[[#This Row],[Vitamin A '[µg/100g']]]*3.33</f>
        <v>136.53</v>
      </c>
      <c r="AZ266" s="9">
        <f>Tabelle1[[#This Row],[Vitamin E '[mg/100g']]]*1.49</f>
        <v>0</v>
      </c>
    </row>
    <row r="267" spans="1:52" hidden="1" x14ac:dyDescent="0.45">
      <c r="A267" t="s">
        <v>641</v>
      </c>
      <c r="B267" s="5" t="s">
        <v>587</v>
      </c>
      <c r="C267" s="6" t="s">
        <v>588</v>
      </c>
      <c r="D267" s="13">
        <v>109</v>
      </c>
      <c r="E267" s="11">
        <f>Tabelle1[[#This Row],[Energie '[kcal/100g']]]/239</f>
        <v>0.45606694560669458</v>
      </c>
      <c r="F267" s="13">
        <v>13.3</v>
      </c>
      <c r="G267" s="11">
        <f>Tabelle1[[#This Row],[Rohprotein '[g/100g']]]*0.85</f>
        <v>11.305</v>
      </c>
      <c r="H267" s="13">
        <v>4.3</v>
      </c>
      <c r="I267" s="11">
        <f>Tabelle1[[#This Row],[TS]]-Tabelle1[[#This Row],[Rohprotein '[g/100g']]]-Tabelle1[[#This Row],[Rohfett '[g/100g']]]-Tabelle1[[#This Row],[Rohasche '[g/100g']]]-Tabelle1[[#This Row],[Rohfaser '[g/100g']]]</f>
        <v>3.0399999999999996</v>
      </c>
      <c r="J267" s="11">
        <v>0</v>
      </c>
      <c r="K267" s="13">
        <v>0.86</v>
      </c>
      <c r="L267" s="13">
        <v>78.5</v>
      </c>
      <c r="M267" s="13">
        <f>100-Tabelle1[[#This Row],[Wasser '[g/100g']]]</f>
        <v>21.5</v>
      </c>
      <c r="N267" s="13">
        <v>95</v>
      </c>
      <c r="O267" s="13">
        <v>150</v>
      </c>
      <c r="P267" s="13">
        <v>8</v>
      </c>
      <c r="Q267" s="13">
        <v>230</v>
      </c>
      <c r="R267" s="13">
        <v>88</v>
      </c>
      <c r="S267" s="13"/>
      <c r="T267" s="13">
        <v>0.3</v>
      </c>
      <c r="U267" s="13">
        <v>0.5</v>
      </c>
      <c r="V267" s="11">
        <v>0</v>
      </c>
      <c r="W267" s="13">
        <v>22</v>
      </c>
      <c r="X267" s="13">
        <v>6</v>
      </c>
      <c r="Y267" s="13">
        <v>15</v>
      </c>
      <c r="Z267" s="13"/>
      <c r="AA267" s="13">
        <v>0.09</v>
      </c>
      <c r="AB267" s="13">
        <v>7.0000000000000007E-2</v>
      </c>
      <c r="AC267" s="13">
        <v>173</v>
      </c>
      <c r="AD267" s="13">
        <v>2.9000000000000001E-2</v>
      </c>
      <c r="AE267" s="13">
        <v>0.25</v>
      </c>
      <c r="AF267" s="13">
        <v>0.11</v>
      </c>
      <c r="AG267" s="13">
        <v>60</v>
      </c>
      <c r="AH267" s="13">
        <v>2</v>
      </c>
      <c r="AI267" s="13">
        <v>4.2050000000000001</v>
      </c>
      <c r="AJ267" s="13">
        <v>34</v>
      </c>
      <c r="AK267" s="13">
        <v>69</v>
      </c>
      <c r="AL267" s="13">
        <v>6.4</v>
      </c>
      <c r="AM267" s="13">
        <v>3.3</v>
      </c>
      <c r="AN267" s="13">
        <v>0.04</v>
      </c>
      <c r="AO267" s="13">
        <v>0</v>
      </c>
      <c r="AP267" s="13">
        <v>0</v>
      </c>
      <c r="AQ267" s="13">
        <v>0.1</v>
      </c>
      <c r="AR267" s="13">
        <v>0.1</v>
      </c>
      <c r="AS267" s="13">
        <v>0.41599999999999998</v>
      </c>
      <c r="AT267" s="13">
        <v>4.8000000000000001E-2</v>
      </c>
      <c r="AU267" s="13">
        <v>0.374</v>
      </c>
      <c r="AV267" s="13">
        <v>1.06</v>
      </c>
      <c r="AW267" s="13">
        <v>0.374</v>
      </c>
      <c r="AX267" s="9">
        <f>Tabelle1[[#This Row],[Vitamin D3 '[µg/100g']]]*40</f>
        <v>3.5999999999999996</v>
      </c>
      <c r="AY267" s="9">
        <f>Tabelle1[[#This Row],[Vitamin A '[µg/100g']]]*3.33</f>
        <v>576.09</v>
      </c>
      <c r="AZ267" s="9">
        <f>Tabelle1[[#This Row],[Vitamin E '[mg/100g']]]*1.49</f>
        <v>0.1043</v>
      </c>
    </row>
    <row r="268" spans="1:52" hidden="1" x14ac:dyDescent="0.45">
      <c r="A268" t="s">
        <v>877</v>
      </c>
      <c r="B268" s="3" t="s">
        <v>817</v>
      </c>
      <c r="C268" s="4" t="s">
        <v>818</v>
      </c>
      <c r="D268" s="11">
        <v>35</v>
      </c>
      <c r="E268" s="11">
        <f>Tabelle1[[#This Row],[Energie '[kcal/100g']]]/239</f>
        <v>0.14644351464435146</v>
      </c>
      <c r="F268" s="11">
        <v>1.647</v>
      </c>
      <c r="G268" s="11">
        <f>Tabelle1[[#This Row],[Rohprotein '[g/100g']]]*0.85</f>
        <v>1.39995</v>
      </c>
      <c r="H268" s="11">
        <v>0.23499999999999999</v>
      </c>
      <c r="I268" s="11">
        <f>Tabelle1[[#This Row],[TS]]-Tabelle1[[#This Row],[Rohprotein '[g/100g']]]-Tabelle1[[#This Row],[Rohfett '[g/100g']]]-Tabelle1[[#This Row],[Rohasche '[g/100g']]]-Tabelle1[[#This Row],[Rohfaser '[g/100g']]]</f>
        <v>13.973999999999998</v>
      </c>
      <c r="J268" s="11">
        <v>0</v>
      </c>
      <c r="K268" s="11">
        <v>1.2390000000000001</v>
      </c>
      <c r="L268" s="11">
        <v>82.905000000000001</v>
      </c>
      <c r="M268" s="11">
        <f>100-Tabelle1[[#This Row],[Wasser '[g/100g']]]</f>
        <v>17.094999999999999</v>
      </c>
      <c r="N268" s="11">
        <v>37.200000000000003</v>
      </c>
      <c r="O268" s="11">
        <v>43.9</v>
      </c>
      <c r="P268" s="11">
        <v>19.899999999999999</v>
      </c>
      <c r="Q268" s="11">
        <v>8</v>
      </c>
      <c r="R268" s="11">
        <v>479</v>
      </c>
      <c r="S268" s="11"/>
      <c r="T268" s="11">
        <v>0.57399999999999995</v>
      </c>
      <c r="U268" s="11">
        <v>0.33</v>
      </c>
      <c r="V268" s="11">
        <v>0</v>
      </c>
      <c r="W268" s="11">
        <v>54.7</v>
      </c>
      <c r="X268" s="11">
        <v>58.1</v>
      </c>
      <c r="Y268" s="11">
        <v>1.6</v>
      </c>
      <c r="Z268" s="11"/>
      <c r="AA268" s="11">
        <v>0</v>
      </c>
      <c r="AB268" s="11">
        <v>1.1759999999999999</v>
      </c>
      <c r="AC268" s="11">
        <v>565</v>
      </c>
      <c r="AD268" s="11">
        <v>9.5000000000000001E-2</v>
      </c>
      <c r="AE268" s="11">
        <v>6.7000000000000004E-2</v>
      </c>
      <c r="AF268" s="11">
        <v>1.788</v>
      </c>
      <c r="AG268" s="11">
        <v>116</v>
      </c>
      <c r="AH268" s="11">
        <v>0</v>
      </c>
      <c r="AI268" s="11">
        <v>13.176</v>
      </c>
      <c r="AJ268" s="11">
        <v>5</v>
      </c>
      <c r="AK268" s="11">
        <v>46</v>
      </c>
      <c r="AL268" s="11">
        <v>0.4</v>
      </c>
      <c r="AM268" s="11">
        <v>0</v>
      </c>
      <c r="AN268" s="11">
        <v>7.1999999999999995E-2</v>
      </c>
      <c r="AO268" s="11">
        <v>0</v>
      </c>
      <c r="AP268" s="11">
        <v>0</v>
      </c>
      <c r="AQ268" s="11">
        <v>4.2000000000000003E-2</v>
      </c>
      <c r="AR268" s="11">
        <v>4.2000000000000003E-2</v>
      </c>
      <c r="AS268" s="11">
        <v>5.6000000000000001E-2</v>
      </c>
      <c r="AT268" s="11">
        <v>4.0000000000000001E-3</v>
      </c>
      <c r="AU268" s="11">
        <v>2.9000000000000001E-2</v>
      </c>
      <c r="AV268" s="11">
        <v>5.8999999999999997E-2</v>
      </c>
      <c r="AW268" s="11">
        <v>2.4E-2</v>
      </c>
      <c r="AX268" s="9">
        <f>Tabelle1[[#This Row],[Vitamin D3 '[µg/100g']]]*40</f>
        <v>0</v>
      </c>
      <c r="AY268" s="9">
        <f>Tabelle1[[#This Row],[Vitamin A '[µg/100g']]]*3.33</f>
        <v>1881.45</v>
      </c>
      <c r="AZ268" s="9">
        <f>Tabelle1[[#This Row],[Vitamin E '[mg/100g']]]*1.49</f>
        <v>1.7522399999999998</v>
      </c>
    </row>
    <row r="269" spans="1:52" hidden="1" x14ac:dyDescent="0.45">
      <c r="A269" t="s">
        <v>877</v>
      </c>
      <c r="B269" s="3" t="s">
        <v>819</v>
      </c>
      <c r="C269" s="4" t="s">
        <v>820</v>
      </c>
      <c r="D269" s="11">
        <v>56</v>
      </c>
      <c r="E269" s="11">
        <f>Tabelle1[[#This Row],[Energie '[kcal/100g']]]/239</f>
        <v>0.23430962343096234</v>
      </c>
      <c r="F269" s="11">
        <v>2.593</v>
      </c>
      <c r="G269" s="11">
        <f>Tabelle1[[#This Row],[Rohprotein '[g/100g']]]*0.85</f>
        <v>2.2040500000000001</v>
      </c>
      <c r="H269" s="11">
        <v>0.37</v>
      </c>
      <c r="I269" s="11">
        <f>Tabelle1[[#This Row],[TS]]-Tabelle1[[#This Row],[Rohprotein '[g/100g']]]-Tabelle1[[#This Row],[Rohfett '[g/100g']]]-Tabelle1[[#This Row],[Rohasche '[g/100g']]]-Tabelle1[[#This Row],[Rohfaser '[g/100g']]]</f>
        <v>18.077999999999999</v>
      </c>
      <c r="J269" s="11">
        <v>0</v>
      </c>
      <c r="K269" s="11">
        <v>1.95</v>
      </c>
      <c r="L269" s="11">
        <v>77.009</v>
      </c>
      <c r="M269" s="11">
        <f>100-Tabelle1[[#This Row],[Wasser '[g/100g']]]</f>
        <v>22.991</v>
      </c>
      <c r="N269" s="11">
        <v>58.5</v>
      </c>
      <c r="O269" s="11">
        <v>69.099999999999994</v>
      </c>
      <c r="P269" s="11">
        <v>31.3</v>
      </c>
      <c r="Q269" s="11">
        <v>13</v>
      </c>
      <c r="R269" s="11">
        <v>754</v>
      </c>
      <c r="S269" s="11"/>
      <c r="T269" s="11">
        <v>0.90400000000000003</v>
      </c>
      <c r="U269" s="11">
        <v>0.52</v>
      </c>
      <c r="V269" s="11">
        <v>0</v>
      </c>
      <c r="W269" s="11">
        <v>86.1</v>
      </c>
      <c r="X269" s="11">
        <v>91.5</v>
      </c>
      <c r="Y269" s="11">
        <v>2.5</v>
      </c>
      <c r="Z269" s="11"/>
      <c r="AA269" s="11">
        <v>0</v>
      </c>
      <c r="AB269" s="11">
        <v>1.8520000000000001</v>
      </c>
      <c r="AC269" s="11">
        <v>889</v>
      </c>
      <c r="AD269" s="11">
        <v>0.15</v>
      </c>
      <c r="AE269" s="11">
        <v>0.106</v>
      </c>
      <c r="AF269" s="11">
        <v>2.8149999999999999</v>
      </c>
      <c r="AG269" s="11">
        <v>183</v>
      </c>
      <c r="AH269" s="11">
        <v>0</v>
      </c>
      <c r="AI269" s="11">
        <v>20.741</v>
      </c>
      <c r="AJ269" s="11">
        <v>7</v>
      </c>
      <c r="AK269" s="11">
        <v>73</v>
      </c>
      <c r="AL269" s="11">
        <v>0.7</v>
      </c>
      <c r="AM269" s="11">
        <v>0</v>
      </c>
      <c r="AN269" s="11">
        <v>0.113</v>
      </c>
      <c r="AO269" s="11">
        <v>0</v>
      </c>
      <c r="AP269" s="11">
        <v>0</v>
      </c>
      <c r="AQ269" s="11">
        <v>6.7000000000000004E-2</v>
      </c>
      <c r="AR269" s="11">
        <v>6.7000000000000004E-2</v>
      </c>
      <c r="AS269" s="11">
        <v>8.8999999999999996E-2</v>
      </c>
      <c r="AT269" s="11">
        <v>6.0000000000000001E-3</v>
      </c>
      <c r="AU269" s="11">
        <v>4.5999999999999999E-2</v>
      </c>
      <c r="AV269" s="11">
        <v>9.2999999999999999E-2</v>
      </c>
      <c r="AW269" s="11">
        <v>3.6999999999999998E-2</v>
      </c>
      <c r="AX269" s="9">
        <f>Tabelle1[[#This Row],[Vitamin D3 '[µg/100g']]]*40</f>
        <v>0</v>
      </c>
      <c r="AY269" s="9">
        <f>Tabelle1[[#This Row],[Vitamin A '[µg/100g']]]*3.33</f>
        <v>2960.37</v>
      </c>
      <c r="AZ269" s="9">
        <f>Tabelle1[[#This Row],[Vitamin E '[mg/100g']]]*1.49</f>
        <v>2.7594799999999999</v>
      </c>
    </row>
    <row r="270" spans="1:52" hidden="1" x14ac:dyDescent="0.45">
      <c r="A270" t="s">
        <v>877</v>
      </c>
      <c r="B270" s="3" t="s">
        <v>821</v>
      </c>
      <c r="C270" s="4" t="s">
        <v>822</v>
      </c>
      <c r="D270" s="11">
        <v>33</v>
      </c>
      <c r="E270" s="11">
        <f>Tabelle1[[#This Row],[Energie '[kcal/100g']]]/239</f>
        <v>0.13807531380753138</v>
      </c>
      <c r="F270" s="11">
        <v>1.522</v>
      </c>
      <c r="G270" s="11">
        <f>Tabelle1[[#This Row],[Rohprotein '[g/100g']]]*0.85</f>
        <v>1.2937000000000001</v>
      </c>
      <c r="H270" s="11">
        <v>0.217</v>
      </c>
      <c r="I270" s="11">
        <f>Tabelle1[[#This Row],[TS]]-Tabelle1[[#This Row],[Rohprotein '[g/100g']]]-Tabelle1[[#This Row],[Rohfett '[g/100g']]]-Tabelle1[[#This Row],[Rohasche '[g/100g']]]-Tabelle1[[#This Row],[Rohfaser '[g/100g']]]</f>
        <v>13.429999999999993</v>
      </c>
      <c r="J270" s="11">
        <v>0</v>
      </c>
      <c r="K270" s="11">
        <v>1.145</v>
      </c>
      <c r="L270" s="11">
        <v>83.686000000000007</v>
      </c>
      <c r="M270" s="11">
        <f>100-Tabelle1[[#This Row],[Wasser '[g/100g']]]</f>
        <v>16.313999999999993</v>
      </c>
      <c r="N270" s="11">
        <v>34.299999999999997</v>
      </c>
      <c r="O270" s="11">
        <v>40.5</v>
      </c>
      <c r="P270" s="11">
        <v>18.399999999999999</v>
      </c>
      <c r="Q270" s="11">
        <v>8</v>
      </c>
      <c r="R270" s="11">
        <v>442</v>
      </c>
      <c r="S270" s="11"/>
      <c r="T270" s="11">
        <v>0.53</v>
      </c>
      <c r="U270" s="11">
        <v>0.3</v>
      </c>
      <c r="V270" s="11">
        <v>0</v>
      </c>
      <c r="W270" s="11">
        <v>50.5</v>
      </c>
      <c r="X270" s="11">
        <v>53.7</v>
      </c>
      <c r="Y270" s="11">
        <v>1.4</v>
      </c>
      <c r="Z270" s="11"/>
      <c r="AA270" s="11">
        <v>0</v>
      </c>
      <c r="AB270" s="11">
        <v>1.087</v>
      </c>
      <c r="AC270" s="11">
        <v>522</v>
      </c>
      <c r="AD270" s="11">
        <v>8.7999999999999995E-2</v>
      </c>
      <c r="AE270" s="11">
        <v>6.2E-2</v>
      </c>
      <c r="AF270" s="11">
        <v>1.6519999999999999</v>
      </c>
      <c r="AG270" s="11">
        <v>108</v>
      </c>
      <c r="AH270" s="11">
        <v>0</v>
      </c>
      <c r="AI270" s="11">
        <v>12.173999999999999</v>
      </c>
      <c r="AJ270" s="11">
        <v>4</v>
      </c>
      <c r="AK270" s="11">
        <v>43</v>
      </c>
      <c r="AL270" s="11">
        <v>0.4</v>
      </c>
      <c r="AM270" s="11">
        <v>0</v>
      </c>
      <c r="AN270" s="11">
        <v>6.6000000000000003E-2</v>
      </c>
      <c r="AO270" s="11">
        <v>0</v>
      </c>
      <c r="AP270" s="11">
        <v>0</v>
      </c>
      <c r="AQ270" s="11">
        <v>3.9E-2</v>
      </c>
      <c r="AR270" s="11">
        <v>3.9E-2</v>
      </c>
      <c r="AS270" s="11">
        <v>5.1999999999999998E-2</v>
      </c>
      <c r="AT270" s="11">
        <v>3.0000000000000001E-3</v>
      </c>
      <c r="AU270" s="11">
        <v>2.7E-2</v>
      </c>
      <c r="AV270" s="11">
        <v>5.3999999999999999E-2</v>
      </c>
      <c r="AW270" s="11">
        <v>2.1999999999999999E-2</v>
      </c>
      <c r="AX270" s="9">
        <f>Tabelle1[[#This Row],[Vitamin D3 '[µg/100g']]]*40</f>
        <v>0</v>
      </c>
      <c r="AY270" s="9">
        <f>Tabelle1[[#This Row],[Vitamin A '[µg/100g']]]*3.33</f>
        <v>1738.26</v>
      </c>
      <c r="AZ270" s="9">
        <f>Tabelle1[[#This Row],[Vitamin E '[mg/100g']]]*1.49</f>
        <v>1.6196299999999999</v>
      </c>
    </row>
    <row r="271" spans="1:52" hidden="1" x14ac:dyDescent="0.45">
      <c r="A271" t="s">
        <v>877</v>
      </c>
      <c r="B271" s="3" t="s">
        <v>823</v>
      </c>
      <c r="C271" s="4" t="s">
        <v>824</v>
      </c>
      <c r="D271" s="11">
        <v>30</v>
      </c>
      <c r="E271" s="11">
        <f>Tabelle1[[#This Row],[Energie '[kcal/100g']]]/239</f>
        <v>0.12552301255230125</v>
      </c>
      <c r="F271" s="11">
        <v>1.4</v>
      </c>
      <c r="G271" s="11">
        <f>Tabelle1[[#This Row],[Rohprotein '[g/100g']]]*0.85</f>
        <v>1.19</v>
      </c>
      <c r="H271" s="11">
        <v>0.2</v>
      </c>
      <c r="I271" s="11">
        <f>Tabelle1[[#This Row],[TS]]-Tabelle1[[#This Row],[Rohprotein '[g/100g']]]-Tabelle1[[#This Row],[Rohfett '[g/100g']]]-Tabelle1[[#This Row],[Rohasche '[g/100g']]]-Tabelle1[[#This Row],[Rohfaser '[g/100g']]]</f>
        <v>12.927999999999997</v>
      </c>
      <c r="J271" s="11">
        <v>0</v>
      </c>
      <c r="K271" s="11">
        <v>0.76</v>
      </c>
      <c r="L271" s="11">
        <v>84.712000000000003</v>
      </c>
      <c r="M271" s="11">
        <f>100-Tabelle1[[#This Row],[Wasser '[g/100g']]]</f>
        <v>15.287999999999997</v>
      </c>
      <c r="N271" s="11">
        <v>33.4</v>
      </c>
      <c r="O271" s="11">
        <v>37.299999999999997</v>
      </c>
      <c r="P271" s="11">
        <v>11.3</v>
      </c>
      <c r="Q271" s="11">
        <v>6</v>
      </c>
      <c r="R271" s="11">
        <v>226</v>
      </c>
      <c r="S271" s="11"/>
      <c r="T271" s="11">
        <v>0.40699999999999997</v>
      </c>
      <c r="U271" s="11">
        <v>0.23</v>
      </c>
      <c r="V271" s="11">
        <v>0</v>
      </c>
      <c r="W271" s="11">
        <v>49.1</v>
      </c>
      <c r="X271" s="11">
        <v>49.4</v>
      </c>
      <c r="Y271" s="11">
        <v>1.3</v>
      </c>
      <c r="Z271" s="11"/>
      <c r="AA271" s="11">
        <v>0</v>
      </c>
      <c r="AB271" s="11">
        <v>1.111</v>
      </c>
      <c r="AC271" s="11">
        <v>99</v>
      </c>
      <c r="AD271" s="11">
        <v>6.5000000000000002E-2</v>
      </c>
      <c r="AE271" s="11">
        <v>4.2999999999999997E-2</v>
      </c>
      <c r="AF271" s="11">
        <v>1.1559999999999999</v>
      </c>
      <c r="AG271" s="11">
        <v>79</v>
      </c>
      <c r="AH271" s="11">
        <v>0</v>
      </c>
      <c r="AI271" s="11">
        <v>10.111000000000001</v>
      </c>
      <c r="AJ271" s="11">
        <v>4</v>
      </c>
      <c r="AK271" s="11">
        <v>13</v>
      </c>
      <c r="AL271" s="11">
        <v>0.3</v>
      </c>
      <c r="AM271" s="11">
        <v>0</v>
      </c>
      <c r="AN271" s="11">
        <v>6.0999999999999999E-2</v>
      </c>
      <c r="AO271" s="11">
        <v>0</v>
      </c>
      <c r="AP271" s="11">
        <v>0</v>
      </c>
      <c r="AQ271" s="11">
        <v>3.5999999999999997E-2</v>
      </c>
      <c r="AR271" s="11">
        <v>3.5999999999999997E-2</v>
      </c>
      <c r="AS271" s="11">
        <v>4.8000000000000001E-2</v>
      </c>
      <c r="AT271" s="11">
        <v>3.0000000000000001E-3</v>
      </c>
      <c r="AU271" s="11">
        <v>2.5000000000000001E-2</v>
      </c>
      <c r="AV271" s="11">
        <v>0.05</v>
      </c>
      <c r="AW271" s="11">
        <v>0.02</v>
      </c>
      <c r="AX271" s="9">
        <f>Tabelle1[[#This Row],[Vitamin D3 '[µg/100g']]]*40</f>
        <v>0</v>
      </c>
      <c r="AY271" s="9">
        <f>Tabelle1[[#This Row],[Vitamin A '[µg/100g']]]*3.33</f>
        <v>329.67</v>
      </c>
      <c r="AZ271" s="9">
        <f>Tabelle1[[#This Row],[Vitamin E '[mg/100g']]]*1.49</f>
        <v>1.6553899999999999</v>
      </c>
    </row>
    <row r="272" spans="1:52" hidden="1" x14ac:dyDescent="0.45">
      <c r="A272" t="s">
        <v>877</v>
      </c>
      <c r="B272" s="3" t="s">
        <v>825</v>
      </c>
      <c r="C272" s="4" t="s">
        <v>826</v>
      </c>
      <c r="D272" s="11">
        <v>33</v>
      </c>
      <c r="E272" s="11">
        <f>Tabelle1[[#This Row],[Energie '[kcal/100g']]]/239</f>
        <v>0.13807531380753138</v>
      </c>
      <c r="F272" s="11">
        <v>1.5229999999999999</v>
      </c>
      <c r="G272" s="11">
        <f>Tabelle1[[#This Row],[Rohprotein '[g/100g']]]*0.85</f>
        <v>1.2945499999999999</v>
      </c>
      <c r="H272" s="11">
        <v>0.218</v>
      </c>
      <c r="I272" s="11">
        <f>Tabelle1[[#This Row],[TS]]-Tabelle1[[#This Row],[Rohprotein '[g/100g']]]-Tabelle1[[#This Row],[Rohfett '[g/100g']]]-Tabelle1[[#This Row],[Rohasche '[g/100g']]]-Tabelle1[[#This Row],[Rohfaser '[g/100g']]]</f>
        <v>13.501000000000001</v>
      </c>
      <c r="J272" s="11">
        <v>0</v>
      </c>
      <c r="K272" s="11">
        <v>1.157</v>
      </c>
      <c r="L272" s="11">
        <v>83.600999999999999</v>
      </c>
      <c r="M272" s="11">
        <f>100-Tabelle1[[#This Row],[Wasser '[g/100g']]]</f>
        <v>16.399000000000001</v>
      </c>
      <c r="N272" s="11">
        <v>34.4</v>
      </c>
      <c r="O272" s="11">
        <v>41</v>
      </c>
      <c r="P272" s="11">
        <v>18.600000000000001</v>
      </c>
      <c r="Q272" s="11">
        <v>8</v>
      </c>
      <c r="R272" s="11">
        <v>443</v>
      </c>
      <c r="S272" s="11"/>
      <c r="T272" s="11">
        <v>0.53600000000000003</v>
      </c>
      <c r="U272" s="11">
        <v>0.3</v>
      </c>
      <c r="V272" s="11">
        <v>0</v>
      </c>
      <c r="W272" s="11">
        <v>51.1</v>
      </c>
      <c r="X272" s="11">
        <v>54.3</v>
      </c>
      <c r="Y272" s="11">
        <v>1.5</v>
      </c>
      <c r="Z272" s="11"/>
      <c r="AA272" s="11">
        <v>0</v>
      </c>
      <c r="AB272" s="11">
        <v>1.099</v>
      </c>
      <c r="AC272" s="11">
        <v>504</v>
      </c>
      <c r="AD272" s="11">
        <v>7.5999999999999998E-2</v>
      </c>
      <c r="AE272" s="11">
        <v>6.5000000000000002E-2</v>
      </c>
      <c r="AF272" s="11">
        <v>1.53</v>
      </c>
      <c r="AG272" s="11">
        <v>94</v>
      </c>
      <c r="AH272" s="11">
        <v>0</v>
      </c>
      <c r="AI272" s="11">
        <v>12.308</v>
      </c>
      <c r="AJ272" s="11">
        <v>4</v>
      </c>
      <c r="AK272" s="11">
        <v>46</v>
      </c>
      <c r="AL272" s="11">
        <v>0.4</v>
      </c>
      <c r="AM272" s="11">
        <v>0</v>
      </c>
      <c r="AN272" s="11">
        <v>6.6000000000000003E-2</v>
      </c>
      <c r="AO272" s="11">
        <v>0</v>
      </c>
      <c r="AP272" s="11">
        <v>0</v>
      </c>
      <c r="AQ272" s="11">
        <v>3.9E-2</v>
      </c>
      <c r="AR272" s="11">
        <v>3.9E-2</v>
      </c>
      <c r="AS272" s="11">
        <v>5.1999999999999998E-2</v>
      </c>
      <c r="AT272" s="11">
        <v>3.0000000000000001E-3</v>
      </c>
      <c r="AU272" s="11">
        <v>2.7E-2</v>
      </c>
      <c r="AV272" s="11">
        <v>5.3999999999999999E-2</v>
      </c>
      <c r="AW272" s="11">
        <v>2.1999999999999999E-2</v>
      </c>
      <c r="AX272" s="9">
        <f>Tabelle1[[#This Row],[Vitamin D3 '[µg/100g']]]*40</f>
        <v>0</v>
      </c>
      <c r="AY272" s="9">
        <f>Tabelle1[[#This Row],[Vitamin A '[µg/100g']]]*3.33</f>
        <v>1678.32</v>
      </c>
      <c r="AZ272" s="9">
        <f>Tabelle1[[#This Row],[Vitamin E '[mg/100g']]]*1.49</f>
        <v>1.63751</v>
      </c>
    </row>
    <row r="273" spans="1:52" hidden="1" x14ac:dyDescent="0.45">
      <c r="A273" t="s">
        <v>877</v>
      </c>
      <c r="B273" s="5" t="s">
        <v>827</v>
      </c>
      <c r="C273" s="6" t="s">
        <v>828</v>
      </c>
      <c r="D273" s="13">
        <v>30</v>
      </c>
      <c r="E273" s="11">
        <f>Tabelle1[[#This Row],[Energie '[kcal/100g']]]/239</f>
        <v>0.12552301255230125</v>
      </c>
      <c r="F273" s="13">
        <v>1.4</v>
      </c>
      <c r="G273" s="11">
        <f>Tabelle1[[#This Row],[Rohprotein '[g/100g']]]*0.85</f>
        <v>1.19</v>
      </c>
      <c r="H273" s="13">
        <v>0.2</v>
      </c>
      <c r="I273" s="11">
        <f>Tabelle1[[#This Row],[TS]]-Tabelle1[[#This Row],[Rohprotein '[g/100g']]]-Tabelle1[[#This Row],[Rohfett '[g/100g']]]-Tabelle1[[#This Row],[Rohasche '[g/100g']]]-Tabelle1[[#This Row],[Rohfaser '[g/100g']]]</f>
        <v>12.901000000000003</v>
      </c>
      <c r="J273" s="11">
        <v>0</v>
      </c>
      <c r="K273" s="13">
        <v>1.0529999999999999</v>
      </c>
      <c r="L273" s="13">
        <v>84.445999999999998</v>
      </c>
      <c r="M273" s="13">
        <f>100-Tabelle1[[#This Row],[Wasser '[g/100g']]]</f>
        <v>15.554000000000002</v>
      </c>
      <c r="N273" s="13">
        <v>31.6</v>
      </c>
      <c r="O273" s="13">
        <v>37.299999999999997</v>
      </c>
      <c r="P273" s="13">
        <v>16.899999999999999</v>
      </c>
      <c r="Q273" s="13">
        <v>7</v>
      </c>
      <c r="R273" s="13">
        <v>407</v>
      </c>
      <c r="S273" s="13"/>
      <c r="T273" s="13">
        <v>0.48799999999999999</v>
      </c>
      <c r="U273" s="13">
        <v>0.28000000000000003</v>
      </c>
      <c r="V273" s="11">
        <v>0</v>
      </c>
      <c r="W273" s="13">
        <v>46.5</v>
      </c>
      <c r="X273" s="13">
        <v>49.4</v>
      </c>
      <c r="Y273" s="13">
        <v>1.4</v>
      </c>
      <c r="Z273" s="13"/>
      <c r="AA273" s="13">
        <v>0</v>
      </c>
      <c r="AB273" s="13">
        <v>1</v>
      </c>
      <c r="AC273" s="13">
        <v>533</v>
      </c>
      <c r="AD273" s="13">
        <v>0.09</v>
      </c>
      <c r="AE273" s="13">
        <v>0.06</v>
      </c>
      <c r="AF273" s="13">
        <v>1.6</v>
      </c>
      <c r="AG273" s="13">
        <v>110</v>
      </c>
      <c r="AH273" s="13">
        <v>0</v>
      </c>
      <c r="AI273" s="13">
        <v>14</v>
      </c>
      <c r="AJ273" s="13">
        <v>4</v>
      </c>
      <c r="AK273" s="13">
        <v>56</v>
      </c>
      <c r="AL273" s="13">
        <v>0.4</v>
      </c>
      <c r="AM273" s="13">
        <v>0</v>
      </c>
      <c r="AN273" s="13">
        <v>6.0999999999999999E-2</v>
      </c>
      <c r="AO273" s="13">
        <v>0</v>
      </c>
      <c r="AP273" s="13">
        <v>0</v>
      </c>
      <c r="AQ273" s="13">
        <v>3.5999999999999997E-2</v>
      </c>
      <c r="AR273" s="13">
        <v>3.5999999999999997E-2</v>
      </c>
      <c r="AS273" s="13">
        <v>4.8000000000000001E-2</v>
      </c>
      <c r="AT273" s="13">
        <v>3.0000000000000001E-3</v>
      </c>
      <c r="AU273" s="13">
        <v>2.5000000000000001E-2</v>
      </c>
      <c r="AV273" s="13">
        <v>0.05</v>
      </c>
      <c r="AW273" s="13">
        <v>0.02</v>
      </c>
      <c r="AX273" s="9">
        <f>Tabelle1[[#This Row],[Vitamin D3 '[µg/100g']]]*40</f>
        <v>0</v>
      </c>
      <c r="AY273" s="9">
        <f>Tabelle1[[#This Row],[Vitamin A '[µg/100g']]]*3.33</f>
        <v>1774.89</v>
      </c>
      <c r="AZ273" s="9">
        <f>Tabelle1[[#This Row],[Vitamin E '[mg/100g']]]*1.49</f>
        <v>1.49</v>
      </c>
    </row>
    <row r="274" spans="1:52" hidden="1" x14ac:dyDescent="0.45">
      <c r="A274" t="s">
        <v>934</v>
      </c>
      <c r="B274" s="3" t="s">
        <v>918</v>
      </c>
      <c r="C274" s="4" t="s">
        <v>1162</v>
      </c>
      <c r="D274" s="11">
        <v>588</v>
      </c>
      <c r="E274" s="11">
        <f>Tabelle1[[#This Row],[Energie '[kcal/100g']]]/239</f>
        <v>2.4602510460251046</v>
      </c>
      <c r="F274" s="11">
        <v>35.49</v>
      </c>
      <c r="G274" s="11">
        <f>Tabelle1[[#This Row],[Rohprotein '[g/100g']]]*0.85</f>
        <v>30.166499999999999</v>
      </c>
      <c r="H274" s="11">
        <v>46.34</v>
      </c>
      <c r="I274" s="11">
        <f>Tabelle1[[#This Row],[TS]]-Tabelle1[[#This Row],[Rohprotein '[g/100g']]]-Tabelle1[[#This Row],[Rohfett '[g/100g']]]-Tabelle1[[#This Row],[Rohasche '[g/100g']]]-Tabelle1[[#This Row],[Rohfaser '[g/100g']]]</f>
        <v>8.3999999999999897</v>
      </c>
      <c r="J274" s="11">
        <v>0</v>
      </c>
      <c r="K274" s="11">
        <v>4.4000000000000004</v>
      </c>
      <c r="L274" s="11">
        <v>5.37</v>
      </c>
      <c r="M274" s="11">
        <f>100-Tabelle1[[#This Row],[Wasser '[g/100g']]]</f>
        <v>94.63</v>
      </c>
      <c r="N274" s="11">
        <v>9.9429999999999996</v>
      </c>
      <c r="O274" s="11">
        <v>515.81399999999996</v>
      </c>
      <c r="P274" s="11">
        <v>284.82299999999998</v>
      </c>
      <c r="Q274" s="11">
        <v>27.7</v>
      </c>
      <c r="R274" s="11">
        <v>570.00300000000004</v>
      </c>
      <c r="S274" s="11"/>
      <c r="T274" s="11">
        <v>4.8916950000000003</v>
      </c>
      <c r="U274" s="11">
        <v>6.1503909999999999</v>
      </c>
      <c r="V274" s="11">
        <v>0</v>
      </c>
      <c r="W274" s="11">
        <v>832.85599999999999</v>
      </c>
      <c r="X274" s="11">
        <v>4040</v>
      </c>
      <c r="Y274" s="11">
        <v>2.74</v>
      </c>
      <c r="Z274" s="11"/>
      <c r="AA274" s="11">
        <v>0</v>
      </c>
      <c r="AB274" s="11">
        <v>2.1800000000000002</v>
      </c>
      <c r="AC274" s="11">
        <v>20</v>
      </c>
      <c r="AD274" s="11">
        <v>0.58560000000000001</v>
      </c>
      <c r="AE274" s="11">
        <v>4.1799999999999997E-2</v>
      </c>
      <c r="AF274" s="11">
        <v>0</v>
      </c>
      <c r="AG274" s="11">
        <v>92.2</v>
      </c>
      <c r="AH274" s="11">
        <v>0</v>
      </c>
      <c r="AI274" s="11">
        <v>0</v>
      </c>
      <c r="AJ274" s="11">
        <v>2.31</v>
      </c>
      <c r="AK274" s="11" t="s">
        <v>47</v>
      </c>
      <c r="AL274" s="11">
        <v>13.5</v>
      </c>
      <c r="AM274" s="11">
        <v>0</v>
      </c>
      <c r="AN274" s="11">
        <v>0.222</v>
      </c>
      <c r="AO274" s="11">
        <v>0</v>
      </c>
      <c r="AP274" s="11">
        <v>0</v>
      </c>
      <c r="AQ274" s="11">
        <v>22.79</v>
      </c>
      <c r="AR274" s="11">
        <v>22.79</v>
      </c>
      <c r="AS274" s="11">
        <v>3.2469999999999999</v>
      </c>
      <c r="AT274" s="11">
        <v>0.61</v>
      </c>
      <c r="AU274" s="11">
        <v>0.91200000000000003</v>
      </c>
      <c r="AV274" s="11">
        <v>1.306</v>
      </c>
      <c r="AW274" s="11">
        <v>0.749</v>
      </c>
      <c r="AX274" s="9">
        <f>Tabelle1[[#This Row],[Vitamin D3 '[µg/100g']]]*40</f>
        <v>0</v>
      </c>
      <c r="AY274" s="9">
        <f>Tabelle1[[#This Row],[Vitamin A '[µg/100g']]]*3.33</f>
        <v>66.599999999999994</v>
      </c>
      <c r="AZ274" s="9">
        <f>Tabelle1[[#This Row],[Vitamin E '[mg/100g']]]*1.49</f>
        <v>3.2482000000000002</v>
      </c>
    </row>
    <row r="275" spans="1:52" hidden="1" x14ac:dyDescent="0.45">
      <c r="A275" t="s">
        <v>972</v>
      </c>
      <c r="B275" s="3" t="s">
        <v>935</v>
      </c>
      <c r="C275" s="4" t="s">
        <v>936</v>
      </c>
      <c r="D275" s="11">
        <v>900</v>
      </c>
      <c r="E275" s="11">
        <f>Tabelle1[[#This Row],[Energie '[kcal/100g']]]/239</f>
        <v>3.7656903765690375</v>
      </c>
      <c r="F275" s="11">
        <v>0</v>
      </c>
      <c r="G275" s="11">
        <f>Tabelle1[[#This Row],[Rohprotein '[g/100g']]]*0.85</f>
        <v>0</v>
      </c>
      <c r="H275" s="11">
        <v>100</v>
      </c>
      <c r="I275" s="11">
        <f>Tabelle1[[#This Row],[TS]]-Tabelle1[[#This Row],[Rohprotein '[g/100g']]]-Tabelle1[[#This Row],[Rohfett '[g/100g']]]-Tabelle1[[#This Row],[Rohasche '[g/100g']]]-Tabelle1[[#This Row],[Rohfaser '[g/100g']]]</f>
        <v>0</v>
      </c>
      <c r="J275" s="11">
        <v>0</v>
      </c>
      <c r="K275" s="11">
        <v>0</v>
      </c>
      <c r="L275" s="11">
        <v>0</v>
      </c>
      <c r="M275" s="11">
        <f>100-Tabelle1[[#This Row],[Wasser '[g/100g']]]</f>
        <v>100</v>
      </c>
      <c r="N275" s="11">
        <v>0.83009999999999995</v>
      </c>
      <c r="O275" s="11"/>
      <c r="P275" s="11">
        <v>2.0964999999999998</v>
      </c>
      <c r="Q275" s="11">
        <v>0.44319999999999998</v>
      </c>
      <c r="R275" s="11">
        <v>1.5438000000000001</v>
      </c>
      <c r="S275" s="11"/>
      <c r="T275" s="11">
        <v>0.1522</v>
      </c>
      <c r="U275" s="11">
        <v>5.2500000000000003E-3</v>
      </c>
      <c r="V275" s="11">
        <v>0</v>
      </c>
      <c r="W275" s="11">
        <v>41</v>
      </c>
      <c r="X275" s="11">
        <v>11</v>
      </c>
      <c r="Y275" s="11">
        <v>0</v>
      </c>
      <c r="Z275" s="11"/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  <c r="AJ275" s="11">
        <v>112</v>
      </c>
      <c r="AK275" s="11">
        <v>0</v>
      </c>
      <c r="AL275" s="11">
        <v>0</v>
      </c>
      <c r="AM275" s="11">
        <v>0</v>
      </c>
      <c r="AN275" s="11">
        <v>0.48</v>
      </c>
      <c r="AO275" s="11">
        <v>0</v>
      </c>
      <c r="AP275" s="11">
        <v>0</v>
      </c>
      <c r="AQ275" s="11">
        <v>49.18</v>
      </c>
      <c r="AR275" s="11">
        <v>49.18</v>
      </c>
      <c r="AS275" s="11">
        <v>0</v>
      </c>
      <c r="AT275" s="11">
        <v>0</v>
      </c>
      <c r="AU275" s="11">
        <v>0</v>
      </c>
      <c r="AV275" s="11">
        <v>0</v>
      </c>
      <c r="AW275" s="11">
        <v>0</v>
      </c>
      <c r="AX275" s="9">
        <f>Tabelle1[[#This Row],[Vitamin D3 '[µg/100g']]]*40</f>
        <v>0</v>
      </c>
      <c r="AY275" s="9">
        <f>Tabelle1[[#This Row],[Vitamin A '[µg/100g']]]*3.33</f>
        <v>0</v>
      </c>
      <c r="AZ275" s="9">
        <f>Tabelle1[[#This Row],[Vitamin E '[mg/100g']]]*1.49</f>
        <v>0</v>
      </c>
    </row>
    <row r="276" spans="1:52" hidden="1" x14ac:dyDescent="0.45">
      <c r="A276" t="s">
        <v>972</v>
      </c>
      <c r="B276" s="5" t="s">
        <v>964</v>
      </c>
      <c r="C276" s="6" t="s">
        <v>965</v>
      </c>
      <c r="D276" s="13">
        <v>637</v>
      </c>
      <c r="E276" s="11">
        <f>Tabelle1[[#This Row],[Energie '[kcal/100g']]]/239</f>
        <v>2.6652719665271967</v>
      </c>
      <c r="F276" s="13">
        <v>5.49</v>
      </c>
      <c r="G276" s="11">
        <f>Tabelle1[[#This Row],[Rohprotein '[g/100g']]]*0.85</f>
        <v>4.6665000000000001</v>
      </c>
      <c r="H276" s="13">
        <v>68.3</v>
      </c>
      <c r="I276" s="11">
        <f>Tabelle1[[#This Row],[TS]]-Tabelle1[[#This Row],[Rohprotein '[g/100g']]]-Tabelle1[[#This Row],[Rohfett '[g/100g']]]-Tabelle1[[#This Row],[Rohasche '[g/100g']]]-Tabelle1[[#This Row],[Rohfaser '[g/100g']]]</f>
        <v>-2.9999999999989202E-2</v>
      </c>
      <c r="J276" s="11">
        <v>0</v>
      </c>
      <c r="K276" s="13">
        <v>0.44</v>
      </c>
      <c r="L276" s="13">
        <v>25.8</v>
      </c>
      <c r="M276" s="13">
        <f>100-Tabelle1[[#This Row],[Wasser '[g/100g']]]</f>
        <v>74.2</v>
      </c>
      <c r="N276" s="13">
        <v>5</v>
      </c>
      <c r="O276" s="13">
        <v>61</v>
      </c>
      <c r="P276" s="13">
        <v>6</v>
      </c>
      <c r="Q276" s="13">
        <v>34</v>
      </c>
      <c r="R276" s="13">
        <v>119</v>
      </c>
      <c r="S276" s="13"/>
      <c r="T276" s="13">
        <v>0.72</v>
      </c>
      <c r="U276" s="13">
        <v>0.87</v>
      </c>
      <c r="V276" s="11">
        <v>0</v>
      </c>
      <c r="W276" s="13">
        <v>23</v>
      </c>
      <c r="X276" s="13">
        <v>2</v>
      </c>
      <c r="Y276" s="11">
        <v>0</v>
      </c>
      <c r="Z276" s="11"/>
      <c r="AA276" s="13">
        <v>0.3</v>
      </c>
      <c r="AB276" s="13">
        <v>0.84</v>
      </c>
      <c r="AC276" s="13">
        <v>46</v>
      </c>
      <c r="AD276" s="13">
        <v>9.4E-2</v>
      </c>
      <c r="AE276" s="13">
        <v>3.4000000000000002E-2</v>
      </c>
      <c r="AF276" s="13">
        <v>1.1299999999999999</v>
      </c>
      <c r="AG276" s="13">
        <v>52</v>
      </c>
      <c r="AH276" s="13">
        <v>0.45</v>
      </c>
      <c r="AI276" s="13">
        <v>0</v>
      </c>
      <c r="AJ276" s="13">
        <v>1.21</v>
      </c>
      <c r="AK276" s="13">
        <v>0.43</v>
      </c>
      <c r="AL276" s="13">
        <v>0.37</v>
      </c>
      <c r="AM276" s="13">
        <v>0</v>
      </c>
      <c r="AN276" s="13">
        <v>0.69699999999999995</v>
      </c>
      <c r="AO276" s="13">
        <v>0</v>
      </c>
      <c r="AP276" s="13">
        <v>0</v>
      </c>
      <c r="AQ276" s="13">
        <v>0.54</v>
      </c>
      <c r="AR276" s="13">
        <v>0.54</v>
      </c>
      <c r="AS276" s="13">
        <v>0.37</v>
      </c>
      <c r="AT276" s="13">
        <v>7.1999999999999995E-2</v>
      </c>
      <c r="AU276" s="13">
        <v>0.11600000000000001</v>
      </c>
      <c r="AV276" s="13">
        <v>0.47899999999999998</v>
      </c>
      <c r="AW276" s="13">
        <v>0.17899999999999999</v>
      </c>
      <c r="AX276" s="9">
        <f>Tabelle1[[#This Row],[Vitamin D3 '[µg/100g']]]*40</f>
        <v>12</v>
      </c>
      <c r="AY276" s="9">
        <f>Tabelle1[[#This Row],[Vitamin A '[µg/100g']]]*3.33</f>
        <v>153.18</v>
      </c>
      <c r="AZ276" s="9">
        <f>Tabelle1[[#This Row],[Vitamin E '[mg/100g']]]*1.49</f>
        <v>1.2516</v>
      </c>
    </row>
    <row r="277" spans="1:52" hidden="1" x14ac:dyDescent="0.45">
      <c r="A277" t="s">
        <v>1151</v>
      </c>
      <c r="B277" s="5" t="s">
        <v>1077</v>
      </c>
      <c r="C277" s="6" t="s">
        <v>1078</v>
      </c>
      <c r="D277" s="13">
        <v>178</v>
      </c>
      <c r="E277" s="11">
        <f>Tabelle1[[#This Row],[Energie '[kcal/100g']]]/239</f>
        <v>0.74476987447698739</v>
      </c>
      <c r="F277" s="13">
        <v>25.7</v>
      </c>
      <c r="G277" s="11">
        <f>Tabelle1[[#This Row],[Rohprotein '[g/100g']]]*0.85</f>
        <v>21.844999999999999</v>
      </c>
      <c r="H277" s="13">
        <v>8.4</v>
      </c>
      <c r="I277" s="11">
        <f>Tabelle1[[#This Row],[TS]]-Tabelle1[[#This Row],[Rohprotein '[g/100g']]]-Tabelle1[[#This Row],[Rohfett '[g/100g']]]-Tabelle1[[#This Row],[Rohasche '[g/100g']]]-Tabelle1[[#This Row],[Rohfaser '[g/100g']]]</f>
        <v>-2.2800000000000025</v>
      </c>
      <c r="J277" s="11">
        <v>0</v>
      </c>
      <c r="K277" s="13">
        <v>1.48</v>
      </c>
      <c r="L277" s="13">
        <v>66.7</v>
      </c>
      <c r="M277" s="13">
        <f>100-Tabelle1[[#This Row],[Wasser '[g/100g']]]</f>
        <v>33.299999999999997</v>
      </c>
      <c r="N277" s="13">
        <v>8</v>
      </c>
      <c r="O277" s="13">
        <v>271</v>
      </c>
      <c r="P277" s="13">
        <v>26</v>
      </c>
      <c r="Q277" s="13">
        <v>153</v>
      </c>
      <c r="R277" s="13">
        <v>342</v>
      </c>
      <c r="S277" s="13"/>
      <c r="T277" s="13">
        <v>5</v>
      </c>
      <c r="U277" s="13">
        <v>3</v>
      </c>
      <c r="V277" s="11">
        <v>0</v>
      </c>
      <c r="W277" s="13">
        <v>690</v>
      </c>
      <c r="X277" s="13">
        <v>30</v>
      </c>
      <c r="Y277" s="13">
        <v>1.3</v>
      </c>
      <c r="Z277" s="13"/>
      <c r="AA277" s="13">
        <v>0</v>
      </c>
      <c r="AB277" s="13">
        <v>0.8</v>
      </c>
      <c r="AC277" s="13">
        <v>6</v>
      </c>
      <c r="AD277" s="13">
        <v>0.46</v>
      </c>
      <c r="AE277" s="13">
        <v>0.9</v>
      </c>
      <c r="AF277" s="13">
        <v>6.8</v>
      </c>
      <c r="AG277" s="13">
        <v>200</v>
      </c>
      <c r="AH277" s="13">
        <v>9</v>
      </c>
      <c r="AI277" s="13">
        <v>9</v>
      </c>
      <c r="AJ277" s="11">
        <v>0</v>
      </c>
      <c r="AK277" s="13">
        <v>2</v>
      </c>
      <c r="AL277" s="13">
        <v>6</v>
      </c>
      <c r="AM277" s="13">
        <v>0</v>
      </c>
      <c r="AN277" s="13">
        <v>0.16</v>
      </c>
      <c r="AO277" s="13">
        <v>0</v>
      </c>
      <c r="AP277" s="13">
        <v>0</v>
      </c>
      <c r="AQ277" s="13">
        <v>0.44</v>
      </c>
      <c r="AR277" s="13">
        <v>0.38</v>
      </c>
      <c r="AS277" s="13">
        <v>1.78</v>
      </c>
      <c r="AT277" s="13">
        <v>0.34599999999999997</v>
      </c>
      <c r="AU277" s="13">
        <v>0.56000000000000005</v>
      </c>
      <c r="AV277" s="13">
        <v>2.31</v>
      </c>
      <c r="AW277" s="13">
        <v>0.86</v>
      </c>
      <c r="AX277" s="9">
        <f>Tabelle1[[#This Row],[Vitamin D3 '[µg/100g']]]*40</f>
        <v>0</v>
      </c>
      <c r="AY277" s="9">
        <f>Tabelle1[[#This Row],[Vitamin A '[µg/100g']]]*3.33</f>
        <v>19.98</v>
      </c>
      <c r="AZ277" s="9">
        <f>Tabelle1[[#This Row],[Vitamin E '[mg/100g']]]*1.49</f>
        <v>1.1919999999999999</v>
      </c>
    </row>
    <row r="278" spans="1:52" hidden="1" x14ac:dyDescent="0.45">
      <c r="A278" t="s">
        <v>1151</v>
      </c>
      <c r="B278" s="3" t="s">
        <v>1079</v>
      </c>
      <c r="C278" s="4" t="s">
        <v>1080</v>
      </c>
      <c r="D278" s="11">
        <v>219</v>
      </c>
      <c r="E278" s="11">
        <f>Tabelle1[[#This Row],[Energie '[kcal/100g']]]/239</f>
        <v>0.91631799163179917</v>
      </c>
      <c r="F278" s="11">
        <v>31.5</v>
      </c>
      <c r="G278" s="11">
        <f>Tabelle1[[#This Row],[Rohprotein '[g/100g']]]*0.85</f>
        <v>26.774999999999999</v>
      </c>
      <c r="H278" s="11">
        <v>10.3</v>
      </c>
      <c r="I278" s="11">
        <f>Tabelle1[[#This Row],[TS]]-Tabelle1[[#This Row],[Rohprotein '[g/100g']]]-Tabelle1[[#This Row],[Rohfett '[g/100g']]]-Tabelle1[[#This Row],[Rohasche '[g/100g']]]-Tabelle1[[#This Row],[Rohfaser '[g/100g']]]</f>
        <v>-2.1899999999999995</v>
      </c>
      <c r="J278" s="11">
        <v>0</v>
      </c>
      <c r="K278" s="11">
        <v>1.49</v>
      </c>
      <c r="L278" s="11">
        <v>58.9</v>
      </c>
      <c r="M278" s="11">
        <f>100-Tabelle1[[#This Row],[Wasser '[g/100g']]]</f>
        <v>41.1</v>
      </c>
      <c r="N278" s="11">
        <v>9</v>
      </c>
      <c r="O278" s="11">
        <v>312</v>
      </c>
      <c r="P278" s="11">
        <v>25</v>
      </c>
      <c r="Q278" s="11">
        <v>132</v>
      </c>
      <c r="R278" s="11">
        <v>288</v>
      </c>
      <c r="S278" s="11"/>
      <c r="T278" s="11">
        <v>6.4</v>
      </c>
      <c r="U278" s="11">
        <v>4</v>
      </c>
      <c r="V278" s="11">
        <v>0</v>
      </c>
      <c r="W278" s="11">
        <v>840</v>
      </c>
      <c r="X278" s="11">
        <v>40</v>
      </c>
      <c r="Y278" s="11">
        <v>1.2</v>
      </c>
      <c r="Z278" s="11"/>
      <c r="AA278" s="11">
        <v>0</v>
      </c>
      <c r="AB278" s="11">
        <v>0.98</v>
      </c>
      <c r="AC278" s="11">
        <v>6</v>
      </c>
      <c r="AD278" s="11">
        <v>0.38</v>
      </c>
      <c r="AE278" s="11">
        <v>0.9</v>
      </c>
      <c r="AF278" s="11">
        <v>6.5</v>
      </c>
      <c r="AG278" s="11">
        <v>190</v>
      </c>
      <c r="AH278" s="11">
        <v>9</v>
      </c>
      <c r="AI278" s="11">
        <v>10</v>
      </c>
      <c r="AJ278" s="11">
        <v>0</v>
      </c>
      <c r="AK278" s="11">
        <v>4.2</v>
      </c>
      <c r="AL278" s="11">
        <v>5</v>
      </c>
      <c r="AM278" s="11">
        <v>0</v>
      </c>
      <c r="AN278" s="11">
        <v>0.2</v>
      </c>
      <c r="AO278" s="11">
        <v>0.05</v>
      </c>
      <c r="AP278" s="11">
        <v>3.7999999999999999E-2</v>
      </c>
      <c r="AQ278" s="11">
        <v>0.55000000000000004</v>
      </c>
      <c r="AR278" s="11">
        <v>0.47</v>
      </c>
      <c r="AS278" s="11">
        <v>2.19</v>
      </c>
      <c r="AT278" s="11">
        <v>0.42499999999999999</v>
      </c>
      <c r="AU278" s="11">
        <v>0.68700000000000006</v>
      </c>
      <c r="AV278" s="11">
        <v>2.83</v>
      </c>
      <c r="AW278" s="11">
        <v>1.06</v>
      </c>
      <c r="AX278" s="9">
        <f>Tabelle1[[#This Row],[Vitamin D3 '[µg/100g']]]*40</f>
        <v>0</v>
      </c>
      <c r="AY278" s="9">
        <f>Tabelle1[[#This Row],[Vitamin A '[µg/100g']]]*3.33</f>
        <v>19.98</v>
      </c>
      <c r="AZ278" s="9">
        <f>Tabelle1[[#This Row],[Vitamin E '[mg/100g']]]*1.49</f>
        <v>1.4601999999999999</v>
      </c>
    </row>
    <row r="279" spans="1:52" hidden="1" x14ac:dyDescent="0.45">
      <c r="A279" t="s">
        <v>1151</v>
      </c>
      <c r="B279" s="3" t="s">
        <v>1081</v>
      </c>
      <c r="C279" s="4" t="s">
        <v>1082</v>
      </c>
      <c r="D279" s="11">
        <v>132</v>
      </c>
      <c r="E279" s="11">
        <f>Tabelle1[[#This Row],[Energie '[kcal/100g']]]/239</f>
        <v>0.55230125523012552</v>
      </c>
      <c r="F279" s="11">
        <v>17.600000000000001</v>
      </c>
      <c r="G279" s="11">
        <f>Tabelle1[[#This Row],[Rohprotein '[g/100g']]]*0.85</f>
        <v>14.96</v>
      </c>
      <c r="H279" s="11">
        <v>6.8</v>
      </c>
      <c r="I279" s="11">
        <f>Tabelle1[[#This Row],[TS]]-Tabelle1[[#This Row],[Rohprotein '[g/100g']]]-Tabelle1[[#This Row],[Rohfett '[g/100g']]]-Tabelle1[[#This Row],[Rohasche '[g/100g']]]-Tabelle1[[#This Row],[Rohfaser '[g/100g']]]</f>
        <v>-2.230000000000004</v>
      </c>
      <c r="J279" s="11">
        <v>0</v>
      </c>
      <c r="K279" s="11">
        <v>1.1299999999999999</v>
      </c>
      <c r="L279" s="11">
        <v>76.7</v>
      </c>
      <c r="M279" s="11">
        <f>100-Tabelle1[[#This Row],[Wasser '[g/100g']]]</f>
        <v>23.299999999999997</v>
      </c>
      <c r="N279" s="11">
        <v>6</v>
      </c>
      <c r="O279" s="11">
        <v>207</v>
      </c>
      <c r="P279" s="11">
        <v>20</v>
      </c>
      <c r="Q279" s="11">
        <v>117</v>
      </c>
      <c r="R279" s="11">
        <v>278</v>
      </c>
      <c r="S279" s="11"/>
      <c r="T279" s="11">
        <v>3.4</v>
      </c>
      <c r="U279" s="11">
        <v>2</v>
      </c>
      <c r="V279" s="11">
        <v>0</v>
      </c>
      <c r="W279" s="11">
        <v>470</v>
      </c>
      <c r="X279" s="11">
        <v>20</v>
      </c>
      <c r="Y279" s="11">
        <v>1.1000000000000001</v>
      </c>
      <c r="Z279" s="11"/>
      <c r="AA279" s="11">
        <v>0</v>
      </c>
      <c r="AB279" s="11">
        <v>0.65</v>
      </c>
      <c r="AC279" s="11">
        <v>95</v>
      </c>
      <c r="AD279" s="11">
        <v>0.5</v>
      </c>
      <c r="AE279" s="11">
        <v>0.7</v>
      </c>
      <c r="AF279" s="11">
        <v>6.3</v>
      </c>
      <c r="AG279" s="11">
        <v>220</v>
      </c>
      <c r="AH279" s="11">
        <v>8</v>
      </c>
      <c r="AI279" s="11">
        <v>7</v>
      </c>
      <c r="AJ279" s="11">
        <v>0</v>
      </c>
      <c r="AK279" s="11">
        <v>4</v>
      </c>
      <c r="AL279" s="11">
        <v>4</v>
      </c>
      <c r="AM279" s="11">
        <v>0</v>
      </c>
      <c r="AN279" s="11">
        <v>0.13</v>
      </c>
      <c r="AO279" s="11">
        <v>2.1000000000000001E-2</v>
      </c>
      <c r="AP279" s="11">
        <v>0.01</v>
      </c>
      <c r="AQ279" s="11">
        <v>0.36</v>
      </c>
      <c r="AR279" s="11">
        <v>0.31</v>
      </c>
      <c r="AS279" s="11">
        <v>1.22</v>
      </c>
      <c r="AT279" s="11">
        <v>0.23699999999999999</v>
      </c>
      <c r="AU279" s="11">
        <v>0.38300000000000001</v>
      </c>
      <c r="AV279" s="11">
        <v>1.58</v>
      </c>
      <c r="AW279" s="11">
        <v>0.59</v>
      </c>
      <c r="AX279" s="9">
        <f>Tabelle1[[#This Row],[Vitamin D3 '[µg/100g']]]*40</f>
        <v>0</v>
      </c>
      <c r="AY279" s="9">
        <f>Tabelle1[[#This Row],[Vitamin A '[µg/100g']]]*3.33</f>
        <v>316.35000000000002</v>
      </c>
      <c r="AZ279" s="9">
        <f>Tabelle1[[#This Row],[Vitamin E '[mg/100g']]]*1.49</f>
        <v>0.96850000000000003</v>
      </c>
    </row>
    <row r="280" spans="1:52" hidden="1" x14ac:dyDescent="0.45">
      <c r="A280" t="s">
        <v>1151</v>
      </c>
      <c r="B280" s="5" t="s">
        <v>1083</v>
      </c>
      <c r="C280" s="6" t="s">
        <v>1084</v>
      </c>
      <c r="D280" s="13">
        <v>144</v>
      </c>
      <c r="E280" s="11">
        <f>Tabelle1[[#This Row],[Energie '[kcal/100g']]]/239</f>
        <v>0.60251046025104604</v>
      </c>
      <c r="F280" s="13">
        <v>22.2</v>
      </c>
      <c r="G280" s="11">
        <f>Tabelle1[[#This Row],[Rohprotein '[g/100g']]]*0.85</f>
        <v>18.869999999999997</v>
      </c>
      <c r="H280" s="13">
        <v>5.59</v>
      </c>
      <c r="I280" s="11">
        <f>Tabelle1[[#This Row],[TS]]-Tabelle1[[#This Row],[Rohprotein '[g/100g']]]-Tabelle1[[#This Row],[Rohfett '[g/100g']]]-Tabelle1[[#This Row],[Rohasche '[g/100g']]]-Tabelle1[[#This Row],[Rohfaser '[g/100g']]]</f>
        <v>2.0500000000000007</v>
      </c>
      <c r="J280" s="11">
        <v>0</v>
      </c>
      <c r="K280" s="13">
        <v>1.1599999999999999</v>
      </c>
      <c r="L280" s="13">
        <v>69</v>
      </c>
      <c r="M280" s="13">
        <f>100-Tabelle1[[#This Row],[Wasser '[g/100g']]]</f>
        <v>31</v>
      </c>
      <c r="N280" s="13">
        <v>6</v>
      </c>
      <c r="O280" s="13">
        <v>368</v>
      </c>
      <c r="P280" s="13">
        <v>17</v>
      </c>
      <c r="Q280" s="13">
        <v>65</v>
      </c>
      <c r="R280" s="13">
        <v>247</v>
      </c>
      <c r="S280" s="13"/>
      <c r="T280" s="13">
        <v>7.7</v>
      </c>
      <c r="U280" s="13">
        <v>4</v>
      </c>
      <c r="V280" s="11">
        <v>0</v>
      </c>
      <c r="W280" s="13">
        <v>8400</v>
      </c>
      <c r="X280" s="13">
        <v>380</v>
      </c>
      <c r="Y280" s="13">
        <v>4</v>
      </c>
      <c r="Z280" s="13"/>
      <c r="AA280" s="13">
        <v>0</v>
      </c>
      <c r="AB280" s="13">
        <v>1.4</v>
      </c>
      <c r="AC280" s="13">
        <v>6914</v>
      </c>
      <c r="AD280" s="13">
        <v>0.64</v>
      </c>
      <c r="AE280" s="13">
        <v>4.4000000000000004</v>
      </c>
      <c r="AF280" s="13">
        <v>14</v>
      </c>
      <c r="AG280" s="13">
        <v>370</v>
      </c>
      <c r="AH280" s="13">
        <v>65</v>
      </c>
      <c r="AI280" s="13">
        <v>17</v>
      </c>
      <c r="AJ280" s="13">
        <v>0.5</v>
      </c>
      <c r="AK280" s="13">
        <v>452</v>
      </c>
      <c r="AL280" s="13">
        <v>40</v>
      </c>
      <c r="AM280" s="13">
        <v>0</v>
      </c>
      <c r="AN280" s="13">
        <v>0.64100000000000001</v>
      </c>
      <c r="AO280" s="13">
        <v>3.0000000000000001E-3</v>
      </c>
      <c r="AP280" s="13">
        <v>2.0999999999999999E-3</v>
      </c>
      <c r="AQ280" s="13">
        <v>0.26</v>
      </c>
      <c r="AR280" s="13">
        <v>0.17399999999999999</v>
      </c>
      <c r="AS280" s="13">
        <v>1.5</v>
      </c>
      <c r="AT280" s="13">
        <v>0.29299999999999998</v>
      </c>
      <c r="AU280" s="13">
        <v>0.47299999999999998</v>
      </c>
      <c r="AV280" s="13">
        <v>1.95</v>
      </c>
      <c r="AW280" s="13">
        <v>0.72899999999999998</v>
      </c>
      <c r="AX280" s="9">
        <f>Tabelle1[[#This Row],[Vitamin D3 '[µg/100g']]]*40</f>
        <v>0</v>
      </c>
      <c r="AY280" s="9">
        <f>Tabelle1[[#This Row],[Vitamin A '[µg/100g']]]*3.33</f>
        <v>23023.62</v>
      </c>
      <c r="AZ280" s="9">
        <f>Tabelle1[[#This Row],[Vitamin E '[mg/100g']]]*1.49</f>
        <v>2.0859999999999999</v>
      </c>
    </row>
    <row r="281" spans="1:52" hidden="1" x14ac:dyDescent="0.45">
      <c r="A281" t="s">
        <v>1151</v>
      </c>
      <c r="B281" s="5" t="s">
        <v>1085</v>
      </c>
      <c r="C281" s="6" t="s">
        <v>1086</v>
      </c>
      <c r="D281" s="13">
        <v>131</v>
      </c>
      <c r="E281" s="11">
        <f>Tabelle1[[#This Row],[Energie '[kcal/100g']]]/239</f>
        <v>0.54811715481171552</v>
      </c>
      <c r="F281" s="13">
        <v>20.6</v>
      </c>
      <c r="G281" s="11">
        <f>Tabelle1[[#This Row],[Rohprotein '[g/100g']]]*0.85</f>
        <v>17.510000000000002</v>
      </c>
      <c r="H281" s="13">
        <v>4.92</v>
      </c>
      <c r="I281" s="11">
        <f>Tabelle1[[#This Row],[TS]]-Tabelle1[[#This Row],[Rohprotein '[g/100g']]]-Tabelle1[[#This Row],[Rohfett '[g/100g']]]-Tabelle1[[#This Row],[Rohasche '[g/100g']]]-Tabelle1[[#This Row],[Rohfaser '[g/100g']]]</f>
        <v>2.1199999999999983</v>
      </c>
      <c r="J281" s="11">
        <v>0</v>
      </c>
      <c r="K281" s="13">
        <v>1.36</v>
      </c>
      <c r="L281" s="13">
        <v>71</v>
      </c>
      <c r="M281" s="13">
        <f>100-Tabelle1[[#This Row],[Wasser '[g/100g']]]</f>
        <v>29</v>
      </c>
      <c r="N281" s="13">
        <v>5</v>
      </c>
      <c r="O281" s="13">
        <v>405</v>
      </c>
      <c r="P281" s="13">
        <v>18</v>
      </c>
      <c r="Q281" s="13">
        <v>67</v>
      </c>
      <c r="R281" s="13">
        <v>290</v>
      </c>
      <c r="S281" s="13"/>
      <c r="T281" s="13">
        <v>7.1</v>
      </c>
      <c r="U281" s="13">
        <v>4</v>
      </c>
      <c r="V281" s="11">
        <v>0</v>
      </c>
      <c r="W281" s="13">
        <v>9200</v>
      </c>
      <c r="X281" s="13">
        <v>330</v>
      </c>
      <c r="Y281" s="13">
        <v>4</v>
      </c>
      <c r="Z281" s="13"/>
      <c r="AA281" s="13">
        <v>0</v>
      </c>
      <c r="AB281" s="13">
        <v>1.2</v>
      </c>
      <c r="AC281" s="13">
        <v>210</v>
      </c>
      <c r="AD281" s="13">
        <v>0.66</v>
      </c>
      <c r="AE281" s="13">
        <v>4.0999999999999996</v>
      </c>
      <c r="AF281" s="13">
        <v>15</v>
      </c>
      <c r="AG281" s="13">
        <v>410</v>
      </c>
      <c r="AH281" s="13">
        <v>76</v>
      </c>
      <c r="AI281" s="13">
        <v>20</v>
      </c>
      <c r="AJ281" s="13">
        <v>0.5</v>
      </c>
      <c r="AK281" s="13">
        <v>63</v>
      </c>
      <c r="AL281" s="13">
        <v>41</v>
      </c>
      <c r="AM281" s="13">
        <v>0</v>
      </c>
      <c r="AN281" s="13">
        <v>0.56399999999999995</v>
      </c>
      <c r="AO281" s="13">
        <v>0</v>
      </c>
      <c r="AP281" s="13">
        <v>0</v>
      </c>
      <c r="AQ281" s="13">
        <v>0.23</v>
      </c>
      <c r="AR281" s="13">
        <v>0.153</v>
      </c>
      <c r="AS281" s="13">
        <v>1.39</v>
      </c>
      <c r="AT281" s="13">
        <v>0.27100000000000002</v>
      </c>
      <c r="AU281" s="13">
        <v>0.438</v>
      </c>
      <c r="AV281" s="13">
        <v>1.81</v>
      </c>
      <c r="AW281" s="13">
        <v>0.67500000000000004</v>
      </c>
      <c r="AX281" s="9">
        <f>Tabelle1[[#This Row],[Vitamin D3 '[µg/100g']]]*40</f>
        <v>0</v>
      </c>
      <c r="AY281" s="9">
        <f>Tabelle1[[#This Row],[Vitamin A '[µg/100g']]]*3.33</f>
        <v>699.30000000000007</v>
      </c>
      <c r="AZ281" s="9">
        <f>Tabelle1[[#This Row],[Vitamin E '[mg/100g']]]*1.49</f>
        <v>1.788</v>
      </c>
    </row>
    <row r="282" spans="1:52" hidden="1" x14ac:dyDescent="0.45">
      <c r="A282" t="s">
        <v>1151</v>
      </c>
      <c r="B282" s="3" t="s">
        <v>1087</v>
      </c>
      <c r="C282" s="4" t="s">
        <v>1088</v>
      </c>
      <c r="D282" s="11">
        <v>97</v>
      </c>
      <c r="E282" s="11">
        <f>Tabelle1[[#This Row],[Energie '[kcal/100g']]]/239</f>
        <v>0.40585774058577406</v>
      </c>
      <c r="F282" s="11">
        <v>17.2</v>
      </c>
      <c r="G282" s="11">
        <f>Tabelle1[[#This Row],[Rohprotein '[g/100g']]]*0.85</f>
        <v>14.62</v>
      </c>
      <c r="H282" s="11">
        <v>3.1</v>
      </c>
      <c r="I282" s="11">
        <f>Tabelle1[[#This Row],[TS]]-Tabelle1[[#This Row],[Rohprotein '[g/100g']]]-Tabelle1[[#This Row],[Rohfett '[g/100g']]]-Tabelle1[[#This Row],[Rohasche '[g/100g']]]-Tabelle1[[#This Row],[Rohfaser '[g/100g']]]</f>
        <v>0.19999999999999774</v>
      </c>
      <c r="J282" s="11">
        <v>0</v>
      </c>
      <c r="K282" s="11">
        <v>1.3</v>
      </c>
      <c r="L282" s="11">
        <v>78.2</v>
      </c>
      <c r="M282" s="11">
        <f>100-Tabelle1[[#This Row],[Wasser '[g/100g']]]</f>
        <v>21.799999999999997</v>
      </c>
      <c r="N282" s="11">
        <v>9</v>
      </c>
      <c r="O282" s="11">
        <v>280</v>
      </c>
      <c r="P282" s="11">
        <v>21</v>
      </c>
      <c r="Q282" s="11">
        <v>84</v>
      </c>
      <c r="R282" s="11">
        <v>358</v>
      </c>
      <c r="S282" s="11"/>
      <c r="T282" s="11">
        <v>41.9</v>
      </c>
      <c r="U282" s="11">
        <v>2.84</v>
      </c>
      <c r="V282" s="11">
        <v>0</v>
      </c>
      <c r="W282" s="11">
        <v>121</v>
      </c>
      <c r="X282" s="11">
        <v>51</v>
      </c>
      <c r="Y282" s="11">
        <v>0</v>
      </c>
      <c r="Z282" s="11"/>
      <c r="AA282" s="11">
        <v>0</v>
      </c>
      <c r="AB282" s="11">
        <v>0</v>
      </c>
      <c r="AC282" s="11">
        <v>7504</v>
      </c>
      <c r="AD282" s="11">
        <v>4.7E-2</v>
      </c>
      <c r="AE282" s="11">
        <v>0.34799999999999998</v>
      </c>
      <c r="AF282" s="11">
        <v>7.9</v>
      </c>
      <c r="AG282" s="11">
        <v>110</v>
      </c>
      <c r="AH282" s="11">
        <v>5.34</v>
      </c>
      <c r="AI282" s="11">
        <v>23</v>
      </c>
      <c r="AJ282" s="11">
        <v>0</v>
      </c>
      <c r="AK282" s="11">
        <v>550</v>
      </c>
      <c r="AL282" s="11">
        <v>0</v>
      </c>
      <c r="AM282" s="11">
        <v>0</v>
      </c>
      <c r="AN282" s="11">
        <v>0</v>
      </c>
      <c r="AO282" s="11">
        <v>1.8700000000000001E-2</v>
      </c>
      <c r="AP282" s="11">
        <v>4.9799999999999997E-2</v>
      </c>
      <c r="AQ282" s="11">
        <v>0.1</v>
      </c>
      <c r="AR282" s="11">
        <v>0.1</v>
      </c>
      <c r="AS282" s="11">
        <v>1.0900000000000001</v>
      </c>
      <c r="AT282" s="11">
        <v>0.22</v>
      </c>
      <c r="AU282" s="11">
        <v>0.57199999999999995</v>
      </c>
      <c r="AV282" s="11">
        <v>1.33</v>
      </c>
      <c r="AW282" s="11">
        <v>0.32700000000000001</v>
      </c>
      <c r="AX282" s="9">
        <f>Tabelle1[[#This Row],[Vitamin D3 '[µg/100g']]]*40</f>
        <v>0</v>
      </c>
      <c r="AY282" s="9">
        <f>Tabelle1[[#This Row],[Vitamin A '[µg/100g']]]*3.33</f>
        <v>24988.32</v>
      </c>
      <c r="AZ282" s="9">
        <f>Tabelle1[[#This Row],[Vitamin E '[mg/100g']]]*1.49</f>
        <v>0</v>
      </c>
    </row>
    <row r="283" spans="1:52" hidden="1" x14ac:dyDescent="0.45">
      <c r="A283" t="s">
        <v>1151</v>
      </c>
      <c r="B283" s="5" t="s">
        <v>1089</v>
      </c>
      <c r="C283" s="6" t="s">
        <v>1090</v>
      </c>
      <c r="D283" s="13">
        <v>159</v>
      </c>
      <c r="E283" s="11">
        <f>Tabelle1[[#This Row],[Energie '[kcal/100g']]]/239</f>
        <v>0.66527196652719667</v>
      </c>
      <c r="F283" s="13">
        <v>30.6</v>
      </c>
      <c r="G283" s="11">
        <f>Tabelle1[[#This Row],[Rohprotein '[g/100g']]]*0.85</f>
        <v>26.01</v>
      </c>
      <c r="H283" s="13">
        <v>4.0599999999999996</v>
      </c>
      <c r="I283" s="11">
        <f>Tabelle1[[#This Row],[TS]]-Tabelle1[[#This Row],[Rohprotein '[g/100g']]]-Tabelle1[[#This Row],[Rohfett '[g/100g']]]-Tabelle1[[#This Row],[Rohasche '[g/100g']]]-Tabelle1[[#This Row],[Rohfaser '[g/100g']]]</f>
        <v>0.37000000000000188</v>
      </c>
      <c r="J283" s="11">
        <v>0</v>
      </c>
      <c r="K283" s="13">
        <v>1.67</v>
      </c>
      <c r="L283" s="13">
        <v>63.3</v>
      </c>
      <c r="M283" s="13">
        <f>100-Tabelle1[[#This Row],[Wasser '[g/100g']]]</f>
        <v>36.700000000000003</v>
      </c>
      <c r="N283" s="13">
        <v>16</v>
      </c>
      <c r="O283" s="13">
        <v>413</v>
      </c>
      <c r="P283" s="13">
        <v>29</v>
      </c>
      <c r="Q283" s="13">
        <v>223</v>
      </c>
      <c r="R283" s="13">
        <v>344</v>
      </c>
      <c r="S283" s="13"/>
      <c r="T283" s="13">
        <v>11.4</v>
      </c>
      <c r="U283" s="13">
        <v>3.7</v>
      </c>
      <c r="V283" s="11">
        <v>0</v>
      </c>
      <c r="W283" s="13">
        <v>780</v>
      </c>
      <c r="X283" s="13">
        <v>240</v>
      </c>
      <c r="Y283" s="11">
        <v>0</v>
      </c>
      <c r="Z283" s="11"/>
      <c r="AA283" s="13">
        <v>0.2</v>
      </c>
      <c r="AB283" s="13">
        <v>0.76</v>
      </c>
      <c r="AC283" s="13">
        <v>125</v>
      </c>
      <c r="AD283" s="13">
        <v>0.65</v>
      </c>
      <c r="AE283" s="13">
        <v>3.48</v>
      </c>
      <c r="AF283" s="13">
        <v>15</v>
      </c>
      <c r="AG283" s="13">
        <v>610</v>
      </c>
      <c r="AH283" s="13">
        <v>48</v>
      </c>
      <c r="AI283" s="13">
        <v>14</v>
      </c>
      <c r="AJ283" s="11">
        <v>0</v>
      </c>
      <c r="AK283" s="13">
        <v>10</v>
      </c>
      <c r="AL283" s="13">
        <v>52</v>
      </c>
      <c r="AM283" s="13">
        <v>0</v>
      </c>
      <c r="AN283" s="13">
        <v>0.36</v>
      </c>
      <c r="AO283" s="13">
        <v>0.14899999999999999</v>
      </c>
      <c r="AP283" s="13">
        <v>5.8000000000000003E-2</v>
      </c>
      <c r="AQ283" s="13">
        <v>0.378</v>
      </c>
      <c r="AR283" s="13">
        <v>0.24199999999999999</v>
      </c>
      <c r="AS283" s="13">
        <v>1.94</v>
      </c>
      <c r="AT283" s="13">
        <v>0.378</v>
      </c>
      <c r="AU283" s="13">
        <v>0.61199999999999999</v>
      </c>
      <c r="AV283" s="13">
        <v>2.5299999999999998</v>
      </c>
      <c r="AW283" s="13">
        <v>0.94199999999999995</v>
      </c>
      <c r="AX283" s="9">
        <f>Tabelle1[[#This Row],[Vitamin D3 '[µg/100g']]]*40</f>
        <v>8</v>
      </c>
      <c r="AY283" s="9">
        <f>Tabelle1[[#This Row],[Vitamin A '[µg/100g']]]*3.33</f>
        <v>416.25</v>
      </c>
      <c r="AZ283" s="9">
        <f>Tabelle1[[#This Row],[Vitamin E '[mg/100g']]]*1.49</f>
        <v>1.1324000000000001</v>
      </c>
    </row>
    <row r="284" spans="1:52" hidden="1" x14ac:dyDescent="0.45">
      <c r="A284" t="s">
        <v>1151</v>
      </c>
      <c r="B284" s="5" t="s">
        <v>1091</v>
      </c>
      <c r="C284" s="6" t="s">
        <v>1092</v>
      </c>
      <c r="D284" s="13">
        <v>87</v>
      </c>
      <c r="E284" s="11">
        <f>Tabelle1[[#This Row],[Energie '[kcal/100g']]]/239</f>
        <v>0.36401673640167365</v>
      </c>
      <c r="F284" s="13">
        <v>16.100000000000001</v>
      </c>
      <c r="G284" s="11">
        <f>Tabelle1[[#This Row],[Rohprotein '[g/100g']]]*0.85</f>
        <v>13.685</v>
      </c>
      <c r="H284" s="13">
        <v>2.54</v>
      </c>
      <c r="I284" s="11">
        <f>Tabelle1[[#This Row],[TS]]-Tabelle1[[#This Row],[Rohprotein '[g/100g']]]-Tabelle1[[#This Row],[Rohfett '[g/100g']]]-Tabelle1[[#This Row],[Rohasche '[g/100g']]]-Tabelle1[[#This Row],[Rohfaser '[g/100g']]]</f>
        <v>0.37000000000000144</v>
      </c>
      <c r="J284" s="11">
        <v>0</v>
      </c>
      <c r="K284" s="13">
        <v>1.19</v>
      </c>
      <c r="L284" s="13">
        <v>79.8</v>
      </c>
      <c r="M284" s="13">
        <f>100-Tabelle1[[#This Row],[Wasser '[g/100g']]]</f>
        <v>20.200000000000003</v>
      </c>
      <c r="N284" s="13">
        <v>8</v>
      </c>
      <c r="O284" s="13">
        <v>258</v>
      </c>
      <c r="P284" s="13">
        <v>17</v>
      </c>
      <c r="Q284" s="13">
        <v>159</v>
      </c>
      <c r="R284" s="13">
        <v>246</v>
      </c>
      <c r="S284" s="13"/>
      <c r="T284" s="13">
        <v>6</v>
      </c>
      <c r="U284" s="13">
        <v>2.2000000000000002</v>
      </c>
      <c r="V284" s="11">
        <v>0</v>
      </c>
      <c r="W284" s="13">
        <v>490</v>
      </c>
      <c r="X284" s="13">
        <v>120</v>
      </c>
      <c r="Y284" s="11">
        <v>0</v>
      </c>
      <c r="Z284" s="11"/>
      <c r="AA284" s="13">
        <v>0.1</v>
      </c>
      <c r="AB284" s="13">
        <v>0.42</v>
      </c>
      <c r="AC284" s="13">
        <v>8</v>
      </c>
      <c r="AD284" s="13">
        <v>0.38</v>
      </c>
      <c r="AE284" s="13">
        <v>1.83</v>
      </c>
      <c r="AF284" s="13">
        <v>8.8000000000000007</v>
      </c>
      <c r="AG284" s="13">
        <v>380</v>
      </c>
      <c r="AH284" s="13">
        <v>34</v>
      </c>
      <c r="AI284" s="13">
        <v>9</v>
      </c>
      <c r="AJ284" s="11">
        <v>0</v>
      </c>
      <c r="AK284" s="13">
        <v>2</v>
      </c>
      <c r="AL284" s="13">
        <v>37</v>
      </c>
      <c r="AM284" s="13">
        <v>0</v>
      </c>
      <c r="AN284" s="13">
        <v>0.22</v>
      </c>
      <c r="AO284" s="13">
        <v>0.06</v>
      </c>
      <c r="AP284" s="13">
        <v>0</v>
      </c>
      <c r="AQ284" s="13">
        <v>0.23599999999999999</v>
      </c>
      <c r="AR284" s="13">
        <v>0.151</v>
      </c>
      <c r="AS284" s="13">
        <v>1.02</v>
      </c>
      <c r="AT284" s="13">
        <v>0.19900000000000001</v>
      </c>
      <c r="AU284" s="13">
        <v>0.32200000000000001</v>
      </c>
      <c r="AV284" s="13">
        <v>1.33</v>
      </c>
      <c r="AW284" s="13">
        <v>0.496</v>
      </c>
      <c r="AX284" s="9">
        <f>Tabelle1[[#This Row],[Vitamin D3 '[µg/100g']]]*40</f>
        <v>4</v>
      </c>
      <c r="AY284" s="9">
        <f>Tabelle1[[#This Row],[Vitamin A '[µg/100g']]]*3.33</f>
        <v>26.64</v>
      </c>
      <c r="AZ284" s="9">
        <f>Tabelle1[[#This Row],[Vitamin E '[mg/100g']]]*1.49</f>
        <v>0.62580000000000002</v>
      </c>
    </row>
    <row r="285" spans="1:52" hidden="1" x14ac:dyDescent="0.45">
      <c r="A285" t="s">
        <v>972</v>
      </c>
      <c r="B285" s="5" t="s">
        <v>955</v>
      </c>
      <c r="C285" s="6" t="s">
        <v>956</v>
      </c>
      <c r="D285" s="13">
        <v>900</v>
      </c>
      <c r="E285" s="11">
        <f>Tabelle1[[#This Row],[Energie '[kcal/100g']]]/239</f>
        <v>3.7656903765690375</v>
      </c>
      <c r="F285" s="13">
        <v>0</v>
      </c>
      <c r="G285" s="11">
        <f>Tabelle1[[#This Row],[Rohprotein '[g/100g']]]*0.85</f>
        <v>0</v>
      </c>
      <c r="H285" s="13">
        <v>100</v>
      </c>
      <c r="I285" s="11">
        <f>Tabelle1[[#This Row],[TS]]-Tabelle1[[#This Row],[Rohprotein '[g/100g']]]-Tabelle1[[#This Row],[Rohfett '[g/100g']]]-Tabelle1[[#This Row],[Rohasche '[g/100g']]]-Tabelle1[[#This Row],[Rohfaser '[g/100g']]]</f>
        <v>0</v>
      </c>
      <c r="J285" s="11">
        <v>0</v>
      </c>
      <c r="K285" s="13">
        <v>0</v>
      </c>
      <c r="L285" s="13">
        <v>0</v>
      </c>
      <c r="M285" s="13">
        <f>100-Tabelle1[[#This Row],[Wasser '[g/100g']]]</f>
        <v>100</v>
      </c>
      <c r="N285" s="13">
        <v>0.44170100000000001</v>
      </c>
      <c r="O285" s="13">
        <v>1.702</v>
      </c>
      <c r="P285" s="13">
        <v>0.44547100000000001</v>
      </c>
      <c r="Q285" s="13">
        <v>1.65</v>
      </c>
      <c r="R285" s="13">
        <v>0.67801500000000003</v>
      </c>
      <c r="S285" s="13"/>
      <c r="T285" s="13">
        <v>0.11557199999999999</v>
      </c>
      <c r="U285" s="13">
        <v>4.0109800000000001E-2</v>
      </c>
      <c r="V285" s="11">
        <v>0</v>
      </c>
      <c r="W285" s="13">
        <v>2.4990000000000001</v>
      </c>
      <c r="X285" s="13">
        <v>1.3640000000000001</v>
      </c>
      <c r="Y285" s="13">
        <v>0.01</v>
      </c>
      <c r="Z285" s="13"/>
      <c r="AA285" s="13">
        <v>0</v>
      </c>
      <c r="AB285" s="13">
        <v>0.54</v>
      </c>
      <c r="AC285" s="13">
        <v>21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121</v>
      </c>
      <c r="AK285" s="13">
        <v>0</v>
      </c>
      <c r="AL285" s="13">
        <v>0</v>
      </c>
      <c r="AM285" s="13">
        <v>0</v>
      </c>
      <c r="AN285" s="13">
        <v>52.8</v>
      </c>
      <c r="AO285" s="13">
        <v>0</v>
      </c>
      <c r="AP285" s="13">
        <v>0</v>
      </c>
      <c r="AQ285" s="13">
        <v>14.3</v>
      </c>
      <c r="AR285" s="13">
        <v>14.3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9">
        <f>Tabelle1[[#This Row],[Vitamin D3 '[µg/100g']]]*40</f>
        <v>0</v>
      </c>
      <c r="AY285" s="9">
        <f>Tabelle1[[#This Row],[Vitamin A '[µg/100g']]]*3.33</f>
        <v>69.930000000000007</v>
      </c>
      <c r="AZ285" s="9">
        <f>Tabelle1[[#This Row],[Vitamin E '[mg/100g']]]*1.49</f>
        <v>0.80460000000000009</v>
      </c>
    </row>
    <row r="286" spans="1:52" hidden="1" x14ac:dyDescent="0.45">
      <c r="A286" t="s">
        <v>534</v>
      </c>
      <c r="B286" s="3" t="s">
        <v>1017</v>
      </c>
      <c r="C286" s="4" t="s">
        <v>1018</v>
      </c>
      <c r="D286" s="11">
        <v>327</v>
      </c>
      <c r="E286" s="11">
        <f>Tabelle1[[#This Row],[Energie '[kcal/100g']]]/239</f>
        <v>1.3682008368200838</v>
      </c>
      <c r="F286" s="11">
        <v>37.716000000000001</v>
      </c>
      <c r="G286" s="11">
        <f>Tabelle1[[#This Row],[Rohprotein '[g/100g']]]*0.85</f>
        <v>32.058599999999998</v>
      </c>
      <c r="H286" s="11">
        <v>8.8000000000000007</v>
      </c>
      <c r="I286" s="11">
        <f>Tabelle1[[#This Row],[TS]]-Tabelle1[[#This Row],[Rohprotein '[g/100g']]]-Tabelle1[[#This Row],[Rohfett '[g/100g']]]-Tabelle1[[#This Row],[Rohasche '[g/100g']]]-Tabelle1[[#This Row],[Rohfaser '[g/100g']]]</f>
        <v>41.884</v>
      </c>
      <c r="J286" s="11">
        <v>0</v>
      </c>
      <c r="K286" s="11">
        <v>4.3</v>
      </c>
      <c r="L286" s="11">
        <v>7.3</v>
      </c>
      <c r="M286" s="11">
        <f>100-Tabelle1[[#This Row],[Wasser '[g/100g']]]</f>
        <v>92.7</v>
      </c>
      <c r="N286" s="11">
        <v>220</v>
      </c>
      <c r="O286" s="11">
        <v>407</v>
      </c>
      <c r="P286" s="11">
        <v>162</v>
      </c>
      <c r="Q286" s="11">
        <v>5</v>
      </c>
      <c r="R286" s="11">
        <v>1156</v>
      </c>
      <c r="S286" s="11"/>
      <c r="T286" s="11">
        <v>4.5999999999999996</v>
      </c>
      <c r="U286" s="11">
        <v>3.7</v>
      </c>
      <c r="V286" s="11">
        <v>0</v>
      </c>
      <c r="W286" s="11">
        <v>500</v>
      </c>
      <c r="X286" s="11">
        <v>4800</v>
      </c>
      <c r="Y286" s="11">
        <v>6.3</v>
      </c>
      <c r="Z286" s="11"/>
      <c r="AA286" s="11">
        <v>0</v>
      </c>
      <c r="AB286" s="11">
        <v>1.1000000000000001</v>
      </c>
      <c r="AC286" s="11">
        <v>10</v>
      </c>
      <c r="AD286" s="11">
        <v>1.03</v>
      </c>
      <c r="AE286" s="11">
        <v>0.46</v>
      </c>
      <c r="AF286" s="11">
        <v>2.6749999999999998</v>
      </c>
      <c r="AG286" s="11">
        <v>1003</v>
      </c>
      <c r="AH286" s="11">
        <v>0</v>
      </c>
      <c r="AI286" s="11">
        <v>8.5</v>
      </c>
      <c r="AJ286" s="11">
        <v>39</v>
      </c>
      <c r="AK286" s="11">
        <v>309</v>
      </c>
      <c r="AL286" s="11">
        <v>60</v>
      </c>
      <c r="AM286" s="11">
        <v>0</v>
      </c>
      <c r="AN286" s="11">
        <v>0.56000000000000005</v>
      </c>
      <c r="AO286" s="11">
        <v>0</v>
      </c>
      <c r="AP286" s="11">
        <v>0</v>
      </c>
      <c r="AQ286" s="11">
        <v>2</v>
      </c>
      <c r="AR286" s="11">
        <v>2</v>
      </c>
      <c r="AS286" s="11">
        <v>3.92</v>
      </c>
      <c r="AT286" s="11">
        <v>0.49</v>
      </c>
      <c r="AU286" s="11">
        <v>0.98</v>
      </c>
      <c r="AV286" s="11">
        <v>1.7150000000000001</v>
      </c>
      <c r="AW286" s="11">
        <v>0.245</v>
      </c>
      <c r="AX286" s="9">
        <f>Tabelle1[[#This Row],[Vitamin D3 '[µg/100g']]]*40</f>
        <v>0</v>
      </c>
      <c r="AY286" s="9">
        <f>Tabelle1[[#This Row],[Vitamin A '[µg/100g']]]*3.33</f>
        <v>33.299999999999997</v>
      </c>
      <c r="AZ286" s="9">
        <f>Tabelle1[[#This Row],[Vitamin E '[mg/100g']]]*1.49</f>
        <v>1.639</v>
      </c>
    </row>
    <row r="287" spans="1:52" hidden="1" x14ac:dyDescent="0.45">
      <c r="A287" t="s">
        <v>1189</v>
      </c>
      <c r="B287" s="3"/>
      <c r="C287" s="4" t="s">
        <v>1265</v>
      </c>
      <c r="D287" s="11">
        <v>137</v>
      </c>
      <c r="E287" s="11">
        <v>0.56999999999999995</v>
      </c>
      <c r="F287" s="11">
        <v>13.6</v>
      </c>
      <c r="G287" s="11">
        <v>11.56</v>
      </c>
      <c r="H287" s="11">
        <v>7.1</v>
      </c>
      <c r="I287" s="11">
        <v>6.6</v>
      </c>
      <c r="J287" s="11">
        <v>0.9</v>
      </c>
      <c r="K287" s="11">
        <v>2.1</v>
      </c>
      <c r="L287" s="11">
        <v>70</v>
      </c>
      <c r="M287" s="11">
        <v>30</v>
      </c>
      <c r="N287" s="11">
        <v>640</v>
      </c>
      <c r="O287" s="11">
        <v>450</v>
      </c>
      <c r="P287" s="11">
        <v>0</v>
      </c>
      <c r="Q287" s="11">
        <v>0</v>
      </c>
      <c r="R287" s="11">
        <v>0</v>
      </c>
      <c r="S287" s="13">
        <v>0</v>
      </c>
      <c r="T287" s="11">
        <v>0</v>
      </c>
      <c r="U287" s="11">
        <v>0</v>
      </c>
      <c r="V287" s="11">
        <v>0</v>
      </c>
      <c r="W287" s="11">
        <v>0</v>
      </c>
      <c r="X287" s="11">
        <v>0</v>
      </c>
      <c r="Y287" s="11">
        <v>55</v>
      </c>
      <c r="Z287" s="13">
        <v>0</v>
      </c>
      <c r="AA287" s="11">
        <v>0.73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  <c r="AG287" s="11">
        <v>0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1">
        <v>0</v>
      </c>
      <c r="AT287" s="11">
        <v>0</v>
      </c>
      <c r="AU287" s="11">
        <v>0</v>
      </c>
      <c r="AV287" s="11">
        <v>0</v>
      </c>
      <c r="AW287" s="11">
        <v>0</v>
      </c>
      <c r="AX287" s="9">
        <v>29</v>
      </c>
      <c r="AY287" s="9">
        <v>0</v>
      </c>
      <c r="AZ287" s="9">
        <v>0</v>
      </c>
    </row>
    <row r="288" spans="1:52" hidden="1" x14ac:dyDescent="0.45">
      <c r="A288" t="s">
        <v>1189</v>
      </c>
      <c r="B288" s="3"/>
      <c r="C288" s="4" t="s">
        <v>1267</v>
      </c>
      <c r="D288" s="11">
        <v>107</v>
      </c>
      <c r="E288" s="11">
        <v>0.45</v>
      </c>
      <c r="F288" s="11">
        <v>9.8000000000000007</v>
      </c>
      <c r="G288" s="11">
        <v>8.33</v>
      </c>
      <c r="H288" s="11">
        <v>4.7</v>
      </c>
      <c r="I288" s="11">
        <v>5.2</v>
      </c>
      <c r="J288" s="11">
        <v>0.5</v>
      </c>
      <c r="K288" s="11">
        <v>2</v>
      </c>
      <c r="L288" s="11">
        <v>77.8</v>
      </c>
      <c r="M288" s="11">
        <v>22.2</v>
      </c>
      <c r="N288" s="11">
        <v>340</v>
      </c>
      <c r="O288" s="11">
        <v>250</v>
      </c>
      <c r="P288" s="11">
        <v>0</v>
      </c>
      <c r="Q288" s="11">
        <v>0</v>
      </c>
      <c r="R288" s="11">
        <v>0</v>
      </c>
      <c r="S288" s="13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3">
        <v>0</v>
      </c>
      <c r="AA288" s="11">
        <v>0.8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0</v>
      </c>
      <c r="AW288" s="11">
        <v>0</v>
      </c>
      <c r="AX288" s="9">
        <v>32</v>
      </c>
      <c r="AY288" s="9">
        <v>0</v>
      </c>
      <c r="AZ288" s="9">
        <v>0</v>
      </c>
    </row>
    <row r="289" spans="1:52" hidden="1" x14ac:dyDescent="0.45">
      <c r="A289" t="s">
        <v>1189</v>
      </c>
      <c r="B289" s="3"/>
      <c r="C289" s="4" t="s">
        <v>1266</v>
      </c>
      <c r="D289" s="11">
        <v>106</v>
      </c>
      <c r="E289" s="11">
        <v>0.44</v>
      </c>
      <c r="F289" s="11">
        <v>10.6</v>
      </c>
      <c r="G289" s="11">
        <v>9.01</v>
      </c>
      <c r="H289" s="11">
        <v>6.8</v>
      </c>
      <c r="I289" s="11">
        <v>3.8</v>
      </c>
      <c r="J289" s="11">
        <v>0.6</v>
      </c>
      <c r="K289" s="11">
        <v>1.3</v>
      </c>
      <c r="L289" s="11">
        <v>76.900000000000006</v>
      </c>
      <c r="M289" s="11">
        <v>23.1</v>
      </c>
      <c r="N289" s="11">
        <v>160</v>
      </c>
      <c r="O289" s="11">
        <v>120</v>
      </c>
      <c r="P289" s="11">
        <v>0</v>
      </c>
      <c r="Q289" s="11">
        <v>0</v>
      </c>
      <c r="R289" s="11">
        <v>0</v>
      </c>
      <c r="S289" s="13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38</v>
      </c>
      <c r="Z289" s="13">
        <v>0</v>
      </c>
      <c r="AA289" s="11">
        <v>0.73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1">
        <v>0</v>
      </c>
      <c r="AT289" s="11">
        <v>0</v>
      </c>
      <c r="AU289" s="11">
        <v>0</v>
      </c>
      <c r="AV289" s="11">
        <v>0</v>
      </c>
      <c r="AW289" s="11">
        <v>0</v>
      </c>
      <c r="AX289" s="9">
        <v>29</v>
      </c>
      <c r="AY289" s="9">
        <v>0</v>
      </c>
      <c r="AZ289" s="9">
        <v>0</v>
      </c>
    </row>
    <row r="290" spans="1:52" hidden="1" x14ac:dyDescent="0.45">
      <c r="A290" t="s">
        <v>534</v>
      </c>
      <c r="B290" s="3" t="s">
        <v>450</v>
      </c>
      <c r="C290" s="4" t="s">
        <v>451</v>
      </c>
      <c r="D290" s="11">
        <v>88</v>
      </c>
      <c r="E290" s="13">
        <f>Tabelle1[[#This Row],[Energie '[kcal/100g']]]/239</f>
        <v>0.3682008368200837</v>
      </c>
      <c r="F290" s="11">
        <v>2.2839999999999998</v>
      </c>
      <c r="G290" s="13">
        <f>Tabelle1[[#This Row],[Rohprotein '[g/100g']]]*0.85</f>
        <v>1.9413999999999998</v>
      </c>
      <c r="H290" s="11">
        <v>0.95</v>
      </c>
      <c r="I290" s="11">
        <f>Tabelle1[[#This Row],[TS]]-Tabelle1[[#This Row],[Rohprotein '[g/100g']]]-Tabelle1[[#This Row],[Rohfett '[g/100g']]]-Tabelle1[[#This Row],[Rohasche '[g/100g']]]-Tabelle1[[#This Row],[Rohfaser '[g/100g']]]</f>
        <v>23.112999999999996</v>
      </c>
      <c r="J290" s="11">
        <v>0</v>
      </c>
      <c r="K290" s="11">
        <v>0.253</v>
      </c>
      <c r="L290" s="11">
        <v>73.400000000000006</v>
      </c>
      <c r="M290" s="11">
        <f>100-Tabelle1[[#This Row],[Wasser '[g/100g']]]</f>
        <v>26.599999999999994</v>
      </c>
      <c r="N290" s="11">
        <v>2.3199999999999998</v>
      </c>
      <c r="O290" s="11">
        <v>56</v>
      </c>
      <c r="P290" s="11">
        <v>25.3</v>
      </c>
      <c r="Q290" s="11">
        <v>1</v>
      </c>
      <c r="R290" s="11">
        <v>56</v>
      </c>
      <c r="S290" s="11"/>
      <c r="T290" s="11">
        <v>0.39600000000000002</v>
      </c>
      <c r="U290" s="11">
        <v>0.19</v>
      </c>
      <c r="V290" s="11">
        <v>0</v>
      </c>
      <c r="W290" s="11">
        <v>63</v>
      </c>
      <c r="X290" s="11">
        <v>110</v>
      </c>
      <c r="Y290" s="11">
        <v>0.6</v>
      </c>
      <c r="Z290" s="11"/>
      <c r="AA290" s="11">
        <v>0</v>
      </c>
      <c r="AB290" s="11">
        <v>0.41699999999999998</v>
      </c>
      <c r="AC290" s="11">
        <v>8</v>
      </c>
      <c r="AD290" s="11">
        <v>6.5000000000000002E-2</v>
      </c>
      <c r="AE290" s="11">
        <v>3.9E-2</v>
      </c>
      <c r="AF290" s="11">
        <v>0.34200000000000003</v>
      </c>
      <c r="AG290" s="11">
        <v>78</v>
      </c>
      <c r="AH290" s="11">
        <v>0</v>
      </c>
      <c r="AI290" s="11">
        <v>0</v>
      </c>
      <c r="AJ290" s="11">
        <v>0.1</v>
      </c>
      <c r="AK290" s="11">
        <v>25</v>
      </c>
      <c r="AL290" s="11">
        <v>1</v>
      </c>
      <c r="AM290" s="11">
        <v>0</v>
      </c>
      <c r="AN290" s="11">
        <v>0.01</v>
      </c>
      <c r="AO290" s="11">
        <v>0</v>
      </c>
      <c r="AP290" s="11">
        <v>0</v>
      </c>
      <c r="AQ290" s="11">
        <v>0.40799999999999997</v>
      </c>
      <c r="AR290" s="11">
        <v>0.40799999999999997</v>
      </c>
      <c r="AS290" s="11">
        <v>0.1167</v>
      </c>
      <c r="AT290" s="11">
        <v>8.2140000000000005E-2</v>
      </c>
      <c r="AU290" s="11">
        <v>6.2609999999999999E-2</v>
      </c>
      <c r="AV290" s="11">
        <v>6.6170000000000007E-2</v>
      </c>
      <c r="AW290" s="11">
        <v>4.9020000000000001E-2</v>
      </c>
      <c r="AX290" s="9">
        <f>Tabelle1[[#This Row],[Vitamin D3 '[µg/100g']]]*40</f>
        <v>0</v>
      </c>
      <c r="AY290" s="9">
        <f>Tabelle1[[#This Row],[Vitamin A '[µg/100g']]]*3.33</f>
        <v>26.64</v>
      </c>
      <c r="AZ290" s="9">
        <f>Tabelle1[[#This Row],[Vitamin E '[mg/100g']]]*1.49</f>
        <v>0.62132999999999994</v>
      </c>
    </row>
    <row r="291" spans="1:52" hidden="1" x14ac:dyDescent="0.45">
      <c r="A291" t="s">
        <v>534</v>
      </c>
      <c r="B291" s="3" t="s">
        <v>452</v>
      </c>
      <c r="C291" s="4" t="s">
        <v>453</v>
      </c>
      <c r="D291" s="11">
        <v>99</v>
      </c>
      <c r="E291" s="13">
        <f>Tabelle1[[#This Row],[Energie '[kcal/100g']]]/239</f>
        <v>0.41422594142259417</v>
      </c>
      <c r="F291" s="11">
        <v>2.5659999999999998</v>
      </c>
      <c r="G291" s="13">
        <f>Tabelle1[[#This Row],[Rohprotein '[g/100g']]]*0.85</f>
        <v>2.1810999999999998</v>
      </c>
      <c r="H291" s="11">
        <v>1.0669999999999999</v>
      </c>
      <c r="I291" s="11">
        <f>Tabelle1[[#This Row],[TS]]-Tabelle1[[#This Row],[Rohprotein '[g/100g']]]-Tabelle1[[#This Row],[Rohfett '[g/100g']]]-Tabelle1[[#This Row],[Rohasche '[g/100g']]]-Tabelle1[[#This Row],[Rohfaser '[g/100g']]]</f>
        <v>25.382999999999999</v>
      </c>
      <c r="J291" s="11">
        <v>0</v>
      </c>
      <c r="K291" s="11">
        <v>0.28399999999999997</v>
      </c>
      <c r="L291" s="11">
        <v>70.7</v>
      </c>
      <c r="M291" s="11">
        <f>100-Tabelle1[[#This Row],[Wasser '[g/100g']]]</f>
        <v>29.299999999999997</v>
      </c>
      <c r="N291" s="11">
        <v>2.61</v>
      </c>
      <c r="O291" s="11">
        <v>63</v>
      </c>
      <c r="P291" s="11">
        <v>28.4</v>
      </c>
      <c r="Q291" s="11">
        <v>1</v>
      </c>
      <c r="R291" s="11">
        <v>63</v>
      </c>
      <c r="S291" s="11"/>
      <c r="T291" s="11">
        <v>0.44500000000000001</v>
      </c>
      <c r="U291" s="11">
        <v>0.21</v>
      </c>
      <c r="V291" s="11">
        <v>0</v>
      </c>
      <c r="W291" s="11">
        <v>71</v>
      </c>
      <c r="X291" s="11">
        <v>124</v>
      </c>
      <c r="Y291" s="11">
        <v>0.6</v>
      </c>
      <c r="Z291" s="11"/>
      <c r="AA291" s="11">
        <v>0</v>
      </c>
      <c r="AB291" s="11">
        <v>0.46899999999999997</v>
      </c>
      <c r="AC291" s="11">
        <v>9</v>
      </c>
      <c r="AD291" s="11">
        <v>5.7000000000000002E-2</v>
      </c>
      <c r="AE291" s="11">
        <v>4.2000000000000003E-2</v>
      </c>
      <c r="AF291" s="11">
        <v>0.35399999999999998</v>
      </c>
      <c r="AG291" s="11">
        <v>79</v>
      </c>
      <c r="AH291" s="11">
        <v>0</v>
      </c>
      <c r="AI291" s="11">
        <v>0</v>
      </c>
      <c r="AJ291" s="11">
        <v>0.1</v>
      </c>
      <c r="AK291" s="11">
        <v>17</v>
      </c>
      <c r="AL291" s="11">
        <v>1</v>
      </c>
      <c r="AM291" s="11">
        <v>0</v>
      </c>
      <c r="AN291" s="11">
        <v>1.0999999999999999E-2</v>
      </c>
      <c r="AO291" s="11">
        <v>0</v>
      </c>
      <c r="AP291" s="11">
        <v>0</v>
      </c>
      <c r="AQ291" s="11">
        <v>0.45800000000000002</v>
      </c>
      <c r="AR291" s="11">
        <v>0.45800000000000002</v>
      </c>
      <c r="AS291" s="11">
        <v>0.13111999999999999</v>
      </c>
      <c r="AT291" s="11">
        <v>9.2289999999999997E-2</v>
      </c>
      <c r="AU291" s="11">
        <v>7.0349999999999996E-2</v>
      </c>
      <c r="AV291" s="11">
        <v>7.4349999999999999E-2</v>
      </c>
      <c r="AW291" s="11">
        <v>5.5079999999999997E-2</v>
      </c>
      <c r="AX291" s="9">
        <f>Tabelle1[[#This Row],[Vitamin D3 '[µg/100g']]]*40</f>
        <v>0</v>
      </c>
      <c r="AY291" s="9">
        <f>Tabelle1[[#This Row],[Vitamin A '[µg/100g']]]*3.33</f>
        <v>29.97</v>
      </c>
      <c r="AZ291" s="9">
        <f>Tabelle1[[#This Row],[Vitamin E '[mg/100g']]]*1.49</f>
        <v>0.69880999999999993</v>
      </c>
    </row>
    <row r="292" spans="1:52" hidden="1" x14ac:dyDescent="0.45">
      <c r="A292" t="s">
        <v>534</v>
      </c>
      <c r="B292" s="3" t="s">
        <v>454</v>
      </c>
      <c r="C292" s="4" t="s">
        <v>455</v>
      </c>
      <c r="D292" s="11">
        <v>330</v>
      </c>
      <c r="E292" s="13">
        <f>Tabelle1[[#This Row],[Energie '[kcal/100g']]]/239</f>
        <v>1.3807531380753137</v>
      </c>
      <c r="F292" s="11">
        <v>8.6630000000000003</v>
      </c>
      <c r="G292" s="13">
        <f>Tabelle1[[#This Row],[Rohprotein '[g/100g']]]*0.85</f>
        <v>7.36355</v>
      </c>
      <c r="H292" s="11">
        <v>2.82</v>
      </c>
      <c r="I292" s="11">
        <f>Tabelle1[[#This Row],[TS]]-Tabelle1[[#This Row],[Rohprotein '[g/100g']]]-Tabelle1[[#This Row],[Rohfett '[g/100g']]]-Tabelle1[[#This Row],[Rohasche '[g/100g']]]-Tabelle1[[#This Row],[Rohfaser '[g/100g']]]</f>
        <v>75.357000000000014</v>
      </c>
      <c r="J292" s="11">
        <v>0</v>
      </c>
      <c r="K292" s="11">
        <v>1.1599999999999999</v>
      </c>
      <c r="L292" s="11">
        <v>12</v>
      </c>
      <c r="M292" s="11">
        <f>100-Tabelle1[[#This Row],[Wasser '[g/100g']]]</f>
        <v>88</v>
      </c>
      <c r="N292" s="11">
        <v>18</v>
      </c>
      <c r="O292" s="11">
        <v>256</v>
      </c>
      <c r="P292" s="11">
        <v>47</v>
      </c>
      <c r="Q292" s="11">
        <v>1</v>
      </c>
      <c r="R292" s="11">
        <v>120</v>
      </c>
      <c r="S292" s="11"/>
      <c r="T292" s="11">
        <v>2.4</v>
      </c>
      <c r="U292" s="11">
        <v>0.68</v>
      </c>
      <c r="V292" s="11">
        <v>0</v>
      </c>
      <c r="W292" s="11">
        <v>82</v>
      </c>
      <c r="X292" s="11">
        <v>170</v>
      </c>
      <c r="Y292" s="11">
        <v>2.6</v>
      </c>
      <c r="Z292" s="11"/>
      <c r="AA292" s="11">
        <v>0</v>
      </c>
      <c r="AB292" s="11">
        <v>1.5</v>
      </c>
      <c r="AC292" s="11">
        <v>33</v>
      </c>
      <c r="AD292" s="11">
        <v>0.44</v>
      </c>
      <c r="AE292" s="11">
        <v>0.13</v>
      </c>
      <c r="AF292" s="11">
        <v>1.93</v>
      </c>
      <c r="AG292" s="11">
        <v>60</v>
      </c>
      <c r="AH292" s="11">
        <v>0</v>
      </c>
      <c r="AI292" s="11">
        <v>0</v>
      </c>
      <c r="AJ292" s="11">
        <v>0.3</v>
      </c>
      <c r="AK292" s="11">
        <v>10.1</v>
      </c>
      <c r="AL292" s="11">
        <v>7</v>
      </c>
      <c r="AM292" s="11">
        <v>0</v>
      </c>
      <c r="AN292" s="11">
        <v>2.5000000000000001E-2</v>
      </c>
      <c r="AO292" s="11">
        <v>0</v>
      </c>
      <c r="AP292" s="11">
        <v>0</v>
      </c>
      <c r="AQ292" s="11">
        <v>1.41</v>
      </c>
      <c r="AR292" s="11">
        <v>1.41</v>
      </c>
      <c r="AS292" s="11">
        <v>0.3725</v>
      </c>
      <c r="AT292" s="11">
        <v>0.191</v>
      </c>
      <c r="AU292" s="11">
        <v>0.23400000000000001</v>
      </c>
      <c r="AV292" s="11">
        <v>0.28149999999999997</v>
      </c>
      <c r="AW292" s="11">
        <v>0.17349999999999999</v>
      </c>
      <c r="AX292" s="9">
        <f>Tabelle1[[#This Row],[Vitamin D3 '[µg/100g']]]*40</f>
        <v>0</v>
      </c>
      <c r="AY292" s="9">
        <f>Tabelle1[[#This Row],[Vitamin A '[µg/100g']]]*3.33</f>
        <v>109.89</v>
      </c>
      <c r="AZ292" s="9">
        <f>Tabelle1[[#This Row],[Vitamin E '[mg/100g']]]*1.49</f>
        <v>2.2349999999999999</v>
      </c>
    </row>
    <row r="293" spans="1:52" hidden="1" x14ac:dyDescent="0.45">
      <c r="A293" t="s">
        <v>534</v>
      </c>
      <c r="B293" s="3" t="s">
        <v>456</v>
      </c>
      <c r="C293" s="4" t="s">
        <v>457</v>
      </c>
      <c r="D293" s="11">
        <v>336</v>
      </c>
      <c r="E293" s="13">
        <f>Tabelle1[[#This Row],[Energie '[kcal/100g']]]/239</f>
        <v>1.405857740585774</v>
      </c>
      <c r="F293" s="11">
        <v>8.6560000000000006</v>
      </c>
      <c r="G293" s="13">
        <f>Tabelle1[[#This Row],[Rohprotein '[g/100g']]]*0.85</f>
        <v>7.3576000000000006</v>
      </c>
      <c r="H293" s="11">
        <v>3.8</v>
      </c>
      <c r="I293" s="11">
        <f>Tabelle1[[#This Row],[TS]]-Tabelle1[[#This Row],[Rohprotein '[g/100g']]]-Tabelle1[[#This Row],[Rohfett '[g/100g']]]-Tabelle1[[#This Row],[Rohasche '[g/100g']]]-Tabelle1[[#This Row],[Rohfaser '[g/100g']]]</f>
        <v>75.051999999999992</v>
      </c>
      <c r="J293" s="11">
        <v>0</v>
      </c>
      <c r="K293" s="11">
        <v>1.3</v>
      </c>
      <c r="L293" s="11">
        <v>11.192</v>
      </c>
      <c r="M293" s="11">
        <f>100-Tabelle1[[#This Row],[Wasser '[g/100g']]]</f>
        <v>88.807999999999993</v>
      </c>
      <c r="N293" s="11">
        <v>8.34</v>
      </c>
      <c r="O293" s="11">
        <v>213</v>
      </c>
      <c r="P293" s="11">
        <v>91.2</v>
      </c>
      <c r="Q293" s="11">
        <v>6</v>
      </c>
      <c r="R293" s="11">
        <v>270</v>
      </c>
      <c r="S293" s="11"/>
      <c r="T293" s="11">
        <v>1.5</v>
      </c>
      <c r="U293" s="11">
        <v>0.68</v>
      </c>
      <c r="V293" s="11">
        <v>0</v>
      </c>
      <c r="W293" s="11">
        <v>240</v>
      </c>
      <c r="X293" s="11">
        <v>396</v>
      </c>
      <c r="Y293" s="11">
        <v>2.6</v>
      </c>
      <c r="Z293" s="11"/>
      <c r="AA293" s="11">
        <v>0</v>
      </c>
      <c r="AB293" s="11">
        <v>1.5</v>
      </c>
      <c r="AC293" s="11">
        <v>33</v>
      </c>
      <c r="AD293" s="11">
        <v>0.36</v>
      </c>
      <c r="AE293" s="11">
        <v>0.2</v>
      </c>
      <c r="AF293" s="11">
        <v>1.5</v>
      </c>
      <c r="AG293" s="11">
        <v>400</v>
      </c>
      <c r="AH293" s="11">
        <v>0</v>
      </c>
      <c r="AI293" s="11">
        <v>0</v>
      </c>
      <c r="AJ293" s="11">
        <v>0.3</v>
      </c>
      <c r="AK293" s="11">
        <v>129</v>
      </c>
      <c r="AL293" s="11">
        <v>6</v>
      </c>
      <c r="AM293" s="11">
        <v>0</v>
      </c>
      <c r="AN293" s="11">
        <v>0.04</v>
      </c>
      <c r="AO293" s="11">
        <v>0</v>
      </c>
      <c r="AP293" s="11">
        <v>0</v>
      </c>
      <c r="AQ293" s="11">
        <v>1.63</v>
      </c>
      <c r="AR293" s="11">
        <v>1.63</v>
      </c>
      <c r="AS293" s="11">
        <v>0.44224999999999998</v>
      </c>
      <c r="AT293" s="11">
        <v>0.31125000000000003</v>
      </c>
      <c r="AU293" s="11">
        <v>0.23724999999999999</v>
      </c>
      <c r="AV293" s="11">
        <v>0.25074999999999997</v>
      </c>
      <c r="AW293" s="11">
        <v>0.18575</v>
      </c>
      <c r="AX293" s="9">
        <f>Tabelle1[[#This Row],[Vitamin D3 '[µg/100g']]]*40</f>
        <v>0</v>
      </c>
      <c r="AY293" s="9">
        <f>Tabelle1[[#This Row],[Vitamin A '[µg/100g']]]*3.33</f>
        <v>109.89</v>
      </c>
      <c r="AZ293" s="9">
        <f>Tabelle1[[#This Row],[Vitamin E '[mg/100g']]]*1.49</f>
        <v>2.2349999999999999</v>
      </c>
    </row>
    <row r="294" spans="1:52" hidden="1" x14ac:dyDescent="0.45">
      <c r="A294" t="s">
        <v>534</v>
      </c>
      <c r="B294" s="3" t="s">
        <v>458</v>
      </c>
      <c r="C294" s="4" t="s">
        <v>459</v>
      </c>
      <c r="D294" s="11">
        <v>348</v>
      </c>
      <c r="E294" s="13">
        <f>Tabelle1[[#This Row],[Energie '[kcal/100g']]]/239</f>
        <v>1.4560669456066946</v>
      </c>
      <c r="F294" s="11">
        <v>0.43099999999999999</v>
      </c>
      <c r="G294" s="13">
        <f>Tabelle1[[#This Row],[Rohprotein '[g/100g']]]*0.85</f>
        <v>0.36635000000000001</v>
      </c>
      <c r="H294" s="11">
        <v>0.08</v>
      </c>
      <c r="I294" s="11">
        <f>Tabelle1[[#This Row],[TS]]-Tabelle1[[#This Row],[Rohprotein '[g/100g']]]-Tabelle1[[#This Row],[Rohfett '[g/100g']]]-Tabelle1[[#This Row],[Rohasche '[g/100g']]]-Tabelle1[[#This Row],[Rohfaser '[g/100g']]]</f>
        <v>86.669000000000011</v>
      </c>
      <c r="J294" s="11">
        <v>0</v>
      </c>
      <c r="K294" s="11">
        <v>0.22</v>
      </c>
      <c r="L294" s="11">
        <v>12.6</v>
      </c>
      <c r="M294" s="11">
        <f>100-Tabelle1[[#This Row],[Wasser '[g/100g']]]</f>
        <v>87.4</v>
      </c>
      <c r="N294" s="11">
        <v>10</v>
      </c>
      <c r="O294" s="11">
        <v>30</v>
      </c>
      <c r="P294" s="11">
        <v>2</v>
      </c>
      <c r="Q294" s="11">
        <v>3</v>
      </c>
      <c r="R294" s="11">
        <v>7</v>
      </c>
      <c r="S294" s="11"/>
      <c r="T294" s="11">
        <v>0.5</v>
      </c>
      <c r="U294" s="11">
        <v>0.06</v>
      </c>
      <c r="V294" s="11">
        <v>0</v>
      </c>
      <c r="W294" s="11">
        <v>50</v>
      </c>
      <c r="X294" s="11">
        <v>1000</v>
      </c>
      <c r="Y294" s="11">
        <v>2.5</v>
      </c>
      <c r="Z294" s="11"/>
      <c r="AA294" s="11">
        <v>0</v>
      </c>
      <c r="AB294" s="11">
        <v>0</v>
      </c>
      <c r="AC294" s="11">
        <v>0</v>
      </c>
      <c r="AD294" s="11">
        <v>0</v>
      </c>
      <c r="AE294" s="11">
        <v>8.0000000000000002E-3</v>
      </c>
      <c r="AF294" s="11">
        <v>0.03</v>
      </c>
      <c r="AG294" s="11">
        <v>5</v>
      </c>
      <c r="AH294" s="11">
        <v>0</v>
      </c>
      <c r="AI294" s="11">
        <v>0</v>
      </c>
      <c r="AJ294" s="11">
        <v>0</v>
      </c>
      <c r="AK294" s="11">
        <v>0</v>
      </c>
      <c r="AL294" s="11">
        <v>6</v>
      </c>
      <c r="AM294" s="11">
        <v>0</v>
      </c>
      <c r="AN294" s="11">
        <v>1E-3</v>
      </c>
      <c r="AO294" s="11">
        <v>0</v>
      </c>
      <c r="AP294" s="11">
        <v>0</v>
      </c>
      <c r="AQ294" s="11">
        <v>0.04</v>
      </c>
      <c r="AR294" s="11">
        <v>0.04</v>
      </c>
      <c r="AS294" s="11">
        <v>1.9E-2</v>
      </c>
      <c r="AT294" s="11">
        <v>8.9999999999999993E-3</v>
      </c>
      <c r="AU294" s="11">
        <v>1.2E-2</v>
      </c>
      <c r="AV294" s="11">
        <v>1.4E-2</v>
      </c>
      <c r="AW294" s="11">
        <v>8.9999999999999993E-3</v>
      </c>
      <c r="AX294" s="9">
        <f>Tabelle1[[#This Row],[Vitamin D3 '[µg/100g']]]*40</f>
        <v>0</v>
      </c>
      <c r="AY294" s="9">
        <f>Tabelle1[[#This Row],[Vitamin A '[µg/100g']]]*3.33</f>
        <v>0</v>
      </c>
      <c r="AZ294" s="9">
        <f>Tabelle1[[#This Row],[Vitamin E '[mg/100g']]]*1.49</f>
        <v>0</v>
      </c>
    </row>
    <row r="295" spans="1:52" hidden="1" x14ac:dyDescent="0.45">
      <c r="A295" t="s">
        <v>972</v>
      </c>
      <c r="B295" s="3" t="s">
        <v>945</v>
      </c>
      <c r="C295" s="4" t="s">
        <v>946</v>
      </c>
      <c r="D295" s="11">
        <v>900</v>
      </c>
      <c r="E295" s="11">
        <f>Tabelle1[[#This Row],[Energie '[kcal/100g']]]/239</f>
        <v>3.7656903765690375</v>
      </c>
      <c r="F295" s="11">
        <v>0</v>
      </c>
      <c r="G295" s="11">
        <f>Tabelle1[[#This Row],[Rohprotein '[g/100g']]]*0.85</f>
        <v>0</v>
      </c>
      <c r="H295" s="11">
        <v>100</v>
      </c>
      <c r="I295" s="11">
        <f>Tabelle1[[#This Row],[TS]]-Tabelle1[[#This Row],[Rohprotein '[g/100g']]]-Tabelle1[[#This Row],[Rohfett '[g/100g']]]-Tabelle1[[#This Row],[Rohasche '[g/100g']]]-Tabelle1[[#This Row],[Rohfaser '[g/100g']]]</f>
        <v>0</v>
      </c>
      <c r="J295" s="11">
        <v>0</v>
      </c>
      <c r="K295" s="11">
        <v>0</v>
      </c>
      <c r="L295" s="11">
        <v>0</v>
      </c>
      <c r="M295" s="11">
        <f>100-Tabelle1[[#This Row],[Wasser '[g/100g']]]</f>
        <v>100</v>
      </c>
      <c r="N295" s="11">
        <v>15</v>
      </c>
      <c r="O295" s="11">
        <v>0</v>
      </c>
      <c r="P295" s="11">
        <v>0</v>
      </c>
      <c r="Q295" s="11">
        <v>1</v>
      </c>
      <c r="R295" s="11">
        <v>1</v>
      </c>
      <c r="S295" s="11"/>
      <c r="T295" s="11">
        <v>0.03</v>
      </c>
      <c r="U295" s="11">
        <v>5.0099999999999997E-3</v>
      </c>
      <c r="V295" s="11">
        <v>0</v>
      </c>
      <c r="W295" s="11">
        <v>0</v>
      </c>
      <c r="X295" s="11">
        <v>0</v>
      </c>
      <c r="Y295" s="11">
        <v>0</v>
      </c>
      <c r="Z295" s="11"/>
      <c r="AA295" s="11">
        <v>0</v>
      </c>
      <c r="AB295" s="11">
        <v>25.69</v>
      </c>
      <c r="AC295" s="11">
        <v>23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2.6</v>
      </c>
      <c r="AK295" s="11">
        <v>0</v>
      </c>
      <c r="AL295" s="11">
        <v>0</v>
      </c>
      <c r="AM295" s="11">
        <v>0</v>
      </c>
      <c r="AN295" s="11">
        <v>0.96</v>
      </c>
      <c r="AO295" s="11">
        <v>0</v>
      </c>
      <c r="AP295" s="11">
        <v>0</v>
      </c>
      <c r="AQ295" s="11">
        <v>55.528599999999997</v>
      </c>
      <c r="AR295" s="11">
        <v>55.528599999999997</v>
      </c>
      <c r="AS295" s="11">
        <v>0</v>
      </c>
      <c r="AT295" s="11">
        <v>0</v>
      </c>
      <c r="AU295" s="11">
        <v>0</v>
      </c>
      <c r="AV295" s="11">
        <v>0</v>
      </c>
      <c r="AW295" s="11">
        <v>0</v>
      </c>
      <c r="AX295" s="9">
        <f>Tabelle1[[#This Row],[Vitamin D3 '[µg/100g']]]*40</f>
        <v>0</v>
      </c>
      <c r="AY295" s="9">
        <f>Tabelle1[[#This Row],[Vitamin A '[µg/100g']]]*3.33</f>
        <v>76.59</v>
      </c>
      <c r="AZ295" s="9">
        <f>Tabelle1[[#This Row],[Vitamin E '[mg/100g']]]*1.49</f>
        <v>38.278100000000002</v>
      </c>
    </row>
    <row r="296" spans="1:52" x14ac:dyDescent="0.45">
      <c r="A296" t="s">
        <v>1165</v>
      </c>
      <c r="B296" s="3"/>
      <c r="C296" s="4" t="s">
        <v>1166</v>
      </c>
      <c r="D296" s="11">
        <v>0</v>
      </c>
      <c r="E296" s="11">
        <f>Tabelle1[[#This Row],[Energie '[kcal/100g']]]/239</f>
        <v>0</v>
      </c>
      <c r="F296" s="11">
        <v>0.1</v>
      </c>
      <c r="G296" s="11">
        <f>Tabelle1[[#This Row],[Rohprotein '[g/100g']]]*0.85</f>
        <v>8.5000000000000006E-2</v>
      </c>
      <c r="H296" s="11">
        <v>0</v>
      </c>
      <c r="I296" s="11">
        <f>Tabelle1[[#This Row],[TS]]-Tabelle1[[#This Row],[Rohprotein '[g/100g']]]-Tabelle1[[#This Row],[Rohfett '[g/100g']]]-Tabelle1[[#This Row],[Rohasche '[g/100g']]]-Tabelle1[[#This Row],[Rohfaser '[g/100g']]]</f>
        <v>89.9</v>
      </c>
      <c r="J296" s="11">
        <v>0</v>
      </c>
      <c r="K296" s="11">
        <v>0</v>
      </c>
      <c r="L296" s="11">
        <v>10</v>
      </c>
      <c r="M296" s="11">
        <f>100-Tabelle1[[#This Row],[Wasser '[g/100g']]]</f>
        <v>90</v>
      </c>
      <c r="N296" s="11">
        <v>19000</v>
      </c>
      <c r="O296" s="11">
        <v>5000</v>
      </c>
      <c r="P296" s="11">
        <v>1200</v>
      </c>
      <c r="Q296" s="11">
        <v>1000</v>
      </c>
      <c r="R296" s="11">
        <v>2000</v>
      </c>
      <c r="S296" s="11"/>
      <c r="T296" s="11">
        <v>75</v>
      </c>
      <c r="U296" s="11">
        <v>200</v>
      </c>
      <c r="V296" s="11">
        <v>0</v>
      </c>
      <c r="W296" s="11">
        <v>20000</v>
      </c>
      <c r="X296" s="11">
        <v>10000</v>
      </c>
      <c r="Y296" s="11">
        <v>4500</v>
      </c>
      <c r="Z296" s="11"/>
      <c r="AA296" s="11">
        <v>62.5</v>
      </c>
      <c r="AB296" s="11">
        <v>90</v>
      </c>
      <c r="AC296" s="11">
        <v>7207.21</v>
      </c>
      <c r="AD296" s="11">
        <v>5</v>
      </c>
      <c r="AE296" s="11">
        <v>15</v>
      </c>
      <c r="AF296" s="11">
        <v>0</v>
      </c>
      <c r="AG296" s="11">
        <v>0</v>
      </c>
      <c r="AH296" s="11">
        <v>100</v>
      </c>
      <c r="AI296" s="11">
        <v>0</v>
      </c>
      <c r="AJ296" s="11">
        <v>0</v>
      </c>
      <c r="AK296" s="11">
        <v>1000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0</v>
      </c>
      <c r="AU296" s="11">
        <v>0</v>
      </c>
      <c r="AV296" s="11">
        <v>0</v>
      </c>
      <c r="AW296" s="11">
        <v>0</v>
      </c>
      <c r="AX296" s="9">
        <f>Tabelle1[[#This Row],[Vitamin D3 '[µg/100g']]]*40</f>
        <v>2500</v>
      </c>
      <c r="AY296" s="9">
        <f>Tabelle1[[#This Row],[Vitamin A '[µg/100g']]]*3.33</f>
        <v>24000.009300000002</v>
      </c>
      <c r="AZ296" s="9">
        <f>Tabelle1[[#This Row],[Vitamin E '[mg/100g']]]*1.49</f>
        <v>134.1</v>
      </c>
    </row>
    <row r="297" spans="1:52" x14ac:dyDescent="0.45">
      <c r="A297" t="s">
        <v>1165</v>
      </c>
      <c r="B297" s="3"/>
      <c r="C297" s="4" t="s">
        <v>1167</v>
      </c>
      <c r="D297" s="11">
        <v>0</v>
      </c>
      <c r="E297" s="11">
        <f>Tabelle1[[#This Row],[Energie '[kcal/100g']]]/239</f>
        <v>0</v>
      </c>
      <c r="F297" s="11">
        <v>0</v>
      </c>
      <c r="G297" s="11">
        <f>Tabelle1[[#This Row],[Rohprotein '[g/100g']]]*0.85</f>
        <v>0</v>
      </c>
      <c r="H297" s="11">
        <v>0</v>
      </c>
      <c r="I297" s="11">
        <f>Tabelle1[[#This Row],[TS]]-Tabelle1[[#This Row],[Rohprotein '[g/100g']]]-Tabelle1[[#This Row],[Rohfett '[g/100g']]]-Tabelle1[[#This Row],[Rohasche '[g/100g']]]-Tabelle1[[#This Row],[Rohfaser '[g/100g']]]</f>
        <v>90</v>
      </c>
      <c r="J297" s="11">
        <v>0</v>
      </c>
      <c r="K297" s="11">
        <v>0</v>
      </c>
      <c r="L297" s="11">
        <v>10</v>
      </c>
      <c r="M297" s="11">
        <f>100-Tabelle1[[#This Row],[Wasser '[g/100g']]]</f>
        <v>90</v>
      </c>
      <c r="N297" s="11">
        <v>21000</v>
      </c>
      <c r="O297" s="11">
        <v>2000</v>
      </c>
      <c r="P297" s="11">
        <v>1300</v>
      </c>
      <c r="Q297" s="11">
        <v>1000</v>
      </c>
      <c r="R297" s="11">
        <v>0</v>
      </c>
      <c r="S297" s="11"/>
      <c r="T297" s="11">
        <v>100</v>
      </c>
      <c r="U297" s="11">
        <v>300</v>
      </c>
      <c r="V297" s="11">
        <v>0</v>
      </c>
      <c r="W297" s="11">
        <v>35000</v>
      </c>
      <c r="X297" s="11">
        <v>20000</v>
      </c>
      <c r="Y297" s="11">
        <v>6000</v>
      </c>
      <c r="Z297" s="11"/>
      <c r="AA297" s="11">
        <v>75</v>
      </c>
      <c r="AB297" s="11">
        <v>200</v>
      </c>
      <c r="AC297" s="11">
        <v>7800</v>
      </c>
      <c r="AD297" s="11">
        <v>20</v>
      </c>
      <c r="AE297" s="11">
        <v>40</v>
      </c>
      <c r="AF297" s="11">
        <v>100</v>
      </c>
      <c r="AG297" s="11">
        <v>12000</v>
      </c>
      <c r="AH297" s="11">
        <v>300</v>
      </c>
      <c r="AI297" s="11">
        <v>0</v>
      </c>
      <c r="AJ297" s="11">
        <v>0</v>
      </c>
      <c r="AK297" s="11">
        <v>500</v>
      </c>
      <c r="AL297" s="11">
        <v>100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  <c r="AT297" s="11">
        <v>0</v>
      </c>
      <c r="AU297" s="11">
        <v>0</v>
      </c>
      <c r="AV297" s="11">
        <v>0</v>
      </c>
      <c r="AW297" s="11">
        <v>0</v>
      </c>
      <c r="AX297" s="9">
        <f>Tabelle1[[#This Row],[Vitamin D3 '[µg/100g']]]*40</f>
        <v>3000</v>
      </c>
      <c r="AY297" s="9">
        <f>Tabelle1[[#This Row],[Vitamin A '[µg/100g']]]*3.33</f>
        <v>25974</v>
      </c>
      <c r="AZ297" s="9">
        <f>Tabelle1[[#This Row],[Vitamin E '[mg/100g']]]*1.49</f>
        <v>298</v>
      </c>
    </row>
    <row r="298" spans="1:52" hidden="1" x14ac:dyDescent="0.45">
      <c r="A298" t="s">
        <v>972</v>
      </c>
      <c r="B298" s="3" t="s">
        <v>939</v>
      </c>
      <c r="C298" s="4" t="s">
        <v>940</v>
      </c>
      <c r="D298" s="11">
        <v>899</v>
      </c>
      <c r="E298" s="11">
        <f>Tabelle1[[#This Row],[Energie '[kcal/100g']]]/239</f>
        <v>3.7615062761506275</v>
      </c>
      <c r="F298" s="11">
        <v>0</v>
      </c>
      <c r="G298" s="11">
        <f>Tabelle1[[#This Row],[Rohprotein '[g/100g']]]*0.85</f>
        <v>0</v>
      </c>
      <c r="H298" s="11">
        <v>99.9</v>
      </c>
      <c r="I298" s="11">
        <f>Tabelle1[[#This Row],[TS]]-Tabelle1[[#This Row],[Rohprotein '[g/100g']]]-Tabelle1[[#This Row],[Rohfett '[g/100g']]]-Tabelle1[[#This Row],[Rohasche '[g/100g']]]-Tabelle1[[#This Row],[Rohfaser '[g/100g']]]</f>
        <v>-6.5000000000026148E-3</v>
      </c>
      <c r="J298" s="11">
        <v>0</v>
      </c>
      <c r="K298" s="11">
        <v>0</v>
      </c>
      <c r="L298" s="11">
        <v>0.1065</v>
      </c>
      <c r="M298" s="11">
        <f>100-Tabelle1[[#This Row],[Wasser '[g/100g']]]</f>
        <v>99.893500000000003</v>
      </c>
      <c r="N298" s="11">
        <v>0.23152800000000001</v>
      </c>
      <c r="O298" s="11">
        <v>2.4980000000000002</v>
      </c>
      <c r="P298" s="11">
        <v>0.80999699999999997</v>
      </c>
      <c r="Q298" s="11">
        <v>1.49</v>
      </c>
      <c r="R298" s="11">
        <v>1.31</v>
      </c>
      <c r="S298" s="11"/>
      <c r="T298" s="11">
        <v>0.13170899999999999</v>
      </c>
      <c r="U298" s="11">
        <v>4.4690000000000001E-2</v>
      </c>
      <c r="V298" s="11">
        <v>0</v>
      </c>
      <c r="W298" s="11">
        <v>4.625</v>
      </c>
      <c r="X298" s="11">
        <v>1.391</v>
      </c>
      <c r="Y298" s="11">
        <v>0.1326</v>
      </c>
      <c r="Z298" s="11"/>
      <c r="AA298" s="11">
        <v>0</v>
      </c>
      <c r="AB298" s="11">
        <v>20.204999999999998</v>
      </c>
      <c r="AC298" s="11">
        <v>37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58</v>
      </c>
      <c r="AK298" s="11">
        <v>0</v>
      </c>
      <c r="AL298" s="11">
        <v>0</v>
      </c>
      <c r="AM298" s="11">
        <v>0</v>
      </c>
      <c r="AN298" s="11">
        <v>0.7</v>
      </c>
      <c r="AO298" s="11">
        <v>0</v>
      </c>
      <c r="AP298" s="11">
        <v>0</v>
      </c>
      <c r="AQ298" s="11">
        <v>6.7</v>
      </c>
      <c r="AR298" s="11">
        <v>6.7</v>
      </c>
      <c r="AS298" s="11">
        <v>0</v>
      </c>
      <c r="AT298" s="11">
        <v>0</v>
      </c>
      <c r="AU298" s="11">
        <v>0</v>
      </c>
      <c r="AV298" s="11">
        <v>0</v>
      </c>
      <c r="AW298" s="11">
        <v>0</v>
      </c>
      <c r="AX298" s="9">
        <f>Tabelle1[[#This Row],[Vitamin D3 '[µg/100g']]]*40</f>
        <v>0</v>
      </c>
      <c r="AY298" s="9">
        <f>Tabelle1[[#This Row],[Vitamin A '[µg/100g']]]*3.33</f>
        <v>123.21000000000001</v>
      </c>
      <c r="AZ298" s="9">
        <f>Tabelle1[[#This Row],[Vitamin E '[mg/100g']]]*1.49</f>
        <v>30.105449999999998</v>
      </c>
    </row>
    <row r="299" spans="1:52" hidden="1" x14ac:dyDescent="0.45">
      <c r="A299" t="s">
        <v>877</v>
      </c>
      <c r="B299" s="5" t="s">
        <v>829</v>
      </c>
      <c r="C299" s="6" t="s">
        <v>830</v>
      </c>
      <c r="D299" s="13">
        <v>70</v>
      </c>
      <c r="E299" s="11">
        <f>Tabelle1[[#This Row],[Energie '[kcal/100g']]]/239</f>
        <v>0.29288702928870292</v>
      </c>
      <c r="F299" s="13">
        <v>3.1617999999999999</v>
      </c>
      <c r="G299" s="11">
        <f>Tabelle1[[#This Row],[Rohprotein '[g/100g']]]*0.85</f>
        <v>2.6875299999999998</v>
      </c>
      <c r="H299" s="13">
        <v>0.50600000000000001</v>
      </c>
      <c r="I299" s="11">
        <f>Tabelle1[[#This Row],[TS]]-Tabelle1[[#This Row],[Rohprotein '[g/100g']]]-Tabelle1[[#This Row],[Rohfett '[g/100g']]]-Tabelle1[[#This Row],[Rohasche '[g/100g']]]-Tabelle1[[#This Row],[Rohfaser '[g/100g']]]</f>
        <v>17.503200000000003</v>
      </c>
      <c r="J299" s="11">
        <v>0</v>
      </c>
      <c r="K299" s="13">
        <v>1.5289999999999999</v>
      </c>
      <c r="L299" s="13">
        <v>77.3</v>
      </c>
      <c r="M299" s="13">
        <f>100-Tabelle1[[#This Row],[Wasser '[g/100g']]]</f>
        <v>22.700000000000003</v>
      </c>
      <c r="N299" s="13">
        <v>54</v>
      </c>
      <c r="O299" s="13">
        <v>96.861999999999995</v>
      </c>
      <c r="P299" s="13">
        <v>38</v>
      </c>
      <c r="Q299" s="13">
        <v>9</v>
      </c>
      <c r="R299" s="13">
        <v>699</v>
      </c>
      <c r="S299" s="13"/>
      <c r="T299" s="13">
        <v>0.76500000000000001</v>
      </c>
      <c r="U299" s="13">
        <v>0.747</v>
      </c>
      <c r="V299" s="11">
        <v>0</v>
      </c>
      <c r="W299" s="13">
        <v>141</v>
      </c>
      <c r="X299" s="13">
        <v>353</v>
      </c>
      <c r="Y299" s="13">
        <v>2.1</v>
      </c>
      <c r="Z299" s="13"/>
      <c r="AA299" s="13">
        <v>0</v>
      </c>
      <c r="AB299" s="13">
        <v>1.0349999999999999</v>
      </c>
      <c r="AC299" s="13">
        <v>4</v>
      </c>
      <c r="AD299" s="13">
        <v>0.08</v>
      </c>
      <c r="AE299" s="13">
        <v>0.14499999999999999</v>
      </c>
      <c r="AF299" s="13">
        <v>1.028</v>
      </c>
      <c r="AG299" s="13">
        <v>119</v>
      </c>
      <c r="AH299" s="13">
        <v>0</v>
      </c>
      <c r="AI299" s="13">
        <v>17.364999999999998</v>
      </c>
      <c r="AJ299" s="13">
        <v>1</v>
      </c>
      <c r="AK299" s="13">
        <v>52</v>
      </c>
      <c r="AL299" s="13">
        <v>0</v>
      </c>
      <c r="AM299" s="13">
        <v>0</v>
      </c>
      <c r="AN299" s="13">
        <v>2.5000000000000001E-2</v>
      </c>
      <c r="AO299" s="13">
        <v>0</v>
      </c>
      <c r="AP299" s="13">
        <v>0</v>
      </c>
      <c r="AQ299" s="13">
        <v>0.27500000000000002</v>
      </c>
      <c r="AR299" s="13">
        <v>0.27500000000000002</v>
      </c>
      <c r="AS299" s="13">
        <v>0.16400000000000001</v>
      </c>
      <c r="AT299" s="13">
        <v>5.0000000000000001E-3</v>
      </c>
      <c r="AU299" s="13">
        <v>2.5000000000000001E-2</v>
      </c>
      <c r="AV299" s="13">
        <v>9.1999999999999998E-2</v>
      </c>
      <c r="AW299" s="13">
        <v>1.9E-2</v>
      </c>
      <c r="AX299" s="9">
        <f>Tabelle1[[#This Row],[Vitamin D3 '[µg/100g']]]*40</f>
        <v>0</v>
      </c>
      <c r="AY299" s="9">
        <f>Tabelle1[[#This Row],[Vitamin A '[µg/100g']]]*3.33</f>
        <v>13.32</v>
      </c>
      <c r="AZ299" s="9">
        <f>Tabelle1[[#This Row],[Vitamin E '[mg/100g']]]*1.49</f>
        <v>1.5421499999999999</v>
      </c>
    </row>
    <row r="300" spans="1:52" hidden="1" x14ac:dyDescent="0.45">
      <c r="A300" t="s">
        <v>877</v>
      </c>
      <c r="B300" s="3" t="s">
        <v>831</v>
      </c>
      <c r="C300" s="4" t="s">
        <v>832</v>
      </c>
      <c r="D300" s="11">
        <v>109</v>
      </c>
      <c r="E300" s="11">
        <f>Tabelle1[[#This Row],[Energie '[kcal/100g']]]/239</f>
        <v>0.45606694560669458</v>
      </c>
      <c r="F300" s="11">
        <v>4.9768999999999997</v>
      </c>
      <c r="G300" s="11">
        <f>Tabelle1[[#This Row],[Rohprotein '[g/100g']]]*0.85</f>
        <v>4.2303649999999999</v>
      </c>
      <c r="H300" s="11">
        <v>0.79600000000000004</v>
      </c>
      <c r="I300" s="11">
        <f>Tabelle1[[#This Row],[TS]]-Tabelle1[[#This Row],[Rohprotein '[g/100g']]]-Tabelle1[[#This Row],[Rohfett '[g/100g']]]-Tabelle1[[#This Row],[Rohasche '[g/100g']]]-Tabelle1[[#This Row],[Rohfaser '[g/100g']]]</f>
        <v>25.8201</v>
      </c>
      <c r="J300" s="11">
        <v>0</v>
      </c>
      <c r="K300" s="11">
        <v>2.407</v>
      </c>
      <c r="L300" s="11">
        <v>66</v>
      </c>
      <c r="M300" s="11">
        <f>100-Tabelle1[[#This Row],[Wasser '[g/100g']]]</f>
        <v>34</v>
      </c>
      <c r="N300" s="11">
        <v>85</v>
      </c>
      <c r="O300" s="11">
        <v>152.46899999999999</v>
      </c>
      <c r="P300" s="11">
        <v>59</v>
      </c>
      <c r="Q300" s="11">
        <v>15</v>
      </c>
      <c r="R300" s="11">
        <v>1100</v>
      </c>
      <c r="S300" s="11"/>
      <c r="T300" s="11">
        <v>1.204</v>
      </c>
      <c r="U300" s="11">
        <v>1.1759999999999999</v>
      </c>
      <c r="V300" s="11">
        <v>0</v>
      </c>
      <c r="W300" s="11">
        <v>222</v>
      </c>
      <c r="X300" s="11">
        <v>556</v>
      </c>
      <c r="Y300" s="11">
        <v>3.3</v>
      </c>
      <c r="Z300" s="11"/>
      <c r="AA300" s="11">
        <v>0</v>
      </c>
      <c r="AB300" s="11">
        <v>1.63</v>
      </c>
      <c r="AC300" s="11">
        <v>6</v>
      </c>
      <c r="AD300" s="11">
        <v>0.13300000000000001</v>
      </c>
      <c r="AE300" s="11">
        <v>0.22900000000000001</v>
      </c>
      <c r="AF300" s="11">
        <v>1.6539999999999999</v>
      </c>
      <c r="AG300" s="11">
        <v>183</v>
      </c>
      <c r="AH300" s="11">
        <v>0</v>
      </c>
      <c r="AI300" s="11">
        <v>28.332999999999998</v>
      </c>
      <c r="AJ300" s="11">
        <v>2</v>
      </c>
      <c r="AK300" s="11">
        <v>76</v>
      </c>
      <c r="AL300" s="11">
        <v>0</v>
      </c>
      <c r="AM300" s="11">
        <v>0</v>
      </c>
      <c r="AN300" s="11">
        <v>3.9E-2</v>
      </c>
      <c r="AO300" s="11">
        <v>0</v>
      </c>
      <c r="AP300" s="11">
        <v>0</v>
      </c>
      <c r="AQ300" s="11">
        <v>0.433</v>
      </c>
      <c r="AR300" s="11">
        <v>0.433</v>
      </c>
      <c r="AS300" s="11">
        <v>0.25700000000000001</v>
      </c>
      <c r="AT300" s="11">
        <v>7.0000000000000001E-3</v>
      </c>
      <c r="AU300" s="11">
        <v>3.9E-2</v>
      </c>
      <c r="AV300" s="11">
        <v>0.14399999999999999</v>
      </c>
      <c r="AW300" s="11">
        <v>0.03</v>
      </c>
      <c r="AX300" s="9">
        <f>Tabelle1[[#This Row],[Vitamin D3 '[µg/100g']]]*40</f>
        <v>0</v>
      </c>
      <c r="AY300" s="9">
        <f>Tabelle1[[#This Row],[Vitamin A '[µg/100g']]]*3.33</f>
        <v>19.98</v>
      </c>
      <c r="AZ300" s="9">
        <f>Tabelle1[[#This Row],[Vitamin E '[mg/100g']]]*1.49</f>
        <v>2.4286999999999996</v>
      </c>
    </row>
    <row r="301" spans="1:52" hidden="1" x14ac:dyDescent="0.45">
      <c r="A301" t="s">
        <v>877</v>
      </c>
      <c r="B301" s="3" t="s">
        <v>833</v>
      </c>
      <c r="C301" s="4" t="s">
        <v>834</v>
      </c>
      <c r="D301" s="11">
        <v>58</v>
      </c>
      <c r="E301" s="11">
        <f>Tabelle1[[#This Row],[Energie '[kcal/100g']]]/239</f>
        <v>0.24267782426778242</v>
      </c>
      <c r="F301" s="11">
        <v>2.6347999999999998</v>
      </c>
      <c r="G301" s="11">
        <f>Tabelle1[[#This Row],[Rohprotein '[g/100g']]]*0.85</f>
        <v>2.2395799999999997</v>
      </c>
      <c r="H301" s="11">
        <v>0.42199999999999999</v>
      </c>
      <c r="I301" s="11">
        <f>Tabelle1[[#This Row],[TS]]-Tabelle1[[#This Row],[Rohprotein '[g/100g']]]-Tabelle1[[#This Row],[Rohfett '[g/100g']]]-Tabelle1[[#This Row],[Rohasche '[g/100g']]]-Tabelle1[[#This Row],[Rohfaser '[g/100g']]]</f>
        <v>15.168200000000001</v>
      </c>
      <c r="J301" s="11">
        <v>0</v>
      </c>
      <c r="K301" s="11">
        <v>1.2749999999999999</v>
      </c>
      <c r="L301" s="11">
        <v>80.5</v>
      </c>
      <c r="M301" s="11">
        <f>100-Tabelle1[[#This Row],[Wasser '[g/100g']]]</f>
        <v>19.5</v>
      </c>
      <c r="N301" s="11">
        <v>45</v>
      </c>
      <c r="O301" s="11">
        <v>80.718999999999994</v>
      </c>
      <c r="P301" s="11">
        <v>31</v>
      </c>
      <c r="Q301" s="11">
        <v>8</v>
      </c>
      <c r="R301" s="11">
        <v>582</v>
      </c>
      <c r="S301" s="11"/>
      <c r="T301" s="11">
        <v>0.63700000000000001</v>
      </c>
      <c r="U301" s="11">
        <v>0.623</v>
      </c>
      <c r="V301" s="11">
        <v>0</v>
      </c>
      <c r="W301" s="11">
        <v>118</v>
      </c>
      <c r="X301" s="11">
        <v>294</v>
      </c>
      <c r="Y301" s="11">
        <v>1.8</v>
      </c>
      <c r="Z301" s="11"/>
      <c r="AA301" s="11">
        <v>0</v>
      </c>
      <c r="AB301" s="11">
        <v>0.86299999999999999</v>
      </c>
      <c r="AC301" s="11">
        <v>3</v>
      </c>
      <c r="AD301" s="11">
        <v>7.0999999999999994E-2</v>
      </c>
      <c r="AE301" s="11">
        <v>0.121</v>
      </c>
      <c r="AF301" s="11">
        <v>0.875</v>
      </c>
      <c r="AG301" s="11">
        <v>97</v>
      </c>
      <c r="AH301" s="11">
        <v>0</v>
      </c>
      <c r="AI301" s="11">
        <v>15</v>
      </c>
      <c r="AJ301" s="11">
        <v>1</v>
      </c>
      <c r="AK301" s="11">
        <v>40</v>
      </c>
      <c r="AL301" s="11">
        <v>0</v>
      </c>
      <c r="AM301" s="11">
        <v>0</v>
      </c>
      <c r="AN301" s="11">
        <v>2.1000000000000001E-2</v>
      </c>
      <c r="AO301" s="11">
        <v>0</v>
      </c>
      <c r="AP301" s="11">
        <v>0</v>
      </c>
      <c r="AQ301" s="11">
        <v>0.22900000000000001</v>
      </c>
      <c r="AR301" s="11">
        <v>0.22900000000000001</v>
      </c>
      <c r="AS301" s="11">
        <v>0.13600000000000001</v>
      </c>
      <c r="AT301" s="11">
        <v>4.0000000000000001E-3</v>
      </c>
      <c r="AU301" s="11">
        <v>2.1000000000000001E-2</v>
      </c>
      <c r="AV301" s="11">
        <v>7.5999999999999998E-2</v>
      </c>
      <c r="AW301" s="11">
        <v>1.6E-2</v>
      </c>
      <c r="AX301" s="9">
        <f>Tabelle1[[#This Row],[Vitamin D3 '[µg/100g']]]*40</f>
        <v>0</v>
      </c>
      <c r="AY301" s="9">
        <f>Tabelle1[[#This Row],[Vitamin A '[µg/100g']]]*3.33</f>
        <v>9.99</v>
      </c>
      <c r="AZ301" s="9">
        <f>Tabelle1[[#This Row],[Vitamin E '[mg/100g']]]*1.49</f>
        <v>1.2858700000000001</v>
      </c>
    </row>
    <row r="302" spans="1:52" hidden="1" x14ac:dyDescent="0.45">
      <c r="A302" t="s">
        <v>877</v>
      </c>
      <c r="B302" s="5" t="s">
        <v>835</v>
      </c>
      <c r="C302" s="6" t="s">
        <v>836</v>
      </c>
      <c r="D302" s="13">
        <v>72</v>
      </c>
      <c r="E302" s="11">
        <f>Tabelle1[[#This Row],[Energie '[kcal/100g']]]/239</f>
        <v>0.30125523012552302</v>
      </c>
      <c r="F302" s="13">
        <v>1.2</v>
      </c>
      <c r="G302" s="11">
        <f>Tabelle1[[#This Row],[Rohprotein '[g/100g']]]*0.85</f>
        <v>1.02</v>
      </c>
      <c r="H302" s="13">
        <v>0.7</v>
      </c>
      <c r="I302" s="11">
        <f>Tabelle1[[#This Row],[TS]]-Tabelle1[[#This Row],[Rohprotein '[g/100g']]]-Tabelle1[[#This Row],[Rohfett '[g/100g']]]-Tabelle1[[#This Row],[Rohasche '[g/100g']]]-Tabelle1[[#This Row],[Rohfaser '[g/100g']]]</f>
        <v>16.900000000000002</v>
      </c>
      <c r="J302" s="11">
        <v>0</v>
      </c>
      <c r="K302" s="13">
        <v>0.7</v>
      </c>
      <c r="L302" s="13">
        <v>80.5</v>
      </c>
      <c r="M302" s="13">
        <f>100-Tabelle1[[#This Row],[Wasser '[g/100g']]]</f>
        <v>19.5</v>
      </c>
      <c r="N302" s="13">
        <v>34</v>
      </c>
      <c r="O302" s="13">
        <v>55</v>
      </c>
      <c r="P302" s="13">
        <v>16</v>
      </c>
      <c r="Q302" s="13">
        <v>3</v>
      </c>
      <c r="R302" s="13">
        <v>319</v>
      </c>
      <c r="S302" s="13"/>
      <c r="T302" s="13">
        <v>0.44</v>
      </c>
      <c r="U302" s="13">
        <v>0.26</v>
      </c>
      <c r="V302" s="11">
        <v>0</v>
      </c>
      <c r="W302" s="13">
        <v>70</v>
      </c>
      <c r="X302" s="13">
        <v>270</v>
      </c>
      <c r="Y302" s="13">
        <v>3.8</v>
      </c>
      <c r="Z302" s="13"/>
      <c r="AA302" s="13">
        <v>0</v>
      </c>
      <c r="AB302" s="13">
        <v>0.83</v>
      </c>
      <c r="AC302" s="13">
        <v>50</v>
      </c>
      <c r="AD302" s="13">
        <v>0.06</v>
      </c>
      <c r="AE302" s="13">
        <v>0.02</v>
      </c>
      <c r="AF302" s="13">
        <v>0.6</v>
      </c>
      <c r="AG302" s="13">
        <v>130</v>
      </c>
      <c r="AH302" s="13">
        <v>0</v>
      </c>
      <c r="AI302" s="13">
        <v>10</v>
      </c>
      <c r="AJ302" s="13">
        <v>1</v>
      </c>
      <c r="AK302" s="13">
        <v>41</v>
      </c>
      <c r="AL302" s="13">
        <v>0</v>
      </c>
      <c r="AM302" s="13">
        <v>0</v>
      </c>
      <c r="AN302" s="13">
        <v>1.7999999999999999E-2</v>
      </c>
      <c r="AO302" s="13">
        <v>0</v>
      </c>
      <c r="AP302" s="13">
        <v>0</v>
      </c>
      <c r="AQ302" s="13">
        <v>0.19900000000000001</v>
      </c>
      <c r="AR302" s="13">
        <v>0.19900000000000001</v>
      </c>
      <c r="AS302" s="13">
        <v>0.11799999999999999</v>
      </c>
      <c r="AT302" s="13">
        <v>3.0000000000000001E-3</v>
      </c>
      <c r="AU302" s="13">
        <v>1.7999999999999999E-2</v>
      </c>
      <c r="AV302" s="13">
        <v>6.6000000000000003E-2</v>
      </c>
      <c r="AW302" s="13">
        <v>1.4E-2</v>
      </c>
      <c r="AX302" s="9">
        <f>Tabelle1[[#This Row],[Vitamin D3 '[µg/100g']]]*40</f>
        <v>0</v>
      </c>
      <c r="AY302" s="9">
        <f>Tabelle1[[#This Row],[Vitamin A '[µg/100g']]]*3.33</f>
        <v>166.5</v>
      </c>
      <c r="AZ302" s="9">
        <f>Tabelle1[[#This Row],[Vitamin E '[mg/100g']]]*1.49</f>
        <v>1.2366999999999999</v>
      </c>
    </row>
    <row r="303" spans="1:52" hidden="1" x14ac:dyDescent="0.45">
      <c r="A303" t="s">
        <v>877</v>
      </c>
      <c r="B303" s="3" t="s">
        <v>837</v>
      </c>
      <c r="C303" s="4" t="s">
        <v>838</v>
      </c>
      <c r="D303" s="11">
        <v>71</v>
      </c>
      <c r="E303" s="11">
        <f>Tabelle1[[#This Row],[Energie '[kcal/100g']]]/239</f>
        <v>0.29707112970711297</v>
      </c>
      <c r="F303" s="11">
        <v>3.2056</v>
      </c>
      <c r="G303" s="11">
        <f>Tabelle1[[#This Row],[Rohprotein '[g/100g']]]*0.85</f>
        <v>2.7247599999999998</v>
      </c>
      <c r="H303" s="11">
        <v>0.51300000000000001</v>
      </c>
      <c r="I303" s="11">
        <f>Tabelle1[[#This Row],[TS]]-Tabelle1[[#This Row],[Rohprotein '[g/100g']]]-Tabelle1[[#This Row],[Rohfett '[g/100g']]]-Tabelle1[[#This Row],[Rohasche '[g/100g']]]-Tabelle1[[#This Row],[Rohfaser '[g/100g']]]</f>
        <v>17.915400000000002</v>
      </c>
      <c r="J303" s="11">
        <v>0</v>
      </c>
      <c r="K303" s="11">
        <v>1.5660000000000001</v>
      </c>
      <c r="L303" s="11">
        <v>76.8</v>
      </c>
      <c r="M303" s="11">
        <f>100-Tabelle1[[#This Row],[Wasser '[g/100g']]]</f>
        <v>23.200000000000003</v>
      </c>
      <c r="N303" s="11">
        <v>55</v>
      </c>
      <c r="O303" s="11">
        <v>99.195999999999998</v>
      </c>
      <c r="P303" s="11">
        <v>39</v>
      </c>
      <c r="Q303" s="11">
        <v>10</v>
      </c>
      <c r="R303" s="11">
        <v>709</v>
      </c>
      <c r="S303" s="11"/>
      <c r="T303" s="11">
        <v>0.78300000000000003</v>
      </c>
      <c r="U303" s="11">
        <v>0.75700000000000001</v>
      </c>
      <c r="V303" s="11">
        <v>0</v>
      </c>
      <c r="W303" s="11">
        <v>145</v>
      </c>
      <c r="X303" s="11">
        <v>361</v>
      </c>
      <c r="Y303" s="11">
        <v>2.2000000000000002</v>
      </c>
      <c r="Z303" s="11"/>
      <c r="AA303" s="11">
        <v>0</v>
      </c>
      <c r="AB303" s="11">
        <v>1.06</v>
      </c>
      <c r="AC303" s="11">
        <v>4</v>
      </c>
      <c r="AD303" s="11">
        <v>7.3999999999999996E-2</v>
      </c>
      <c r="AE303" s="11">
        <v>0.155</v>
      </c>
      <c r="AF303" s="11">
        <v>0.98499999999999999</v>
      </c>
      <c r="AG303" s="11">
        <v>103</v>
      </c>
      <c r="AH303" s="11">
        <v>0</v>
      </c>
      <c r="AI303" s="11">
        <v>17.349</v>
      </c>
      <c r="AJ303" s="11">
        <v>1</v>
      </c>
      <c r="AK303" s="11">
        <v>53</v>
      </c>
      <c r="AL303" s="11">
        <v>0</v>
      </c>
      <c r="AM303" s="11">
        <v>0</v>
      </c>
      <c r="AN303" s="11">
        <v>2.5000000000000001E-2</v>
      </c>
      <c r="AO303" s="11">
        <v>0</v>
      </c>
      <c r="AP303" s="11">
        <v>0</v>
      </c>
      <c r="AQ303" s="11">
        <v>0.27900000000000003</v>
      </c>
      <c r="AR303" s="11">
        <v>0.27900000000000003</v>
      </c>
      <c r="AS303" s="11">
        <v>0.16600000000000001</v>
      </c>
      <c r="AT303" s="11">
        <v>5.0000000000000001E-3</v>
      </c>
      <c r="AU303" s="11">
        <v>2.5000000000000001E-2</v>
      </c>
      <c r="AV303" s="11">
        <v>9.2999999999999999E-2</v>
      </c>
      <c r="AW303" s="11">
        <v>1.9E-2</v>
      </c>
      <c r="AX303" s="9">
        <f>Tabelle1[[#This Row],[Vitamin D3 '[µg/100g']]]*40</f>
        <v>0</v>
      </c>
      <c r="AY303" s="9">
        <f>Tabelle1[[#This Row],[Vitamin A '[µg/100g']]]*3.33</f>
        <v>13.32</v>
      </c>
      <c r="AZ303" s="9">
        <f>Tabelle1[[#This Row],[Vitamin E '[mg/100g']]]*1.49</f>
        <v>1.5794000000000001</v>
      </c>
    </row>
    <row r="304" spans="1:52" hidden="1" x14ac:dyDescent="0.45">
      <c r="A304" t="s">
        <v>877</v>
      </c>
      <c r="B304" s="5" t="s">
        <v>839</v>
      </c>
      <c r="C304" s="6" t="s">
        <v>840</v>
      </c>
      <c r="D304" s="13">
        <v>59</v>
      </c>
      <c r="E304" s="11">
        <f>Tabelle1[[#This Row],[Energie '[kcal/100g']]]/239</f>
        <v>0.24686192468619247</v>
      </c>
      <c r="F304" s="13">
        <v>2.6875</v>
      </c>
      <c r="G304" s="11">
        <f>Tabelle1[[#This Row],[Rohprotein '[g/100g']]]*0.85</f>
        <v>2.2843749999999998</v>
      </c>
      <c r="H304" s="13">
        <v>0.43</v>
      </c>
      <c r="I304" s="11">
        <f>Tabelle1[[#This Row],[TS]]-Tabelle1[[#This Row],[Rohprotein '[g/100g']]]-Tabelle1[[#This Row],[Rohfett '[g/100g']]]-Tabelle1[[#This Row],[Rohasche '[g/100g']]]-Tabelle1[[#This Row],[Rohfaser '[g/100g']]]</f>
        <v>15.382499999999997</v>
      </c>
      <c r="J304" s="11">
        <v>0</v>
      </c>
      <c r="K304" s="13">
        <v>1.3</v>
      </c>
      <c r="L304" s="13">
        <v>80.2</v>
      </c>
      <c r="M304" s="13">
        <f>100-Tabelle1[[#This Row],[Wasser '[g/100g']]]</f>
        <v>19.799999999999997</v>
      </c>
      <c r="N304" s="13">
        <v>46</v>
      </c>
      <c r="O304" s="13">
        <v>82.332999999999998</v>
      </c>
      <c r="P304" s="13">
        <v>32</v>
      </c>
      <c r="Q304" s="13">
        <v>8</v>
      </c>
      <c r="R304" s="13">
        <v>594</v>
      </c>
      <c r="S304" s="13"/>
      <c r="T304" s="13">
        <v>0.65</v>
      </c>
      <c r="U304" s="13">
        <v>0.63500000000000001</v>
      </c>
      <c r="V304" s="11">
        <v>0</v>
      </c>
      <c r="W304" s="13">
        <v>120</v>
      </c>
      <c r="X304" s="13">
        <v>300</v>
      </c>
      <c r="Y304" s="13">
        <v>1.9</v>
      </c>
      <c r="Z304" s="13"/>
      <c r="AA304" s="13">
        <v>0</v>
      </c>
      <c r="AB304" s="13">
        <v>0.88</v>
      </c>
      <c r="AC304" s="13">
        <v>3</v>
      </c>
      <c r="AD304" s="13">
        <v>0.08</v>
      </c>
      <c r="AE304" s="13">
        <v>0.13</v>
      </c>
      <c r="AF304" s="13">
        <v>0.94</v>
      </c>
      <c r="AG304" s="13">
        <v>110</v>
      </c>
      <c r="AH304" s="13">
        <v>0</v>
      </c>
      <c r="AI304" s="13">
        <v>18</v>
      </c>
      <c r="AJ304" s="13">
        <v>1</v>
      </c>
      <c r="AK304" s="13">
        <v>59</v>
      </c>
      <c r="AL304" s="13">
        <v>0</v>
      </c>
      <c r="AM304" s="13">
        <v>0</v>
      </c>
      <c r="AN304" s="13">
        <v>2.1000000000000001E-2</v>
      </c>
      <c r="AO304" s="13">
        <v>0</v>
      </c>
      <c r="AP304" s="13">
        <v>0</v>
      </c>
      <c r="AQ304" s="13">
        <v>0.23400000000000001</v>
      </c>
      <c r="AR304" s="13">
        <v>0.23400000000000001</v>
      </c>
      <c r="AS304" s="13">
        <v>0.13900000000000001</v>
      </c>
      <c r="AT304" s="13">
        <v>4.0000000000000001E-3</v>
      </c>
      <c r="AU304" s="13">
        <v>2.1000000000000001E-2</v>
      </c>
      <c r="AV304" s="13">
        <v>7.8E-2</v>
      </c>
      <c r="AW304" s="13">
        <v>1.6E-2</v>
      </c>
      <c r="AX304" s="9">
        <f>Tabelle1[[#This Row],[Vitamin D3 '[µg/100g']]]*40</f>
        <v>0</v>
      </c>
      <c r="AY304" s="9">
        <f>Tabelle1[[#This Row],[Vitamin A '[µg/100g']]]*3.33</f>
        <v>9.99</v>
      </c>
      <c r="AZ304" s="9">
        <f>Tabelle1[[#This Row],[Vitamin E '[mg/100g']]]*1.49</f>
        <v>1.3111999999999999</v>
      </c>
    </row>
    <row r="305" spans="1:52" hidden="1" x14ac:dyDescent="0.45">
      <c r="A305" t="s">
        <v>58</v>
      </c>
      <c r="B305" s="3" t="s">
        <v>293</v>
      </c>
      <c r="C305" s="4" t="s">
        <v>294</v>
      </c>
      <c r="D305" s="11">
        <v>167</v>
      </c>
      <c r="E305" s="13">
        <f>Tabelle1[[#This Row],[Energie '[kcal/100g']]]/239</f>
        <v>0.69874476987447698</v>
      </c>
      <c r="F305" s="11">
        <v>29.9</v>
      </c>
      <c r="G305" s="13">
        <f>Tabelle1[[#This Row],[Rohprotein '[g/100g']]]*0.85</f>
        <v>25.414999999999999</v>
      </c>
      <c r="H305" s="11">
        <v>5.23</v>
      </c>
      <c r="I305" s="11">
        <f>Tabelle1[[#This Row],[TS]]-Tabelle1[[#This Row],[Rohprotein '[g/100g']]]-Tabelle1[[#This Row],[Rohfett '[g/100g']]]-Tabelle1[[#This Row],[Rohasche '[g/100g']]]-Tabelle1[[#This Row],[Rohfaser '[g/100g']]]</f>
        <v>5.0000000000002487E-2</v>
      </c>
      <c r="J305" s="11">
        <v>0</v>
      </c>
      <c r="K305" s="11">
        <v>1.42</v>
      </c>
      <c r="L305" s="11">
        <v>63.4</v>
      </c>
      <c r="M305" s="11">
        <f>100-Tabelle1[[#This Row],[Wasser '[g/100g']]]</f>
        <v>36.6</v>
      </c>
      <c r="N305" s="11">
        <v>14</v>
      </c>
      <c r="O305" s="11">
        <v>159</v>
      </c>
      <c r="P305" s="11">
        <v>23</v>
      </c>
      <c r="Q305" s="11">
        <v>70</v>
      </c>
      <c r="R305" s="11">
        <v>186</v>
      </c>
      <c r="S305" s="11"/>
      <c r="T305" s="11">
        <v>1</v>
      </c>
      <c r="U305" s="11">
        <v>1.43</v>
      </c>
      <c r="V305" s="11">
        <v>0</v>
      </c>
      <c r="W305" s="11">
        <v>41</v>
      </c>
      <c r="X305" s="11">
        <v>23</v>
      </c>
      <c r="Y305" s="13">
        <v>0</v>
      </c>
      <c r="Z305" s="13"/>
      <c r="AA305" s="11">
        <v>0.2</v>
      </c>
      <c r="AB305" s="11">
        <v>0.64900000000000002</v>
      </c>
      <c r="AC305" s="11">
        <v>22</v>
      </c>
      <c r="AD305" s="11">
        <v>4.8000000000000001E-2</v>
      </c>
      <c r="AE305" s="11">
        <v>0.11899999999999999</v>
      </c>
      <c r="AF305" s="11">
        <v>7.96</v>
      </c>
      <c r="AG305" s="11">
        <v>320</v>
      </c>
      <c r="AH305" s="11">
        <v>0.28999999999999998</v>
      </c>
      <c r="AI305" s="11">
        <v>1.3</v>
      </c>
      <c r="AJ305" s="11">
        <v>4.43</v>
      </c>
      <c r="AK305" s="11">
        <v>4</v>
      </c>
      <c r="AL305" s="11">
        <v>0.83</v>
      </c>
      <c r="AM305" s="11">
        <v>0</v>
      </c>
      <c r="AN305" s="11">
        <v>0.04</v>
      </c>
      <c r="AO305" s="11">
        <v>0.01</v>
      </c>
      <c r="AP305" s="11">
        <v>0.02</v>
      </c>
      <c r="AQ305" s="11">
        <v>0</v>
      </c>
      <c r="AR305" s="11">
        <v>0</v>
      </c>
      <c r="AS305" s="11">
        <v>1.89</v>
      </c>
      <c r="AT305" s="11">
        <v>0.40100000000000002</v>
      </c>
      <c r="AU305" s="11">
        <v>0.871</v>
      </c>
      <c r="AV305" s="11">
        <v>2.42</v>
      </c>
      <c r="AW305" s="11">
        <v>0.79</v>
      </c>
      <c r="AX305" s="9">
        <f>Tabelle1[[#This Row],[Vitamin D3 '[µg/100g']]]*40</f>
        <v>8</v>
      </c>
      <c r="AY305" s="9">
        <f>Tabelle1[[#This Row],[Vitamin A '[µg/100g']]]*3.33</f>
        <v>73.260000000000005</v>
      </c>
      <c r="AZ305" s="9">
        <f>Tabelle1[[#This Row],[Vitamin E '[mg/100g']]]*1.49</f>
        <v>0.96701000000000004</v>
      </c>
    </row>
    <row r="306" spans="1:52" hidden="1" x14ac:dyDescent="0.45">
      <c r="A306" t="s">
        <v>58</v>
      </c>
      <c r="B306" s="5" t="s">
        <v>295</v>
      </c>
      <c r="C306" s="6" t="s">
        <v>296</v>
      </c>
      <c r="D306" s="13">
        <v>152</v>
      </c>
      <c r="E306" s="13">
        <f>Tabelle1[[#This Row],[Energie '[kcal/100g']]]/239</f>
        <v>0.63598326359832635</v>
      </c>
      <c r="F306" s="13">
        <v>23.4</v>
      </c>
      <c r="G306" s="13">
        <f>Tabelle1[[#This Row],[Rohprotein '[g/100g']]]*0.85</f>
        <v>19.889999999999997</v>
      </c>
      <c r="H306" s="13">
        <v>6.45</v>
      </c>
      <c r="I306" s="11">
        <f>Tabelle1[[#This Row],[TS]]-Tabelle1[[#This Row],[Rohprotein '[g/100g']]]-Tabelle1[[#This Row],[Rohfett '[g/100g']]]-Tabelle1[[#This Row],[Rohasche '[g/100g']]]-Tabelle1[[#This Row],[Rohfaser '[g/100g']]]</f>
        <v>-4.4408920985006262E-15</v>
      </c>
      <c r="J306" s="11">
        <v>0</v>
      </c>
      <c r="K306" s="13">
        <v>1.25</v>
      </c>
      <c r="L306" s="13">
        <v>68.900000000000006</v>
      </c>
      <c r="M306" s="13">
        <f>100-Tabelle1[[#This Row],[Wasser '[g/100g']]]</f>
        <v>31.099999999999994</v>
      </c>
      <c r="N306" s="13">
        <v>11</v>
      </c>
      <c r="O306" s="13">
        <v>153</v>
      </c>
      <c r="P306" s="13">
        <v>22</v>
      </c>
      <c r="Q306" s="13">
        <v>67</v>
      </c>
      <c r="R306" s="13">
        <v>193</v>
      </c>
      <c r="S306" s="13"/>
      <c r="T306" s="13">
        <v>0.84</v>
      </c>
      <c r="U306" s="13">
        <v>1.1299999999999999</v>
      </c>
      <c r="V306" s="11">
        <v>0</v>
      </c>
      <c r="W306" s="13">
        <v>43</v>
      </c>
      <c r="X306" s="13">
        <v>18</v>
      </c>
      <c r="Y306" s="13">
        <v>0</v>
      </c>
      <c r="Z306" s="13"/>
      <c r="AA306" s="13">
        <v>0.3</v>
      </c>
      <c r="AB306" s="13">
        <v>0.85450000000000004</v>
      </c>
      <c r="AC306" s="13">
        <v>28</v>
      </c>
      <c r="AD306" s="13">
        <v>5.8999999999999997E-2</v>
      </c>
      <c r="AE306" s="13">
        <v>0.10199999999999999</v>
      </c>
      <c r="AF306" s="13">
        <v>7.67</v>
      </c>
      <c r="AG306" s="13">
        <v>380</v>
      </c>
      <c r="AH306" s="13">
        <v>0.34</v>
      </c>
      <c r="AI306" s="13">
        <v>1.3</v>
      </c>
      <c r="AJ306" s="13">
        <v>5.83</v>
      </c>
      <c r="AK306" s="13">
        <v>5</v>
      </c>
      <c r="AL306" s="13">
        <v>0.84</v>
      </c>
      <c r="AM306" s="13">
        <v>0</v>
      </c>
      <c r="AN306" s="13">
        <v>0.05</v>
      </c>
      <c r="AO306" s="13">
        <v>0.01</v>
      </c>
      <c r="AP306" s="13">
        <v>0.03</v>
      </c>
      <c r="AQ306" s="13">
        <v>0</v>
      </c>
      <c r="AR306" s="13">
        <v>0</v>
      </c>
      <c r="AS306" s="13">
        <v>1.48</v>
      </c>
      <c r="AT306" s="13">
        <v>0.314</v>
      </c>
      <c r="AU306" s="13">
        <v>0.68100000000000005</v>
      </c>
      <c r="AV306" s="13">
        <v>1.89</v>
      </c>
      <c r="AW306" s="13">
        <v>0.61799999999999999</v>
      </c>
      <c r="AX306" s="9">
        <f>Tabelle1[[#This Row],[Vitamin D3 '[µg/100g']]]*40</f>
        <v>12</v>
      </c>
      <c r="AY306" s="9">
        <f>Tabelle1[[#This Row],[Vitamin A '[µg/100g']]]*3.33</f>
        <v>93.240000000000009</v>
      </c>
      <c r="AZ306" s="9">
        <f>Tabelle1[[#This Row],[Vitamin E '[mg/100g']]]*1.49</f>
        <v>1.2732050000000001</v>
      </c>
    </row>
    <row r="307" spans="1:52" hidden="1" x14ac:dyDescent="0.45">
      <c r="A307" t="s">
        <v>877</v>
      </c>
      <c r="B307" s="3" t="s">
        <v>841</v>
      </c>
      <c r="C307" s="4" t="s">
        <v>842</v>
      </c>
      <c r="D307" s="11">
        <v>238</v>
      </c>
      <c r="E307" s="11">
        <f>Tabelle1[[#This Row],[Energie '[kcal/100g']]]/239</f>
        <v>0.99581589958159</v>
      </c>
      <c r="F307" s="11">
        <v>26.6</v>
      </c>
      <c r="G307" s="11">
        <f>Tabelle1[[#This Row],[Rohprotein '[g/100g']]]*0.85</f>
        <v>22.61</v>
      </c>
      <c r="H307" s="11">
        <v>5.5</v>
      </c>
      <c r="I307" s="11">
        <f>Tabelle1[[#This Row],[TS]]-Tabelle1[[#This Row],[Rohprotein '[g/100g']]]-Tabelle1[[#This Row],[Rohfett '[g/100g']]]-Tabelle1[[#This Row],[Rohasche '[g/100g']]]-Tabelle1[[#This Row],[Rohfaser '[g/100g']]]</f>
        <v>50.6</v>
      </c>
      <c r="J307" s="11">
        <v>0</v>
      </c>
      <c r="K307" s="11">
        <v>11.4</v>
      </c>
      <c r="L307" s="11">
        <v>5.9</v>
      </c>
      <c r="M307" s="11">
        <f>100-Tabelle1[[#This Row],[Wasser '[g/100g']]]</f>
        <v>94.1</v>
      </c>
      <c r="N307" s="11">
        <v>1140</v>
      </c>
      <c r="O307" s="11">
        <v>436</v>
      </c>
      <c r="P307" s="11">
        <v>400</v>
      </c>
      <c r="Q307" s="11">
        <v>452</v>
      </c>
      <c r="R307" s="11">
        <v>2680</v>
      </c>
      <c r="S307" s="11"/>
      <c r="T307" s="11">
        <v>22</v>
      </c>
      <c r="U307" s="11">
        <v>5.44</v>
      </c>
      <c r="V307" s="11">
        <v>0</v>
      </c>
      <c r="W307" s="11">
        <v>780</v>
      </c>
      <c r="X307" s="11">
        <v>9810</v>
      </c>
      <c r="Y307" s="11">
        <v>0</v>
      </c>
      <c r="Z307" s="11"/>
      <c r="AA307" s="11">
        <v>0</v>
      </c>
      <c r="AB307" s="11">
        <v>8.9600000000000009</v>
      </c>
      <c r="AC307" s="11">
        <v>193</v>
      </c>
      <c r="AD307" s="11">
        <v>0.19600000000000001</v>
      </c>
      <c r="AE307" s="11">
        <v>2.38</v>
      </c>
      <c r="AF307" s="11">
        <v>9.94</v>
      </c>
      <c r="AG307" s="11">
        <v>900</v>
      </c>
      <c r="AH307" s="11">
        <v>0</v>
      </c>
      <c r="AI307" s="11">
        <v>125</v>
      </c>
      <c r="AJ307" s="11">
        <v>1360</v>
      </c>
      <c r="AK307" s="11">
        <v>180</v>
      </c>
      <c r="AL307" s="11">
        <v>0</v>
      </c>
      <c r="AM307" s="11">
        <v>0</v>
      </c>
      <c r="AN307" s="11">
        <v>1.86</v>
      </c>
      <c r="AO307" s="11">
        <v>0</v>
      </c>
      <c r="AP307" s="11">
        <v>0</v>
      </c>
      <c r="AQ307" s="11">
        <v>1.27</v>
      </c>
      <c r="AR307" s="11">
        <v>1.25</v>
      </c>
      <c r="AS307" s="11">
        <v>1.76</v>
      </c>
      <c r="AT307" s="11">
        <v>0.29799999999999999</v>
      </c>
      <c r="AU307" s="11">
        <v>0.71799999999999997</v>
      </c>
      <c r="AV307" s="11">
        <v>2.1</v>
      </c>
      <c r="AW307" s="11">
        <v>0.59599999999999997</v>
      </c>
      <c r="AX307" s="9">
        <f>Tabelle1[[#This Row],[Vitamin D3 '[µg/100g']]]*40</f>
        <v>0</v>
      </c>
      <c r="AY307" s="9">
        <f>Tabelle1[[#This Row],[Vitamin A '[µg/100g']]]*3.33</f>
        <v>642.69000000000005</v>
      </c>
      <c r="AZ307" s="9">
        <f>Tabelle1[[#This Row],[Vitamin E '[mg/100g']]]*1.49</f>
        <v>13.3504</v>
      </c>
    </row>
    <row r="308" spans="1:52" hidden="1" x14ac:dyDescent="0.45">
      <c r="A308" t="s">
        <v>877</v>
      </c>
      <c r="B308" s="3" t="s">
        <v>843</v>
      </c>
      <c r="C308" s="4" t="s">
        <v>844</v>
      </c>
      <c r="D308" s="11">
        <v>33</v>
      </c>
      <c r="E308" s="11">
        <f>Tabelle1[[#This Row],[Energie '[kcal/100g']]]/239</f>
        <v>0.13807531380753138</v>
      </c>
      <c r="F308" s="11">
        <v>4.0880000000000001</v>
      </c>
      <c r="G308" s="11">
        <f>Tabelle1[[#This Row],[Rohprotein '[g/100g']]]*0.85</f>
        <v>3.4748000000000001</v>
      </c>
      <c r="H308" s="11">
        <v>0.36</v>
      </c>
      <c r="I308" s="11">
        <f>Tabelle1[[#This Row],[TS]]-Tabelle1[[#This Row],[Rohprotein '[g/100g']]]-Tabelle1[[#This Row],[Rohfett '[g/100g']]]-Tabelle1[[#This Row],[Rohasche '[g/100g']]]-Tabelle1[[#This Row],[Rohfaser '[g/100g']]]</f>
        <v>9.002000000000006</v>
      </c>
      <c r="J308" s="11">
        <v>0</v>
      </c>
      <c r="K308" s="11">
        <v>1.7</v>
      </c>
      <c r="L308" s="11">
        <v>84.85</v>
      </c>
      <c r="M308" s="11">
        <f>100-Tabelle1[[#This Row],[Wasser '[g/100g']]]</f>
        <v>15.150000000000006</v>
      </c>
      <c r="N308" s="11">
        <v>138</v>
      </c>
      <c r="O308" s="11">
        <v>87.286000000000001</v>
      </c>
      <c r="P308" s="11">
        <v>38</v>
      </c>
      <c r="Q308" s="11">
        <v>125.5</v>
      </c>
      <c r="R308" s="11">
        <v>445</v>
      </c>
      <c r="S308" s="11"/>
      <c r="T308" s="11">
        <v>3.7909999999999999</v>
      </c>
      <c r="U308" s="11">
        <v>0.83</v>
      </c>
      <c r="V308" s="11">
        <v>0</v>
      </c>
      <c r="W308" s="11">
        <v>107</v>
      </c>
      <c r="X308" s="11">
        <v>1510</v>
      </c>
      <c r="Y308" s="11">
        <v>3.4</v>
      </c>
      <c r="Z308" s="11"/>
      <c r="AA308" s="11">
        <v>0</v>
      </c>
      <c r="AB308" s="11">
        <v>0.75</v>
      </c>
      <c r="AC308" s="11">
        <v>881</v>
      </c>
      <c r="AD308" s="11">
        <v>2.5000000000000001E-2</v>
      </c>
      <c r="AE308" s="11">
        <v>0.3</v>
      </c>
      <c r="AF308" s="11">
        <v>1.35</v>
      </c>
      <c r="AG308" s="11">
        <v>200</v>
      </c>
      <c r="AH308" s="11">
        <v>0</v>
      </c>
      <c r="AI308" s="11">
        <v>159</v>
      </c>
      <c r="AJ308" s="11">
        <v>576</v>
      </c>
      <c r="AK308" s="11">
        <v>148.5</v>
      </c>
      <c r="AL308" s="11">
        <v>0.2</v>
      </c>
      <c r="AM308" s="11">
        <v>0</v>
      </c>
      <c r="AN308" s="11">
        <v>0.12</v>
      </c>
      <c r="AO308" s="11">
        <v>0</v>
      </c>
      <c r="AP308" s="11">
        <v>0</v>
      </c>
      <c r="AQ308" s="11">
        <v>7.1999999999999995E-2</v>
      </c>
      <c r="AR308" s="11">
        <v>7.1999999999999995E-2</v>
      </c>
      <c r="AS308" s="11">
        <v>0.17199999999999999</v>
      </c>
      <c r="AT308" s="11">
        <v>0.02</v>
      </c>
      <c r="AU308" s="11">
        <v>0.1</v>
      </c>
      <c r="AV308" s="11">
        <v>0.28000000000000003</v>
      </c>
      <c r="AW308" s="11">
        <v>2.1000000000000001E-2</v>
      </c>
      <c r="AX308" s="9">
        <f>Tabelle1[[#This Row],[Vitamin D3 '[µg/100g']]]*40</f>
        <v>0</v>
      </c>
      <c r="AY308" s="9">
        <f>Tabelle1[[#This Row],[Vitamin A '[µg/100g']]]*3.33</f>
        <v>2933.73</v>
      </c>
      <c r="AZ308" s="9">
        <f>Tabelle1[[#This Row],[Vitamin E '[mg/100g']]]*1.49</f>
        <v>1.1174999999999999</v>
      </c>
    </row>
    <row r="309" spans="1:52" hidden="1" x14ac:dyDescent="0.45">
      <c r="A309" t="s">
        <v>877</v>
      </c>
      <c r="B309" s="5" t="s">
        <v>845</v>
      </c>
      <c r="C309" s="6" t="s">
        <v>846</v>
      </c>
      <c r="D309" s="13">
        <v>33</v>
      </c>
      <c r="E309" s="11">
        <f>Tabelle1[[#This Row],[Energie '[kcal/100g']]]/239</f>
        <v>0.13807531380753138</v>
      </c>
      <c r="F309" s="13">
        <v>4.0880000000000001</v>
      </c>
      <c r="G309" s="11">
        <f>Tabelle1[[#This Row],[Rohprotein '[g/100g']]]*0.85</f>
        <v>3.4748000000000001</v>
      </c>
      <c r="H309" s="13">
        <v>0.36</v>
      </c>
      <c r="I309" s="11">
        <f>Tabelle1[[#This Row],[TS]]-Tabelle1[[#This Row],[Rohprotein '[g/100g']]]-Tabelle1[[#This Row],[Rohfett '[g/100g']]]-Tabelle1[[#This Row],[Rohasche '[g/100g']]]-Tabelle1[[#This Row],[Rohfaser '[g/100g']]]</f>
        <v>9.002000000000006</v>
      </c>
      <c r="J309" s="11">
        <v>0</v>
      </c>
      <c r="K309" s="13">
        <v>1.7</v>
      </c>
      <c r="L309" s="13">
        <v>84.85</v>
      </c>
      <c r="M309" s="13">
        <f>100-Tabelle1[[#This Row],[Wasser '[g/100g']]]</f>
        <v>15.150000000000006</v>
      </c>
      <c r="N309" s="13">
        <v>138</v>
      </c>
      <c r="O309" s="13">
        <v>87.286000000000001</v>
      </c>
      <c r="P309" s="13">
        <v>38</v>
      </c>
      <c r="Q309" s="13">
        <v>125.5</v>
      </c>
      <c r="R309" s="13">
        <v>445</v>
      </c>
      <c r="S309" s="13"/>
      <c r="T309" s="13">
        <v>3.7909999999999999</v>
      </c>
      <c r="U309" s="13">
        <v>0.83</v>
      </c>
      <c r="V309" s="11">
        <v>0</v>
      </c>
      <c r="W309" s="13">
        <v>107</v>
      </c>
      <c r="X309" s="13">
        <v>1510</v>
      </c>
      <c r="Y309" s="13">
        <v>3.4</v>
      </c>
      <c r="Z309" s="13"/>
      <c r="AA309" s="13">
        <v>0</v>
      </c>
      <c r="AB309" s="13">
        <v>0.75</v>
      </c>
      <c r="AC309" s="13">
        <v>839</v>
      </c>
      <c r="AD309" s="13">
        <v>2.1999999999999999E-2</v>
      </c>
      <c r="AE309" s="13">
        <v>0.3</v>
      </c>
      <c r="AF309" s="13">
        <v>1.282</v>
      </c>
      <c r="AG309" s="13">
        <v>190</v>
      </c>
      <c r="AH309" s="13">
        <v>0</v>
      </c>
      <c r="AI309" s="13">
        <v>111.3</v>
      </c>
      <c r="AJ309" s="13">
        <v>576</v>
      </c>
      <c r="AK309" s="13">
        <v>148.5</v>
      </c>
      <c r="AL309" s="13">
        <v>0.2</v>
      </c>
      <c r="AM309" s="13">
        <v>0</v>
      </c>
      <c r="AN309" s="13">
        <v>0.12</v>
      </c>
      <c r="AO309" s="13">
        <v>0</v>
      </c>
      <c r="AP309" s="13">
        <v>0</v>
      </c>
      <c r="AQ309" s="13">
        <v>7.1999999999999995E-2</v>
      </c>
      <c r="AR309" s="13">
        <v>7.1999999999999995E-2</v>
      </c>
      <c r="AS309" s="13">
        <v>0.17199999999999999</v>
      </c>
      <c r="AT309" s="13">
        <v>0.02</v>
      </c>
      <c r="AU309" s="13">
        <v>0.1</v>
      </c>
      <c r="AV309" s="13">
        <v>0.28000000000000003</v>
      </c>
      <c r="AW309" s="13">
        <v>2.1000000000000001E-2</v>
      </c>
      <c r="AX309" s="9">
        <f>Tabelle1[[#This Row],[Vitamin D3 '[µg/100g']]]*40</f>
        <v>0</v>
      </c>
      <c r="AY309" s="9">
        <f>Tabelle1[[#This Row],[Vitamin A '[µg/100g']]]*3.33</f>
        <v>2793.87</v>
      </c>
      <c r="AZ309" s="9">
        <f>Tabelle1[[#This Row],[Vitamin E '[mg/100g']]]*1.49</f>
        <v>1.1174999999999999</v>
      </c>
    </row>
    <row r="310" spans="1:52" hidden="1" x14ac:dyDescent="0.45">
      <c r="A310" t="s">
        <v>58</v>
      </c>
      <c r="B310" s="3" t="s">
        <v>50</v>
      </c>
      <c r="C310" s="4" t="s">
        <v>51</v>
      </c>
      <c r="D310" s="11">
        <v>150</v>
      </c>
      <c r="E310" s="13">
        <f>Tabelle1[[#This Row],[Energie '[kcal/100g']]]/239</f>
        <v>0.62761506276150625</v>
      </c>
      <c r="F310" s="11">
        <v>29.515999999999998</v>
      </c>
      <c r="G310" s="11">
        <f>Tabelle1[[#This Row],[Rohprotein '[g/100g']]]*0.85</f>
        <v>25.0886</v>
      </c>
      <c r="H310" s="11">
        <v>3.2679999999999998</v>
      </c>
      <c r="I310" s="11">
        <f>Tabelle1[[#This Row],[TS]]-Tabelle1[[#This Row],[Rohprotein '[g/100g']]]-Tabelle1[[#This Row],[Rohfett '[g/100g']]]-Tabelle1[[#This Row],[Rohasche '[g/100g']]]-Tabelle1[[#This Row],[Rohfaser '[g/100g']]]</f>
        <v>0.73499999999999921</v>
      </c>
      <c r="J310" s="11">
        <v>0</v>
      </c>
      <c r="K310" s="11">
        <v>1.1559999999999999</v>
      </c>
      <c r="L310" s="11">
        <v>65.325000000000003</v>
      </c>
      <c r="M310" s="11">
        <f>100-Tabelle1[[#This Row],[Wasser '[g/100g']]]</f>
        <v>34.674999999999997</v>
      </c>
      <c r="N310" s="11">
        <v>12.7</v>
      </c>
      <c r="O310" s="11">
        <v>277</v>
      </c>
      <c r="P310" s="11">
        <v>34</v>
      </c>
      <c r="Q310" s="11">
        <v>55</v>
      </c>
      <c r="R310" s="11">
        <v>460</v>
      </c>
      <c r="S310" s="11"/>
      <c r="T310" s="11">
        <v>7.0940000000000003</v>
      </c>
      <c r="U310" s="11">
        <v>7.3129999999999997</v>
      </c>
      <c r="V310" s="11">
        <v>0</v>
      </c>
      <c r="W310" s="11">
        <v>301</v>
      </c>
      <c r="X310" s="11">
        <v>36</v>
      </c>
      <c r="Y310" s="11">
        <v>6.4</v>
      </c>
      <c r="Z310" s="11"/>
      <c r="AA310" s="11">
        <v>0.47199999999999998</v>
      </c>
      <c r="AB310" s="11">
        <v>0.56100000000000005</v>
      </c>
      <c r="AC310" s="11">
        <v>24</v>
      </c>
      <c r="AD310" s="11">
        <v>9.9000000000000005E-2</v>
      </c>
      <c r="AE310" s="11">
        <v>0.19500000000000001</v>
      </c>
      <c r="AF310" s="11">
        <v>5.3550000000000004</v>
      </c>
      <c r="AG310" s="11">
        <v>463</v>
      </c>
      <c r="AH310" s="11">
        <v>3</v>
      </c>
      <c r="AI310" s="11">
        <v>0</v>
      </c>
      <c r="AJ310" s="11">
        <v>2</v>
      </c>
      <c r="AK310" s="11">
        <v>4</v>
      </c>
      <c r="AL310" s="11">
        <v>4</v>
      </c>
      <c r="AM310" s="11">
        <v>0</v>
      </c>
      <c r="AN310" s="11">
        <v>0.32718399999999997</v>
      </c>
      <c r="AO310" s="11">
        <v>0</v>
      </c>
      <c r="AP310" s="11">
        <v>0</v>
      </c>
      <c r="AQ310" s="11">
        <v>0.36599999999999999</v>
      </c>
      <c r="AR310" s="11">
        <v>0.218667</v>
      </c>
      <c r="AS310" s="11">
        <v>2.5649999999999999</v>
      </c>
      <c r="AT310" s="11">
        <v>0</v>
      </c>
      <c r="AU310" s="11">
        <v>1.2470000000000001</v>
      </c>
      <c r="AV310" s="11">
        <v>2.25</v>
      </c>
      <c r="AW310" s="11">
        <v>1.8340000000000001</v>
      </c>
      <c r="AX310" s="9">
        <f>Tabelle1[[#This Row],[Vitamin D3 '[µg/100g']]]*40</f>
        <v>18.88</v>
      </c>
      <c r="AY310" s="9">
        <f>Tabelle1[[#This Row],[Vitamin A '[µg/100g']]]*3.33</f>
        <v>79.92</v>
      </c>
      <c r="AZ310" s="9">
        <f>Tabelle1[[#This Row],[Vitamin E '[mg/100g']]]*1.49</f>
        <v>0.83589000000000002</v>
      </c>
    </row>
    <row r="311" spans="1:52" hidden="1" x14ac:dyDescent="0.45">
      <c r="A311" t="s">
        <v>58</v>
      </c>
      <c r="B311" s="3" t="s">
        <v>48</v>
      </c>
      <c r="C311" s="4" t="s">
        <v>49</v>
      </c>
      <c r="D311" s="11">
        <v>145</v>
      </c>
      <c r="E311" s="13">
        <f>Tabelle1[[#This Row],[Energie '[kcal/100g']]]/239</f>
        <v>0.60669456066945604</v>
      </c>
      <c r="F311" s="11">
        <v>28.475999999999999</v>
      </c>
      <c r="G311" s="11">
        <f>Tabelle1[[#This Row],[Rohprotein '[g/100g']]]*0.85</f>
        <v>24.204599999999999</v>
      </c>
      <c r="H311" s="11">
        <v>3.2589999999999999</v>
      </c>
      <c r="I311" s="11">
        <f>Tabelle1[[#This Row],[TS]]-Tabelle1[[#This Row],[Rohprotein '[g/100g']]]-Tabelle1[[#This Row],[Rohfett '[g/100g']]]-Tabelle1[[#This Row],[Rohasche '[g/100g']]]-Tabelle1[[#This Row],[Rohfaser '[g/100g']]]</f>
        <v>0.69100000000000339</v>
      </c>
      <c r="J311" s="11">
        <v>0</v>
      </c>
      <c r="K311" s="11">
        <v>1.0089999999999999</v>
      </c>
      <c r="L311" s="11">
        <v>66.564999999999998</v>
      </c>
      <c r="M311" s="11">
        <f>100-Tabelle1[[#This Row],[Wasser '[g/100g']]]</f>
        <v>33.435000000000002</v>
      </c>
      <c r="N311" s="11">
        <v>11.44</v>
      </c>
      <c r="O311" s="11">
        <v>245</v>
      </c>
      <c r="P311" s="11">
        <v>28</v>
      </c>
      <c r="Q311" s="11">
        <v>40</v>
      </c>
      <c r="R311" s="11">
        <v>359</v>
      </c>
      <c r="S311" s="11"/>
      <c r="T311" s="11">
        <v>7.1340000000000003</v>
      </c>
      <c r="U311" s="11">
        <v>7.0620000000000003</v>
      </c>
      <c r="V311" s="11">
        <v>0</v>
      </c>
      <c r="W311" s="11">
        <v>293</v>
      </c>
      <c r="X311" s="11">
        <v>35</v>
      </c>
      <c r="Y311" s="11">
        <v>4.9000000000000004</v>
      </c>
      <c r="Z311" s="11"/>
      <c r="AA311" s="11">
        <v>0.47599999999999998</v>
      </c>
      <c r="AB311" s="11">
        <v>0.56699999999999995</v>
      </c>
      <c r="AC311" s="11">
        <v>25</v>
      </c>
      <c r="AD311" s="11">
        <v>7.5999999999999998E-2</v>
      </c>
      <c r="AE311" s="11">
        <v>0.16800000000000001</v>
      </c>
      <c r="AF311" s="11">
        <v>4.2619999999999996</v>
      </c>
      <c r="AG311" s="11">
        <v>360</v>
      </c>
      <c r="AH311" s="11">
        <v>3</v>
      </c>
      <c r="AI311" s="11">
        <v>0</v>
      </c>
      <c r="AJ311" s="11">
        <v>2</v>
      </c>
      <c r="AK311" s="11">
        <v>3</v>
      </c>
      <c r="AL311" s="11">
        <v>3</v>
      </c>
      <c r="AM311" s="11">
        <v>0</v>
      </c>
      <c r="AN311" s="11">
        <v>0.32630399999999998</v>
      </c>
      <c r="AO311" s="11">
        <v>0</v>
      </c>
      <c r="AP311" s="11">
        <v>0</v>
      </c>
      <c r="AQ311" s="11">
        <v>0.36399999999999999</v>
      </c>
      <c r="AR311" s="11">
        <v>0.218079</v>
      </c>
      <c r="AS311" s="11">
        <v>2.4740000000000002</v>
      </c>
      <c r="AT311" s="11">
        <v>0</v>
      </c>
      <c r="AU311" s="11">
        <v>1.2030000000000001</v>
      </c>
      <c r="AV311" s="11">
        <v>2.17</v>
      </c>
      <c r="AW311" s="11">
        <v>1.7689999999999999</v>
      </c>
      <c r="AX311" s="9">
        <f>Tabelle1[[#This Row],[Vitamin D3 '[µg/100g']]]*40</f>
        <v>19.04</v>
      </c>
      <c r="AY311" s="9">
        <f>Tabelle1[[#This Row],[Vitamin A '[µg/100g']]]*3.33</f>
        <v>83.25</v>
      </c>
      <c r="AZ311" s="9">
        <f>Tabelle1[[#This Row],[Vitamin E '[mg/100g']]]*1.49</f>
        <v>0.84482999999999997</v>
      </c>
    </row>
    <row r="312" spans="1:52" hidden="1" x14ac:dyDescent="0.45">
      <c r="A312" t="s">
        <v>58</v>
      </c>
      <c r="B312" s="3" t="s">
        <v>45</v>
      </c>
      <c r="C312" s="4" t="s">
        <v>46</v>
      </c>
      <c r="D312" s="11">
        <v>108</v>
      </c>
      <c r="E312" s="13">
        <f>Tabelle1[[#This Row],[Energie '[kcal/100g']]]/239</f>
        <v>0.45188284518828453</v>
      </c>
      <c r="F312" s="11">
        <v>20.6</v>
      </c>
      <c r="G312" s="11">
        <f>Tabelle1[[#This Row],[Rohprotein '[g/100g']]]*0.85</f>
        <v>17.510000000000002</v>
      </c>
      <c r="H312" s="11">
        <v>2.67</v>
      </c>
      <c r="I312" s="11">
        <f>Tabelle1[[#This Row],[TS]]-Tabelle1[[#This Row],[Rohprotein '[g/100g']]]-Tabelle1[[#This Row],[Rohfett '[g/100g']]]-Tabelle1[[#This Row],[Rohasche '[g/100g']]]-Tabelle1[[#This Row],[Rohfaser '[g/100g']]]</f>
        <v>0.54999999999999583</v>
      </c>
      <c r="J312" s="11">
        <v>0</v>
      </c>
      <c r="K312" s="11">
        <v>0.98</v>
      </c>
      <c r="L312" s="11">
        <v>75.2</v>
      </c>
      <c r="M312" s="11">
        <f>100-Tabelle1[[#This Row],[Wasser '[g/100g']]]</f>
        <v>24.799999999999997</v>
      </c>
      <c r="N312" s="11">
        <v>9.15</v>
      </c>
      <c r="O312" s="11">
        <v>216</v>
      </c>
      <c r="P312" s="11">
        <v>27</v>
      </c>
      <c r="Q312" s="11">
        <v>44</v>
      </c>
      <c r="R312" s="11">
        <v>400</v>
      </c>
      <c r="S312" s="11"/>
      <c r="T312" s="11">
        <v>4.9000000000000004</v>
      </c>
      <c r="U312" s="11">
        <v>4.9000000000000004</v>
      </c>
      <c r="V312" s="11">
        <v>0</v>
      </c>
      <c r="W312" s="11">
        <v>210</v>
      </c>
      <c r="X312" s="11">
        <v>24</v>
      </c>
      <c r="Y312" s="11">
        <v>5.8</v>
      </c>
      <c r="Z312" s="11"/>
      <c r="AA312" s="11">
        <v>0.4</v>
      </c>
      <c r="AB312" s="11">
        <v>0.47</v>
      </c>
      <c r="AC312" s="11">
        <v>21</v>
      </c>
      <c r="AD312" s="11">
        <v>0.11</v>
      </c>
      <c r="AE312" s="11">
        <v>0.15</v>
      </c>
      <c r="AF312" s="11">
        <v>4.5999999999999996</v>
      </c>
      <c r="AG312" s="11">
        <v>500</v>
      </c>
      <c r="AH312" s="11">
        <v>3</v>
      </c>
      <c r="AI312" s="11">
        <v>0</v>
      </c>
      <c r="AJ312" s="11">
        <v>1.7</v>
      </c>
      <c r="AK312" s="11">
        <v>3</v>
      </c>
      <c r="AL312" s="11">
        <v>3</v>
      </c>
      <c r="AM312" s="11">
        <v>0</v>
      </c>
      <c r="AN312" s="11">
        <v>0.26733299999999999</v>
      </c>
      <c r="AO312" s="11">
        <v>0</v>
      </c>
      <c r="AP312" s="11">
        <v>0</v>
      </c>
      <c r="AQ312" s="11">
        <v>0.29899999999999999</v>
      </c>
      <c r="AR312" s="11">
        <v>0.17866699999999999</v>
      </c>
      <c r="AS312" s="11">
        <v>1.79</v>
      </c>
      <c r="AT312" s="11">
        <v>0</v>
      </c>
      <c r="AU312" s="11">
        <v>0.87</v>
      </c>
      <c r="AV312" s="11">
        <v>1.57</v>
      </c>
      <c r="AW312" s="11">
        <v>1.28</v>
      </c>
      <c r="AX312" s="9">
        <f>Tabelle1[[#This Row],[Vitamin D3 '[µg/100g']]]*40</f>
        <v>16</v>
      </c>
      <c r="AY312" s="9">
        <f>Tabelle1[[#This Row],[Vitamin A '[µg/100g']]]*3.33</f>
        <v>69.930000000000007</v>
      </c>
      <c r="AZ312" s="9">
        <f>Tabelle1[[#This Row],[Vitamin E '[mg/100g']]]*1.49</f>
        <v>0.70029999999999992</v>
      </c>
    </row>
    <row r="313" spans="1:52" hidden="1" x14ac:dyDescent="0.45">
      <c r="A313" t="s">
        <v>972</v>
      </c>
      <c r="B313" s="3"/>
      <c r="C313" s="4" t="s">
        <v>1171</v>
      </c>
      <c r="D313" s="11">
        <v>816</v>
      </c>
      <c r="E313" s="11">
        <f>Tabelle1[[#This Row],[Energie '[kcal/100g']]]/239</f>
        <v>3.4142259414225942</v>
      </c>
      <c r="F313" s="11">
        <v>0</v>
      </c>
      <c r="G313" s="11">
        <f>Tabelle1[[#This Row],[Rohprotein '[g/100g']]]*0.85</f>
        <v>0</v>
      </c>
      <c r="H313" s="11">
        <v>96</v>
      </c>
      <c r="I313" s="11">
        <f>Tabelle1[[#This Row],[TS]]-Tabelle1[[#This Row],[Rohprotein '[g/100g']]]-Tabelle1[[#This Row],[Rohfett '[g/100g']]]-Tabelle1[[#This Row],[Rohasche '[g/100g']]]-Tabelle1[[#This Row],[Rohfaser '[g/100g']]]</f>
        <v>5.773159728050814E-15</v>
      </c>
      <c r="J313" s="11">
        <v>1.4</v>
      </c>
      <c r="K313" s="11">
        <v>0</v>
      </c>
      <c r="L313" s="11">
        <v>2.6</v>
      </c>
      <c r="M313" s="11">
        <f>100-Tabelle1[[#This Row],[Wasser '[g/100g']]]</f>
        <v>97.4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/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/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  <c r="AT313" s="11">
        <v>0</v>
      </c>
      <c r="AU313" s="11">
        <v>0</v>
      </c>
      <c r="AV313" s="11">
        <v>0</v>
      </c>
      <c r="AW313" s="11">
        <v>0</v>
      </c>
      <c r="AX313" s="9">
        <f>Tabelle1[[#This Row],[Vitamin D3 '[µg/100g']]]*40</f>
        <v>0</v>
      </c>
      <c r="AY313" s="9">
        <f>Tabelle1[[#This Row],[Vitamin A '[µg/100g']]]*3.33</f>
        <v>0</v>
      </c>
      <c r="AZ313" s="9">
        <f>Tabelle1[[#This Row],[Vitamin E '[mg/100g']]]*1.49</f>
        <v>0</v>
      </c>
    </row>
    <row r="314" spans="1:52" hidden="1" x14ac:dyDescent="0.45">
      <c r="A314" t="s">
        <v>534</v>
      </c>
      <c r="B314" s="3" t="s">
        <v>460</v>
      </c>
      <c r="C314" s="4" t="s">
        <v>461</v>
      </c>
      <c r="D314" s="11">
        <v>338</v>
      </c>
      <c r="E314" s="13">
        <f>Tabelle1[[#This Row],[Energie '[kcal/100g']]]/239</f>
        <v>1.4142259414225942</v>
      </c>
      <c r="F314" s="11">
        <v>12</v>
      </c>
      <c r="G314" s="13">
        <f>Tabelle1[[#This Row],[Rohprotein '[g/100g']]]*0.85</f>
        <v>10.199999999999999</v>
      </c>
      <c r="H314" s="11">
        <v>4.4000000000000004</v>
      </c>
      <c r="I314" s="11">
        <f>Tabelle1[[#This Row],[TS]]-Tabelle1[[#This Row],[Rohprotein '[g/100g']]]-Tabelle1[[#This Row],[Rohfett '[g/100g']]]-Tabelle1[[#This Row],[Rohasche '[g/100g']]]-Tabelle1[[#This Row],[Rohfaser '[g/100g']]]</f>
        <v>78.3</v>
      </c>
      <c r="J314" s="11">
        <v>0</v>
      </c>
      <c r="K314" s="11">
        <v>1.6</v>
      </c>
      <c r="L314" s="11">
        <v>3.7</v>
      </c>
      <c r="M314" s="11">
        <f>100-Tabelle1[[#This Row],[Wasser '[g/100g']]]</f>
        <v>96.3</v>
      </c>
      <c r="N314" s="11">
        <v>8</v>
      </c>
      <c r="O314" s="11">
        <v>329</v>
      </c>
      <c r="P314" s="11">
        <v>138</v>
      </c>
      <c r="Q314" s="11">
        <v>6</v>
      </c>
      <c r="R314" s="11">
        <v>315</v>
      </c>
      <c r="S314" s="11"/>
      <c r="T314" s="11">
        <v>2.92</v>
      </c>
      <c r="U314" s="11">
        <v>3.26</v>
      </c>
      <c r="V314" s="11">
        <v>0</v>
      </c>
      <c r="W314" s="11">
        <v>340</v>
      </c>
      <c r="X314" s="11">
        <v>1030</v>
      </c>
      <c r="Y314" s="11">
        <v>0</v>
      </c>
      <c r="Z314" s="11"/>
      <c r="AA314" s="11">
        <v>0</v>
      </c>
      <c r="AB314" s="11">
        <v>0.14000000000000001</v>
      </c>
      <c r="AC314" s="11">
        <v>6</v>
      </c>
      <c r="AD314" s="11">
        <v>0.154</v>
      </c>
      <c r="AE314" s="11">
        <v>0.183</v>
      </c>
      <c r="AF314" s="11">
        <v>2.12</v>
      </c>
      <c r="AG314" s="11">
        <v>201</v>
      </c>
      <c r="AH314" s="11">
        <v>0</v>
      </c>
      <c r="AI314" s="11">
        <v>0</v>
      </c>
      <c r="AJ314" s="11">
        <v>0</v>
      </c>
      <c r="AK314" s="11">
        <v>23</v>
      </c>
      <c r="AL314" s="11">
        <v>1.05</v>
      </c>
      <c r="AM314" s="11">
        <v>0</v>
      </c>
      <c r="AN314" s="11">
        <v>0.06</v>
      </c>
      <c r="AO314" s="11">
        <v>0</v>
      </c>
      <c r="AP314" s="11">
        <v>0</v>
      </c>
      <c r="AQ314" s="11">
        <v>2.0499999999999998</v>
      </c>
      <c r="AR314" s="11">
        <v>2.0499999999999998</v>
      </c>
      <c r="AS314" s="11">
        <v>0.59799999999999998</v>
      </c>
      <c r="AT314" s="11">
        <v>0.217</v>
      </c>
      <c r="AU314" s="11">
        <v>0.36699999999999999</v>
      </c>
      <c r="AV314" s="11">
        <v>0.33800000000000002</v>
      </c>
      <c r="AW314" s="11">
        <v>0.252</v>
      </c>
      <c r="AX314" s="9">
        <f>Tabelle1[[#This Row],[Vitamin D3 '[µg/100g']]]*40</f>
        <v>0</v>
      </c>
      <c r="AY314" s="9">
        <f>Tabelle1[[#This Row],[Vitamin A '[µg/100g']]]*3.33</f>
        <v>19.98</v>
      </c>
      <c r="AZ314" s="9">
        <f>Tabelle1[[#This Row],[Vitamin E '[mg/100g']]]*1.49</f>
        <v>0.20860000000000001</v>
      </c>
    </row>
    <row r="315" spans="1:52" hidden="1" x14ac:dyDescent="0.45">
      <c r="A315" t="s">
        <v>58</v>
      </c>
      <c r="B315" s="3" t="s">
        <v>297</v>
      </c>
      <c r="C315" s="4" t="s">
        <v>298</v>
      </c>
      <c r="D315" s="11">
        <v>164</v>
      </c>
      <c r="E315" s="13">
        <f>Tabelle1[[#This Row],[Energie '[kcal/100g']]]/239</f>
        <v>0.68619246861924688</v>
      </c>
      <c r="F315" s="11">
        <v>37.871000000000002</v>
      </c>
      <c r="G315" s="13">
        <f>Tabelle1[[#This Row],[Rohprotein '[g/100g']]]*0.85</f>
        <v>32.190350000000002</v>
      </c>
      <c r="H315" s="11">
        <v>1.4139999999999999</v>
      </c>
      <c r="I315" s="11">
        <f>Tabelle1[[#This Row],[TS]]-Tabelle1[[#This Row],[Rohprotein '[g/100g']]]-Tabelle1[[#This Row],[Rohfett '[g/100g']]]-Tabelle1[[#This Row],[Rohasche '[g/100g']]]-Tabelle1[[#This Row],[Rohfaser '[g/100g']]]</f>
        <v>9.9999999999522693E-4</v>
      </c>
      <c r="J315" s="11">
        <v>0</v>
      </c>
      <c r="K315" s="11">
        <v>1.6419999999999999</v>
      </c>
      <c r="L315" s="11">
        <v>59.072000000000003</v>
      </c>
      <c r="M315" s="11">
        <f>100-Tabelle1[[#This Row],[Wasser '[g/100g']]]</f>
        <v>40.927999999999997</v>
      </c>
      <c r="N315" s="11">
        <v>6.4</v>
      </c>
      <c r="O315" s="11">
        <v>269.60000000000002</v>
      </c>
      <c r="P315" s="11">
        <v>23</v>
      </c>
      <c r="Q315" s="11">
        <v>53</v>
      </c>
      <c r="R315" s="11">
        <v>323</v>
      </c>
      <c r="S315" s="11"/>
      <c r="T315" s="11">
        <v>0.67900000000000005</v>
      </c>
      <c r="U315" s="11">
        <v>1.5429999999999999</v>
      </c>
      <c r="V315" s="11">
        <v>0</v>
      </c>
      <c r="W315" s="11">
        <v>121</v>
      </c>
      <c r="X315" s="11">
        <v>43</v>
      </c>
      <c r="Y315" s="13">
        <v>0</v>
      </c>
      <c r="Z315" s="13"/>
      <c r="AA315" s="11">
        <v>0.16</v>
      </c>
      <c r="AB315" s="11">
        <v>0.66</v>
      </c>
      <c r="AC315" s="11">
        <v>13</v>
      </c>
      <c r="AD315" s="11">
        <v>1.7999999999999999E-2</v>
      </c>
      <c r="AE315" s="11">
        <v>7.9000000000000001E-2</v>
      </c>
      <c r="AF315" s="11">
        <v>8.7430000000000003</v>
      </c>
      <c r="AG315" s="11">
        <v>427</v>
      </c>
      <c r="AH315" s="11">
        <v>0.48</v>
      </c>
      <c r="AI315" s="11">
        <v>2.8570000000000002</v>
      </c>
      <c r="AJ315" s="11">
        <v>5.6</v>
      </c>
      <c r="AK315" s="11">
        <v>16</v>
      </c>
      <c r="AL315" s="11">
        <v>2.85</v>
      </c>
      <c r="AM315" s="11">
        <v>0</v>
      </c>
      <c r="AN315" s="11">
        <v>0</v>
      </c>
      <c r="AO315" s="11">
        <v>0</v>
      </c>
      <c r="AP315" s="11">
        <v>0</v>
      </c>
      <c r="AQ315" s="11">
        <v>0.33600000000000002</v>
      </c>
      <c r="AR315" s="11">
        <v>0.25700000000000001</v>
      </c>
      <c r="AS315" s="11">
        <v>2.4670000000000001</v>
      </c>
      <c r="AT315" s="11">
        <v>0.40899999999999997</v>
      </c>
      <c r="AU315" s="11">
        <v>1.32</v>
      </c>
      <c r="AV315" s="11">
        <v>3.3159999999999998</v>
      </c>
      <c r="AW315" s="11">
        <v>0.99</v>
      </c>
      <c r="AX315" s="9">
        <f>Tabelle1[[#This Row],[Vitamin D3 '[µg/100g']]]*40</f>
        <v>6.4</v>
      </c>
      <c r="AY315" s="9">
        <f>Tabelle1[[#This Row],[Vitamin A '[µg/100g']]]*3.33</f>
        <v>43.29</v>
      </c>
      <c r="AZ315" s="9">
        <f>Tabelle1[[#This Row],[Vitamin E '[mg/100g']]]*1.49</f>
        <v>0.98340000000000005</v>
      </c>
    </row>
    <row r="316" spans="1:52" hidden="1" x14ac:dyDescent="0.45">
      <c r="A316" t="s">
        <v>58</v>
      </c>
      <c r="B316" s="3" t="s">
        <v>299</v>
      </c>
      <c r="C316" s="4" t="s">
        <v>300</v>
      </c>
      <c r="D316" s="11">
        <v>148</v>
      </c>
      <c r="E316" s="13">
        <f>Tabelle1[[#This Row],[Energie '[kcal/100g']]]/239</f>
        <v>0.61924686192468614</v>
      </c>
      <c r="F316" s="11">
        <v>33.74</v>
      </c>
      <c r="G316" s="13">
        <f>Tabelle1[[#This Row],[Rohprotein '[g/100g']]]*0.85</f>
        <v>28.679000000000002</v>
      </c>
      <c r="H316" s="11">
        <v>1.4139999999999999</v>
      </c>
      <c r="I316" s="11">
        <f>Tabelle1[[#This Row],[TS]]-Tabelle1[[#This Row],[Rohprotein '[g/100g']]]-Tabelle1[[#This Row],[Rohfett '[g/100g']]]-Tabelle1[[#This Row],[Rohasche '[g/100g']]]-Tabelle1[[#This Row],[Rohfaser '[g/100g']]]</f>
        <v>-2.4424906541753444E-15</v>
      </c>
      <c r="J316" s="11">
        <v>0</v>
      </c>
      <c r="K316" s="11">
        <v>1.6419999999999999</v>
      </c>
      <c r="L316" s="11">
        <v>63.204000000000001</v>
      </c>
      <c r="M316" s="11">
        <f>100-Tabelle1[[#This Row],[Wasser '[g/100g']]]</f>
        <v>36.795999999999999</v>
      </c>
      <c r="N316" s="11">
        <v>6.4</v>
      </c>
      <c r="O316" s="11">
        <v>286.39999999999998</v>
      </c>
      <c r="P316" s="11">
        <v>23</v>
      </c>
      <c r="Q316" s="11">
        <v>56</v>
      </c>
      <c r="R316" s="11">
        <v>428</v>
      </c>
      <c r="S316" s="11"/>
      <c r="T316" s="11">
        <v>0.67900000000000005</v>
      </c>
      <c r="U316" s="11">
        <v>1.5429999999999999</v>
      </c>
      <c r="V316" s="11">
        <v>0</v>
      </c>
      <c r="W316" s="11">
        <v>158</v>
      </c>
      <c r="X316" s="11">
        <v>43</v>
      </c>
      <c r="Y316" s="13">
        <v>0</v>
      </c>
      <c r="Z316" s="13"/>
      <c r="AA316" s="11">
        <v>0.16</v>
      </c>
      <c r="AB316" s="11">
        <v>0.62</v>
      </c>
      <c r="AC316" s="11">
        <v>13</v>
      </c>
      <c r="AD316" s="11">
        <v>0.02</v>
      </c>
      <c r="AE316" s="11">
        <v>8.5999999999999993E-2</v>
      </c>
      <c r="AF316" s="11">
        <v>8.2289999999999992</v>
      </c>
      <c r="AG316" s="11">
        <v>361</v>
      </c>
      <c r="AH316" s="11">
        <v>0.48</v>
      </c>
      <c r="AI316" s="11">
        <v>2.8570000000000002</v>
      </c>
      <c r="AJ316" s="11">
        <v>5.3</v>
      </c>
      <c r="AK316" s="11">
        <v>2.2999999999999998</v>
      </c>
      <c r="AL316" s="11">
        <v>2.85</v>
      </c>
      <c r="AM316" s="11">
        <v>0</v>
      </c>
      <c r="AN316" s="11">
        <v>0</v>
      </c>
      <c r="AO316" s="11">
        <v>4.0000000000000001E-3</v>
      </c>
      <c r="AP316" s="11">
        <v>1.2E-2</v>
      </c>
      <c r="AQ316" s="11">
        <v>0.33600000000000002</v>
      </c>
      <c r="AR316" s="11">
        <v>0.25700000000000001</v>
      </c>
      <c r="AS316" s="11">
        <v>2.198</v>
      </c>
      <c r="AT316" s="11">
        <v>0.36399999999999999</v>
      </c>
      <c r="AU316" s="11">
        <v>1.1759999999999999</v>
      </c>
      <c r="AV316" s="11">
        <v>2.9540000000000002</v>
      </c>
      <c r="AW316" s="11">
        <v>0.88200000000000001</v>
      </c>
      <c r="AX316" s="9">
        <f>Tabelle1[[#This Row],[Vitamin D3 '[µg/100g']]]*40</f>
        <v>6.4</v>
      </c>
      <c r="AY316" s="9">
        <f>Tabelle1[[#This Row],[Vitamin A '[µg/100g']]]*3.33</f>
        <v>43.29</v>
      </c>
      <c r="AZ316" s="9">
        <f>Tabelle1[[#This Row],[Vitamin E '[mg/100g']]]*1.49</f>
        <v>0.92379999999999995</v>
      </c>
    </row>
    <row r="317" spans="1:52" hidden="1" x14ac:dyDescent="0.45">
      <c r="A317" t="s">
        <v>58</v>
      </c>
      <c r="B317" s="3" t="s">
        <v>301</v>
      </c>
      <c r="C317" s="4" t="s">
        <v>302</v>
      </c>
      <c r="D317" s="11">
        <v>104</v>
      </c>
      <c r="E317" s="13">
        <f>Tabelle1[[#This Row],[Energie '[kcal/100g']]]/239</f>
        <v>0.43514644351464438</v>
      </c>
      <c r="F317" s="11">
        <v>24.648</v>
      </c>
      <c r="G317" s="13">
        <f>Tabelle1[[#This Row],[Rohprotein '[g/100g']]]*0.85</f>
        <v>20.950799999999997</v>
      </c>
      <c r="H317" s="11">
        <v>0.61899999999999999</v>
      </c>
      <c r="I317" s="11">
        <f>Tabelle1[[#This Row],[TS]]-Tabelle1[[#This Row],[Rohprotein '[g/100g']]]-Tabelle1[[#This Row],[Rohfett '[g/100g']]]-Tabelle1[[#This Row],[Rohasche '[g/100g']]]-Tabelle1[[#This Row],[Rohfaser '[g/100g']]]</f>
        <v>-1.000000000005663E-3</v>
      </c>
      <c r="J317" s="11">
        <v>0</v>
      </c>
      <c r="K317" s="11">
        <v>0.82499999999999996</v>
      </c>
      <c r="L317" s="11">
        <v>73.909000000000006</v>
      </c>
      <c r="M317" s="11">
        <f>100-Tabelle1[[#This Row],[Wasser '[g/100g']]]</f>
        <v>26.090999999999994</v>
      </c>
      <c r="N317" s="11">
        <v>4.3</v>
      </c>
      <c r="O317" s="11">
        <v>187.6</v>
      </c>
      <c r="P317" s="11">
        <v>16</v>
      </c>
      <c r="Q317" s="11">
        <v>21</v>
      </c>
      <c r="R317" s="11">
        <v>151</v>
      </c>
      <c r="S317" s="11"/>
      <c r="T317" s="11">
        <v>0.45500000000000002</v>
      </c>
      <c r="U317" s="11">
        <v>1.2270000000000001</v>
      </c>
      <c r="V317" s="11">
        <v>0</v>
      </c>
      <c r="W317" s="11">
        <v>74</v>
      </c>
      <c r="X317" s="11">
        <v>34</v>
      </c>
      <c r="Y317" s="13">
        <v>0</v>
      </c>
      <c r="Z317" s="13"/>
      <c r="AA317" s="11">
        <v>0.09</v>
      </c>
      <c r="AB317" s="11">
        <v>0.36</v>
      </c>
      <c r="AC317" s="11">
        <v>167</v>
      </c>
      <c r="AD317" s="11">
        <v>1.2E-2</v>
      </c>
      <c r="AE317" s="11">
        <v>6.0999999999999999E-2</v>
      </c>
      <c r="AF317" s="11">
        <v>4.9089999999999998</v>
      </c>
      <c r="AG317" s="11">
        <v>314</v>
      </c>
      <c r="AH317" s="11">
        <v>0.3</v>
      </c>
      <c r="AI317" s="11">
        <v>2.2730000000000001</v>
      </c>
      <c r="AJ317" s="11">
        <v>3</v>
      </c>
      <c r="AK317" s="11">
        <v>58</v>
      </c>
      <c r="AL317" s="11">
        <v>1.87</v>
      </c>
      <c r="AM317" s="11">
        <v>0</v>
      </c>
      <c r="AN317" s="11">
        <v>0</v>
      </c>
      <c r="AO317" s="11">
        <v>0</v>
      </c>
      <c r="AP317" s="11">
        <v>0.1</v>
      </c>
      <c r="AQ317" s="11">
        <v>0.14599999999999999</v>
      </c>
      <c r="AR317" s="11">
        <v>0.112</v>
      </c>
      <c r="AS317" s="11">
        <v>1.6060000000000001</v>
      </c>
      <c r="AT317" s="11">
        <v>0.26600000000000001</v>
      </c>
      <c r="AU317" s="11">
        <v>0.85899999999999999</v>
      </c>
      <c r="AV317" s="11">
        <v>2.1579999999999999</v>
      </c>
      <c r="AW317" s="11">
        <v>0.64400000000000002</v>
      </c>
      <c r="AX317" s="9">
        <f>Tabelle1[[#This Row],[Vitamin D3 '[µg/100g']]]*40</f>
        <v>3.5999999999999996</v>
      </c>
      <c r="AY317" s="9">
        <f>Tabelle1[[#This Row],[Vitamin A '[µg/100g']]]*3.33</f>
        <v>556.11</v>
      </c>
      <c r="AZ317" s="9">
        <f>Tabelle1[[#This Row],[Vitamin E '[mg/100g']]]*1.49</f>
        <v>0.53639999999999999</v>
      </c>
    </row>
    <row r="318" spans="1:52" hidden="1" x14ac:dyDescent="0.45">
      <c r="A318" t="s">
        <v>58</v>
      </c>
      <c r="B318" s="5" t="s">
        <v>303</v>
      </c>
      <c r="C318" s="6" t="s">
        <v>304</v>
      </c>
      <c r="D318" s="13">
        <v>145</v>
      </c>
      <c r="E318" s="13">
        <f>Tabelle1[[#This Row],[Energie '[kcal/100g']]]/239</f>
        <v>0.60669456066945604</v>
      </c>
      <c r="F318" s="13">
        <v>34.110999999999997</v>
      </c>
      <c r="G318" s="13">
        <f>Tabelle1[[#This Row],[Rohprotein '[g/100g']]]*0.85</f>
        <v>28.994349999999997</v>
      </c>
      <c r="H318" s="13">
        <v>0.91400000000000003</v>
      </c>
      <c r="I318" s="11">
        <f>Tabelle1[[#This Row],[TS]]-Tabelle1[[#This Row],[Rohprotein '[g/100g']]]-Tabelle1[[#This Row],[Rohfett '[g/100g']]]-Tabelle1[[#This Row],[Rohasche '[g/100g']]]-Tabelle1[[#This Row],[Rohfaser '[g/100g']]]</f>
        <v>5.773159728050814E-15</v>
      </c>
      <c r="J318" s="11">
        <v>0</v>
      </c>
      <c r="K318" s="13">
        <v>1.3029999999999999</v>
      </c>
      <c r="L318" s="13">
        <v>63.671999999999997</v>
      </c>
      <c r="M318" s="13">
        <f>100-Tabelle1[[#This Row],[Wasser '[g/100g']]]</f>
        <v>36.328000000000003</v>
      </c>
      <c r="N318" s="13">
        <v>5.9</v>
      </c>
      <c r="O318" s="13">
        <v>254</v>
      </c>
      <c r="P318" s="13">
        <v>22</v>
      </c>
      <c r="Q318" s="13">
        <v>28</v>
      </c>
      <c r="R318" s="13">
        <v>256</v>
      </c>
      <c r="S318" s="13"/>
      <c r="T318" s="13">
        <v>0.61499999999999999</v>
      </c>
      <c r="U318" s="13">
        <v>1.4950000000000001</v>
      </c>
      <c r="V318" s="11">
        <v>0</v>
      </c>
      <c r="W318" s="13">
        <v>100</v>
      </c>
      <c r="X318" s="13">
        <v>46</v>
      </c>
      <c r="Y318" s="13">
        <v>0</v>
      </c>
      <c r="Z318" s="13"/>
      <c r="AA318" s="13">
        <v>0.14000000000000001</v>
      </c>
      <c r="AB318" s="13">
        <v>0.54</v>
      </c>
      <c r="AC318" s="13">
        <v>3</v>
      </c>
      <c r="AD318" s="13">
        <v>1.7000000000000001E-2</v>
      </c>
      <c r="AE318" s="13">
        <v>8.7999999999999995E-2</v>
      </c>
      <c r="AF318" s="13">
        <v>6.6459999999999999</v>
      </c>
      <c r="AG318" s="13">
        <v>425</v>
      </c>
      <c r="AH318" s="13">
        <v>0.4</v>
      </c>
      <c r="AI318" s="13">
        <v>2.923</v>
      </c>
      <c r="AJ318" s="13">
        <v>4.5</v>
      </c>
      <c r="AK318" s="13">
        <v>7</v>
      </c>
      <c r="AL318" s="13">
        <v>2.5299999999999998</v>
      </c>
      <c r="AM318" s="13">
        <v>0</v>
      </c>
      <c r="AN318" s="11">
        <v>0</v>
      </c>
      <c r="AO318" s="13">
        <v>0</v>
      </c>
      <c r="AP318" s="13">
        <v>0</v>
      </c>
      <c r="AQ318" s="13">
        <v>0.217</v>
      </c>
      <c r="AR318" s="13">
        <v>0.16600000000000001</v>
      </c>
      <c r="AS318" s="13">
        <v>2.222</v>
      </c>
      <c r="AT318" s="13">
        <v>0.36799999999999999</v>
      </c>
      <c r="AU318" s="13">
        <v>1.1890000000000001</v>
      </c>
      <c r="AV318" s="13">
        <v>2.9860000000000002</v>
      </c>
      <c r="AW318" s="13">
        <v>0.89200000000000002</v>
      </c>
      <c r="AX318" s="9">
        <f>Tabelle1[[#This Row],[Vitamin D3 '[µg/100g']]]*40</f>
        <v>5.6000000000000005</v>
      </c>
      <c r="AY318" s="9">
        <f>Tabelle1[[#This Row],[Vitamin A '[µg/100g']]]*3.33</f>
        <v>9.99</v>
      </c>
      <c r="AZ318" s="9">
        <f>Tabelle1[[#This Row],[Vitamin E '[mg/100g']]]*1.49</f>
        <v>0.80460000000000009</v>
      </c>
    </row>
    <row r="319" spans="1:52" hidden="1" x14ac:dyDescent="0.45">
      <c r="A319" t="s">
        <v>58</v>
      </c>
      <c r="B319" s="5" t="s">
        <v>305</v>
      </c>
      <c r="C319" s="6" t="s">
        <v>306</v>
      </c>
      <c r="D319" s="13">
        <v>105</v>
      </c>
      <c r="E319" s="13">
        <f>Tabelle1[[#This Row],[Energie '[kcal/100g']]]/239</f>
        <v>0.43933054393305437</v>
      </c>
      <c r="F319" s="13">
        <v>24.1</v>
      </c>
      <c r="G319" s="13">
        <f>Tabelle1[[#This Row],[Rohprotein '[g/100g']]]*0.85</f>
        <v>20.484999999999999</v>
      </c>
      <c r="H319" s="13">
        <v>0.99</v>
      </c>
      <c r="I319" s="11">
        <f>Tabelle1[[#This Row],[TS]]-Tabelle1[[#This Row],[Rohprotein '[g/100g']]]-Tabelle1[[#This Row],[Rohfett '[g/100g']]]-Tabelle1[[#This Row],[Rohasche '[g/100g']]]-Tabelle1[[#This Row],[Rohfaser '[g/100g']]]</f>
        <v>-4.2188474935755949E-15</v>
      </c>
      <c r="J319" s="11">
        <v>0</v>
      </c>
      <c r="K319" s="13">
        <v>1.21</v>
      </c>
      <c r="L319" s="13">
        <v>73.7</v>
      </c>
      <c r="M319" s="13">
        <f>100-Tabelle1[[#This Row],[Wasser '[g/100g']]]</f>
        <v>26.299999999999997</v>
      </c>
      <c r="N319" s="13">
        <v>4.5</v>
      </c>
      <c r="O319" s="13">
        <v>235.9</v>
      </c>
      <c r="P319" s="13">
        <v>20</v>
      </c>
      <c r="Q319" s="13">
        <v>46</v>
      </c>
      <c r="R319" s="13">
        <v>333</v>
      </c>
      <c r="S319" s="13"/>
      <c r="T319" s="13">
        <v>0.5</v>
      </c>
      <c r="U319" s="13">
        <v>1.08</v>
      </c>
      <c r="V319" s="11">
        <v>0</v>
      </c>
      <c r="W319" s="13">
        <v>130</v>
      </c>
      <c r="X319" s="13">
        <v>30</v>
      </c>
      <c r="Y319" s="13">
        <v>0</v>
      </c>
      <c r="Z319" s="13"/>
      <c r="AA319" s="13">
        <v>0.15</v>
      </c>
      <c r="AB319" s="13">
        <v>0.57999999999999996</v>
      </c>
      <c r="AC319" s="13">
        <v>13</v>
      </c>
      <c r="AD319" s="13">
        <v>0.02</v>
      </c>
      <c r="AE319" s="13">
        <v>0.06</v>
      </c>
      <c r="AF319" s="13">
        <v>7.2</v>
      </c>
      <c r="AG319" s="13">
        <v>460</v>
      </c>
      <c r="AH319" s="13">
        <v>0.52</v>
      </c>
      <c r="AI319" s="13">
        <v>2.5</v>
      </c>
      <c r="AJ319" s="13">
        <v>4.9000000000000004</v>
      </c>
      <c r="AK319" s="13">
        <v>13</v>
      </c>
      <c r="AL319" s="13">
        <v>2.35</v>
      </c>
      <c r="AM319" s="13">
        <v>0</v>
      </c>
      <c r="AN319" s="11">
        <v>0</v>
      </c>
      <c r="AO319" s="13">
        <v>0</v>
      </c>
      <c r="AP319" s="13">
        <v>2.8000000000000001E-2</v>
      </c>
      <c r="AQ319" s="13">
        <v>0.23499999999999999</v>
      </c>
      <c r="AR319" s="13">
        <v>0.18</v>
      </c>
      <c r="AS319" s="13">
        <v>1.57</v>
      </c>
      <c r="AT319" s="13">
        <v>0.26</v>
      </c>
      <c r="AU319" s="13">
        <v>0.84</v>
      </c>
      <c r="AV319" s="13">
        <v>2.11</v>
      </c>
      <c r="AW319" s="13">
        <v>0.63</v>
      </c>
      <c r="AX319" s="9">
        <f>Tabelle1[[#This Row],[Vitamin D3 '[µg/100g']]]*40</f>
        <v>6</v>
      </c>
      <c r="AY319" s="9">
        <f>Tabelle1[[#This Row],[Vitamin A '[µg/100g']]]*3.33</f>
        <v>43.29</v>
      </c>
      <c r="AZ319" s="9">
        <f>Tabelle1[[#This Row],[Vitamin E '[mg/100g']]]*1.49</f>
        <v>0.86419999999999997</v>
      </c>
    </row>
    <row r="320" spans="1:52" hidden="1" x14ac:dyDescent="0.45">
      <c r="A320" t="s">
        <v>58</v>
      </c>
      <c r="B320" s="5" t="s">
        <v>307</v>
      </c>
      <c r="C320" s="6" t="s">
        <v>308</v>
      </c>
      <c r="D320" s="13">
        <v>221</v>
      </c>
      <c r="E320" s="13">
        <f>Tabelle1[[#This Row],[Energie '[kcal/100g']]]/239</f>
        <v>0.92468619246861927</v>
      </c>
      <c r="F320" s="13">
        <v>29.626999999999999</v>
      </c>
      <c r="G320" s="13">
        <f>Tabelle1[[#This Row],[Rohprotein '[g/100g']]]*0.85</f>
        <v>25.182949999999998</v>
      </c>
      <c r="H320" s="13">
        <v>11.333</v>
      </c>
      <c r="I320" s="11">
        <f>Tabelle1[[#This Row],[TS]]-Tabelle1[[#This Row],[Rohprotein '[g/100g']]]-Tabelle1[[#This Row],[Rohfett '[g/100g']]]-Tabelle1[[#This Row],[Rohasche '[g/100g']]]-Tabelle1[[#This Row],[Rohfaser '[g/100g']]]</f>
        <v>-2.4424906541753444E-15</v>
      </c>
      <c r="J320" s="11">
        <v>0</v>
      </c>
      <c r="K320" s="13">
        <v>1.2030000000000001</v>
      </c>
      <c r="L320" s="13">
        <v>57.837000000000003</v>
      </c>
      <c r="M320" s="13">
        <f>100-Tabelle1[[#This Row],[Wasser '[g/100g']]]</f>
        <v>42.162999999999997</v>
      </c>
      <c r="N320" s="13">
        <v>20</v>
      </c>
      <c r="O320" s="13">
        <v>187</v>
      </c>
      <c r="P320" s="13">
        <v>21.689</v>
      </c>
      <c r="Q320" s="13">
        <v>67</v>
      </c>
      <c r="R320" s="13">
        <v>224</v>
      </c>
      <c r="S320" s="13"/>
      <c r="T320" s="13">
        <v>1.2410000000000001</v>
      </c>
      <c r="U320" s="13">
        <v>3.4670000000000001</v>
      </c>
      <c r="V320" s="11">
        <v>0</v>
      </c>
      <c r="W320" s="13">
        <v>61</v>
      </c>
      <c r="X320" s="13">
        <v>25</v>
      </c>
      <c r="Y320" s="13">
        <v>0</v>
      </c>
      <c r="Z320" s="13"/>
      <c r="AA320" s="13">
        <v>0.3</v>
      </c>
      <c r="AB320" s="13">
        <v>0.91149999999999998</v>
      </c>
      <c r="AC320" s="13">
        <v>14</v>
      </c>
      <c r="AD320" s="13">
        <v>8.3000000000000004E-2</v>
      </c>
      <c r="AE320" s="13">
        <v>0.221</v>
      </c>
      <c r="AF320" s="13">
        <v>11.9</v>
      </c>
      <c r="AG320" s="13">
        <v>335</v>
      </c>
      <c r="AH320" s="13">
        <v>0.06</v>
      </c>
      <c r="AI320" s="13">
        <v>2.6669999999999998</v>
      </c>
      <c r="AJ320" s="13">
        <v>6.22</v>
      </c>
      <c r="AK320" s="13">
        <v>1.6</v>
      </c>
      <c r="AL320" s="13">
        <v>0.95</v>
      </c>
      <c r="AM320" s="13">
        <v>0</v>
      </c>
      <c r="AN320" s="13">
        <v>0.22</v>
      </c>
      <c r="AO320" s="13">
        <v>6.0000000000000001E-3</v>
      </c>
      <c r="AP320" s="13">
        <v>1.7000000000000001E-2</v>
      </c>
      <c r="AQ320" s="13">
        <v>3.0270000000000001</v>
      </c>
      <c r="AR320" s="13">
        <v>2.7879999999999998</v>
      </c>
      <c r="AS320" s="13">
        <v>1.7749999999999999</v>
      </c>
      <c r="AT320" s="13">
        <v>0.39600000000000002</v>
      </c>
      <c r="AU320" s="13">
        <v>0.76300000000000001</v>
      </c>
      <c r="AV320" s="13">
        <v>2.552</v>
      </c>
      <c r="AW320" s="13">
        <v>0.77700000000000002</v>
      </c>
      <c r="AX320" s="9">
        <f>Tabelle1[[#This Row],[Vitamin D3 '[µg/100g']]]*40</f>
        <v>12</v>
      </c>
      <c r="AY320" s="9">
        <f>Tabelle1[[#This Row],[Vitamin A '[µg/100g']]]*3.33</f>
        <v>46.620000000000005</v>
      </c>
      <c r="AZ320" s="9">
        <f>Tabelle1[[#This Row],[Vitamin E '[mg/100g']]]*1.49</f>
        <v>1.3581349999999999</v>
      </c>
    </row>
    <row r="321" spans="1:52" hidden="1" x14ac:dyDescent="0.45">
      <c r="A321" t="s">
        <v>58</v>
      </c>
      <c r="B321" s="3" t="s">
        <v>309</v>
      </c>
      <c r="C321" s="4" t="s">
        <v>310</v>
      </c>
      <c r="D321" s="11">
        <v>216</v>
      </c>
      <c r="E321" s="13">
        <f>Tabelle1[[#This Row],[Energie '[kcal/100g']]]/239</f>
        <v>0.90376569037656906</v>
      </c>
      <c r="F321" s="11">
        <v>27.494</v>
      </c>
      <c r="G321" s="13">
        <f>Tabelle1[[#This Row],[Rohprotein '[g/100g']]]*0.85</f>
        <v>23.369899999999998</v>
      </c>
      <c r="H321" s="11">
        <v>11.805999999999999</v>
      </c>
      <c r="I321" s="11">
        <f>Tabelle1[[#This Row],[TS]]-Tabelle1[[#This Row],[Rohprotein '[g/100g']]]-Tabelle1[[#This Row],[Rohfett '[g/100g']]]-Tabelle1[[#This Row],[Rohasche '[g/100g']]]-Tabelle1[[#This Row],[Rohfaser '[g/100g']]]</f>
        <v>-1.5543122344752192E-15</v>
      </c>
      <c r="J321" s="11">
        <v>0</v>
      </c>
      <c r="K321" s="11">
        <v>1.2529999999999999</v>
      </c>
      <c r="L321" s="11">
        <v>59.447000000000003</v>
      </c>
      <c r="M321" s="11">
        <f>100-Tabelle1[[#This Row],[Wasser '[g/100g']]]</f>
        <v>40.552999999999997</v>
      </c>
      <c r="N321" s="11">
        <v>21</v>
      </c>
      <c r="O321" s="11">
        <v>207</v>
      </c>
      <c r="P321" s="11">
        <v>22.591999999999999</v>
      </c>
      <c r="Q321" s="11">
        <v>74</v>
      </c>
      <c r="R321" s="11">
        <v>309</v>
      </c>
      <c r="S321" s="11"/>
      <c r="T321" s="11">
        <v>1.2929999999999999</v>
      </c>
      <c r="U321" s="11">
        <v>3.6110000000000002</v>
      </c>
      <c r="V321" s="11">
        <v>0</v>
      </c>
      <c r="W321" s="11">
        <v>83</v>
      </c>
      <c r="X321" s="11">
        <v>26</v>
      </c>
      <c r="Y321" s="13">
        <v>0</v>
      </c>
      <c r="Z321" s="13"/>
      <c r="AA321" s="11">
        <v>0.3</v>
      </c>
      <c r="AB321" s="11">
        <v>0.8901</v>
      </c>
      <c r="AC321" s="11">
        <v>13</v>
      </c>
      <c r="AD321" s="11">
        <v>9.7000000000000003E-2</v>
      </c>
      <c r="AE321" s="11">
        <v>0.25</v>
      </c>
      <c r="AF321" s="11">
        <v>11.667</v>
      </c>
      <c r="AG321" s="11">
        <v>295</v>
      </c>
      <c r="AH321" s="11">
        <v>0.06</v>
      </c>
      <c r="AI321" s="11">
        <v>2.778</v>
      </c>
      <c r="AJ321" s="11">
        <v>6.07</v>
      </c>
      <c r="AK321" s="11">
        <v>2.2999999999999998</v>
      </c>
      <c r="AL321" s="11">
        <v>0.99</v>
      </c>
      <c r="AM321" s="11">
        <v>0</v>
      </c>
      <c r="AN321" s="11">
        <v>0.22900000000000001</v>
      </c>
      <c r="AO321" s="11">
        <v>4.0000000000000001E-3</v>
      </c>
      <c r="AP321" s="11">
        <v>1.2E-2</v>
      </c>
      <c r="AQ321" s="11">
        <v>3.153</v>
      </c>
      <c r="AR321" s="11">
        <v>2.9039999999999999</v>
      </c>
      <c r="AS321" s="11">
        <v>1.647</v>
      </c>
      <c r="AT321" s="11">
        <v>0.36799999999999999</v>
      </c>
      <c r="AU321" s="11">
        <v>0.70799999999999996</v>
      </c>
      <c r="AV321" s="11">
        <v>2.3679999999999999</v>
      </c>
      <c r="AW321" s="11">
        <v>0.72099999999999997</v>
      </c>
      <c r="AX321" s="9">
        <f>Tabelle1[[#This Row],[Vitamin D3 '[µg/100g']]]*40</f>
        <v>12</v>
      </c>
      <c r="AY321" s="9">
        <f>Tabelle1[[#This Row],[Vitamin A '[µg/100g']]]*3.33</f>
        <v>43.29</v>
      </c>
      <c r="AZ321" s="9">
        <f>Tabelle1[[#This Row],[Vitamin E '[mg/100g']]]*1.49</f>
        <v>1.326249</v>
      </c>
    </row>
    <row r="322" spans="1:52" hidden="1" x14ac:dyDescent="0.45">
      <c r="A322" t="s">
        <v>58</v>
      </c>
      <c r="B322" s="3" t="s">
        <v>311</v>
      </c>
      <c r="C322" s="4" t="s">
        <v>312</v>
      </c>
      <c r="D322" s="11">
        <v>172</v>
      </c>
      <c r="E322" s="13">
        <f>Tabelle1[[#This Row],[Energie '[kcal/100g']]]/239</f>
        <v>0.71966527196652719</v>
      </c>
      <c r="F322" s="11">
        <v>26.548999999999999</v>
      </c>
      <c r="G322" s="13">
        <f>Tabelle1[[#This Row],[Rohprotein '[g/100g']]]*0.85</f>
        <v>22.566649999999999</v>
      </c>
      <c r="H322" s="11">
        <v>7.2859999999999996</v>
      </c>
      <c r="I322" s="11">
        <f>Tabelle1[[#This Row],[TS]]-Tabelle1[[#This Row],[Rohprotein '[g/100g']]]-Tabelle1[[#This Row],[Rohfett '[g/100g']]]-Tabelle1[[#This Row],[Rohasche '[g/100g']]]-Tabelle1[[#This Row],[Rohfaser '[g/100g']]]</f>
        <v>-9.9999999999300648E-4</v>
      </c>
      <c r="J322" s="11">
        <v>0</v>
      </c>
      <c r="K322" s="11">
        <v>0.95</v>
      </c>
      <c r="L322" s="11">
        <v>65.215999999999994</v>
      </c>
      <c r="M322" s="11">
        <f>100-Tabelle1[[#This Row],[Wasser '[g/100g']]]</f>
        <v>34.784000000000006</v>
      </c>
      <c r="N322" s="11">
        <v>18</v>
      </c>
      <c r="O322" s="11">
        <v>175</v>
      </c>
      <c r="P322" s="11">
        <v>20.332999999999998</v>
      </c>
      <c r="Q322" s="11">
        <v>36</v>
      </c>
      <c r="R322" s="11">
        <v>176</v>
      </c>
      <c r="S322" s="11"/>
      <c r="T322" s="11">
        <v>1.1200000000000001</v>
      </c>
      <c r="U322" s="11">
        <v>3.343</v>
      </c>
      <c r="V322" s="11">
        <v>0</v>
      </c>
      <c r="W322" s="11">
        <v>50</v>
      </c>
      <c r="X322" s="11">
        <v>27</v>
      </c>
      <c r="Y322" s="13">
        <v>0</v>
      </c>
      <c r="Z322" s="13"/>
      <c r="AA322" s="11">
        <v>0.3</v>
      </c>
      <c r="AB322" s="11">
        <v>0.73240000000000005</v>
      </c>
      <c r="AC322" s="11">
        <v>14</v>
      </c>
      <c r="AD322" s="11">
        <v>7.9000000000000001E-2</v>
      </c>
      <c r="AE322" s="11">
        <v>0.24399999999999999</v>
      </c>
      <c r="AF322" s="11">
        <v>9</v>
      </c>
      <c r="AG322" s="11">
        <v>331</v>
      </c>
      <c r="AH322" s="11">
        <v>0.05</v>
      </c>
      <c r="AI322" s="11">
        <v>2.714</v>
      </c>
      <c r="AJ322" s="11">
        <v>5</v>
      </c>
      <c r="AK322" s="11">
        <v>12</v>
      </c>
      <c r="AL322" s="11">
        <v>0.84</v>
      </c>
      <c r="AM322" s="11">
        <v>0</v>
      </c>
      <c r="AN322" s="11">
        <v>0.14099999999999999</v>
      </c>
      <c r="AO322" s="11">
        <v>0</v>
      </c>
      <c r="AP322" s="11">
        <v>0</v>
      </c>
      <c r="AQ322" s="11">
        <v>1.9450000000000001</v>
      </c>
      <c r="AR322" s="11">
        <v>1.792</v>
      </c>
      <c r="AS322" s="11">
        <v>1.59</v>
      </c>
      <c r="AT322" s="11">
        <v>0.35499999999999998</v>
      </c>
      <c r="AU322" s="11">
        <v>0.68300000000000005</v>
      </c>
      <c r="AV322" s="11">
        <v>2.2869999999999999</v>
      </c>
      <c r="AW322" s="11">
        <v>0.69699999999999995</v>
      </c>
      <c r="AX322" s="9">
        <f>Tabelle1[[#This Row],[Vitamin D3 '[µg/100g']]]*40</f>
        <v>12</v>
      </c>
      <c r="AY322" s="9">
        <f>Tabelle1[[#This Row],[Vitamin A '[µg/100g']]]*3.33</f>
        <v>46.620000000000005</v>
      </c>
      <c r="AZ322" s="9">
        <f>Tabelle1[[#This Row],[Vitamin E '[mg/100g']]]*1.49</f>
        <v>1.0912760000000001</v>
      </c>
    </row>
    <row r="323" spans="1:52" hidden="1" x14ac:dyDescent="0.45">
      <c r="A323" t="s">
        <v>58</v>
      </c>
      <c r="B323" s="3" t="s">
        <v>313</v>
      </c>
      <c r="C323" s="4" t="s">
        <v>314</v>
      </c>
      <c r="D323" s="11">
        <v>157</v>
      </c>
      <c r="E323" s="13">
        <f>Tabelle1[[#This Row],[Energie '[kcal/100g']]]/239</f>
        <v>0.65690376569037656</v>
      </c>
      <c r="F323" s="11">
        <v>20.2</v>
      </c>
      <c r="G323" s="13">
        <f>Tabelle1[[#This Row],[Rohprotein '[g/100g']]]*0.85</f>
        <v>17.169999999999998</v>
      </c>
      <c r="H323" s="11">
        <v>8.5</v>
      </c>
      <c r="I323" s="11">
        <f>Tabelle1[[#This Row],[TS]]-Tabelle1[[#This Row],[Rohprotein '[g/100g']]]-Tabelle1[[#This Row],[Rohfett '[g/100g']]]-Tabelle1[[#This Row],[Rohasche '[g/100g']]]-Tabelle1[[#This Row],[Rohfaser '[g/100g']]]</f>
        <v>6.4392935428259079E-15</v>
      </c>
      <c r="J323" s="11">
        <v>0</v>
      </c>
      <c r="K323" s="11">
        <v>0.95</v>
      </c>
      <c r="L323" s="11">
        <v>70.349999999999994</v>
      </c>
      <c r="M323" s="11">
        <f>100-Tabelle1[[#This Row],[Wasser '[g/100g']]]</f>
        <v>29.650000000000006</v>
      </c>
      <c r="N323" s="11">
        <v>15</v>
      </c>
      <c r="O323" s="11">
        <v>175</v>
      </c>
      <c r="P323" s="11">
        <v>20.332999999999998</v>
      </c>
      <c r="Q323" s="11">
        <v>63</v>
      </c>
      <c r="R323" s="11">
        <v>247</v>
      </c>
      <c r="S323" s="11"/>
      <c r="T323" s="11">
        <v>0.98</v>
      </c>
      <c r="U323" s="11">
        <v>2.6</v>
      </c>
      <c r="V323" s="11">
        <v>0</v>
      </c>
      <c r="W323" s="11">
        <v>70</v>
      </c>
      <c r="X323" s="11">
        <v>19</v>
      </c>
      <c r="Y323" s="13">
        <v>0</v>
      </c>
      <c r="Z323" s="13"/>
      <c r="AA323" s="11">
        <v>0.3</v>
      </c>
      <c r="AB323" s="11">
        <v>0.85450000000000004</v>
      </c>
      <c r="AC323" s="11">
        <v>3938</v>
      </c>
      <c r="AD323" s="11">
        <v>0.1</v>
      </c>
      <c r="AE323" s="11">
        <v>0.18</v>
      </c>
      <c r="AF323" s="11">
        <v>10.5</v>
      </c>
      <c r="AG323" s="11">
        <v>386</v>
      </c>
      <c r="AH323" s="11">
        <v>7.0000000000000007E-2</v>
      </c>
      <c r="AI323" s="11">
        <v>2.5</v>
      </c>
      <c r="AJ323" s="11">
        <v>5.83</v>
      </c>
      <c r="AK323" s="11">
        <v>355</v>
      </c>
      <c r="AL323" s="11">
        <v>0.84</v>
      </c>
      <c r="AM323" s="11">
        <v>0</v>
      </c>
      <c r="AN323" s="11">
        <v>0.16500000000000001</v>
      </c>
      <c r="AO323" s="11">
        <v>0</v>
      </c>
      <c r="AP323" s="11">
        <v>0</v>
      </c>
      <c r="AQ323" s="11">
        <v>2.27</v>
      </c>
      <c r="AR323" s="11">
        <v>2.0910000000000002</v>
      </c>
      <c r="AS323" s="11">
        <v>1.21</v>
      </c>
      <c r="AT323" s="11">
        <v>0.27</v>
      </c>
      <c r="AU323" s="11">
        <v>0.52</v>
      </c>
      <c r="AV323" s="11">
        <v>1.74</v>
      </c>
      <c r="AW323" s="11">
        <v>0.53</v>
      </c>
      <c r="AX323" s="9">
        <f>Tabelle1[[#This Row],[Vitamin D3 '[µg/100g']]]*40</f>
        <v>12</v>
      </c>
      <c r="AY323" s="9">
        <f>Tabelle1[[#This Row],[Vitamin A '[µg/100g']]]*3.33</f>
        <v>13113.54</v>
      </c>
      <c r="AZ323" s="9">
        <f>Tabelle1[[#This Row],[Vitamin E '[mg/100g']]]*1.49</f>
        <v>1.2732050000000001</v>
      </c>
    </row>
    <row r="324" spans="1:52" hidden="1" x14ac:dyDescent="0.45">
      <c r="A324" t="s">
        <v>58</v>
      </c>
      <c r="B324" s="5" t="s">
        <v>315</v>
      </c>
      <c r="C324" s="6" t="s">
        <v>316</v>
      </c>
      <c r="D324" s="13">
        <v>146</v>
      </c>
      <c r="E324" s="13">
        <f>Tabelle1[[#This Row],[Energie '[kcal/100g']]]/239</f>
        <v>0.61087866108786615</v>
      </c>
      <c r="F324" s="13">
        <v>30.067</v>
      </c>
      <c r="G324" s="13">
        <f>Tabelle1[[#This Row],[Rohprotein '[g/100g']]]*0.85</f>
        <v>25.556950000000001</v>
      </c>
      <c r="H324" s="13">
        <v>2.9</v>
      </c>
      <c r="I324" s="11">
        <f>Tabelle1[[#This Row],[TS]]-Tabelle1[[#This Row],[Rohprotein '[g/100g']]]-Tabelle1[[#This Row],[Rohfett '[g/100g']]]-Tabelle1[[#This Row],[Rohasche '[g/100g']]]-Tabelle1[[#This Row],[Rohfaser '[g/100g']]]</f>
        <v>1.4890000000000057</v>
      </c>
      <c r="J324" s="11">
        <v>0</v>
      </c>
      <c r="K324" s="13">
        <v>1.444</v>
      </c>
      <c r="L324" s="13">
        <v>64.099999999999994</v>
      </c>
      <c r="M324" s="13">
        <f>100-Tabelle1[[#This Row],[Wasser '[g/100g']]]</f>
        <v>35.900000000000006</v>
      </c>
      <c r="N324" s="13">
        <v>13</v>
      </c>
      <c r="O324" s="13">
        <v>160</v>
      </c>
      <c r="P324" s="13">
        <v>22</v>
      </c>
      <c r="Q324" s="13">
        <v>99</v>
      </c>
      <c r="R324" s="13">
        <v>209</v>
      </c>
      <c r="S324" s="13"/>
      <c r="T324" s="13">
        <v>0.98</v>
      </c>
      <c r="U324" s="13">
        <v>2.1840000000000002</v>
      </c>
      <c r="V324" s="11">
        <v>0</v>
      </c>
      <c r="W324" s="13">
        <v>48</v>
      </c>
      <c r="X324" s="13">
        <v>15</v>
      </c>
      <c r="Y324" s="13">
        <v>0</v>
      </c>
      <c r="Z324" s="13"/>
      <c r="AA324" s="13">
        <v>0.3</v>
      </c>
      <c r="AB324" s="13">
        <v>0.2</v>
      </c>
      <c r="AC324" s="13">
        <v>15</v>
      </c>
      <c r="AD324" s="13">
        <v>7.3999999999999996E-2</v>
      </c>
      <c r="AE324" s="13">
        <v>0.221</v>
      </c>
      <c r="AF324" s="13">
        <v>5.327</v>
      </c>
      <c r="AG324" s="13">
        <v>335</v>
      </c>
      <c r="AH324" s="13">
        <v>0.06</v>
      </c>
      <c r="AI324" s="13">
        <v>2.6669999999999998</v>
      </c>
      <c r="AJ324" s="13">
        <v>6.22</v>
      </c>
      <c r="AK324" s="13">
        <v>14</v>
      </c>
      <c r="AL324" s="13">
        <v>0.95</v>
      </c>
      <c r="AM324" s="13">
        <v>0</v>
      </c>
      <c r="AN324" s="13">
        <v>0.14000000000000001</v>
      </c>
      <c r="AO324" s="11">
        <v>0</v>
      </c>
      <c r="AP324" s="11">
        <v>0</v>
      </c>
      <c r="AQ324" s="13">
        <v>0.755</v>
      </c>
      <c r="AR324" s="13">
        <v>0.74</v>
      </c>
      <c r="AS324" s="13">
        <v>1.9510000000000001</v>
      </c>
      <c r="AT324" s="13">
        <v>0.20499999999999999</v>
      </c>
      <c r="AU324" s="13">
        <v>0.97699999999999998</v>
      </c>
      <c r="AV324" s="13">
        <v>2.7280000000000002</v>
      </c>
      <c r="AW324" s="13">
        <v>0.82299999999999995</v>
      </c>
      <c r="AX324" s="9">
        <f>Tabelle1[[#This Row],[Vitamin D3 '[µg/100g']]]*40</f>
        <v>12</v>
      </c>
      <c r="AY324" s="9">
        <f>Tabelle1[[#This Row],[Vitamin A '[µg/100g']]]*3.33</f>
        <v>49.95</v>
      </c>
      <c r="AZ324" s="9">
        <f>Tabelle1[[#This Row],[Vitamin E '[mg/100g']]]*1.49</f>
        <v>0.29799999999999999</v>
      </c>
    </row>
    <row r="325" spans="1:52" hidden="1" x14ac:dyDescent="0.45">
      <c r="A325" t="s">
        <v>58</v>
      </c>
      <c r="B325" s="5" t="s">
        <v>317</v>
      </c>
      <c r="C325" s="6" t="s">
        <v>318</v>
      </c>
      <c r="D325" s="13">
        <v>140</v>
      </c>
      <c r="E325" s="13">
        <f>Tabelle1[[#This Row],[Energie '[kcal/100g']]]/239</f>
        <v>0.58577405857740583</v>
      </c>
      <c r="F325" s="13">
        <v>27.902999999999999</v>
      </c>
      <c r="G325" s="13">
        <f>Tabelle1[[#This Row],[Rohprotein '[g/100g']]]*0.85</f>
        <v>23.717549999999999</v>
      </c>
      <c r="H325" s="13">
        <v>3.1</v>
      </c>
      <c r="I325" s="11">
        <f>Tabelle1[[#This Row],[TS]]-Tabelle1[[#This Row],[Rohprotein '[g/100g']]]-Tabelle1[[#This Row],[Rohfett '[g/100g']]]-Tabelle1[[#This Row],[Rohasche '[g/100g']]]-Tabelle1[[#This Row],[Rohfaser '[g/100g']]]</f>
        <v>1.3930000000000069</v>
      </c>
      <c r="J325" s="11">
        <v>0</v>
      </c>
      <c r="K325" s="13">
        <v>1.504</v>
      </c>
      <c r="L325" s="13">
        <v>66.099999999999994</v>
      </c>
      <c r="M325" s="13">
        <f>100-Tabelle1[[#This Row],[Wasser '[g/100g']]]</f>
        <v>33.900000000000006</v>
      </c>
      <c r="N325" s="13">
        <v>14</v>
      </c>
      <c r="O325" s="13">
        <v>177</v>
      </c>
      <c r="P325" s="13">
        <v>23</v>
      </c>
      <c r="Q325" s="13">
        <v>110</v>
      </c>
      <c r="R325" s="13">
        <v>288</v>
      </c>
      <c r="S325" s="13"/>
      <c r="T325" s="13">
        <v>1.02</v>
      </c>
      <c r="U325" s="13">
        <v>2.2749999999999999</v>
      </c>
      <c r="V325" s="11">
        <v>0</v>
      </c>
      <c r="W325" s="13">
        <v>65</v>
      </c>
      <c r="X325" s="13">
        <v>15</v>
      </c>
      <c r="Y325" s="13">
        <v>0</v>
      </c>
      <c r="Z325" s="13"/>
      <c r="AA325" s="13">
        <v>0.3</v>
      </c>
      <c r="AB325" s="13">
        <v>0.2</v>
      </c>
      <c r="AC325" s="13">
        <v>13</v>
      </c>
      <c r="AD325" s="13">
        <v>8.7999999999999995E-2</v>
      </c>
      <c r="AE325" s="13">
        <v>0.25</v>
      </c>
      <c r="AF325" s="13">
        <v>5.2220000000000004</v>
      </c>
      <c r="AG325" s="13">
        <v>295</v>
      </c>
      <c r="AH325" s="13">
        <v>0.06</v>
      </c>
      <c r="AI325" s="13">
        <v>2.778</v>
      </c>
      <c r="AJ325" s="13">
        <v>6.07</v>
      </c>
      <c r="AK325" s="13">
        <v>16</v>
      </c>
      <c r="AL325" s="13">
        <v>0.99</v>
      </c>
      <c r="AM325" s="13">
        <v>0</v>
      </c>
      <c r="AN325" s="13">
        <v>0.14599999999999999</v>
      </c>
      <c r="AO325" s="11">
        <v>0</v>
      </c>
      <c r="AP325" s="11">
        <v>0</v>
      </c>
      <c r="AQ325" s="13">
        <v>0.78600000000000003</v>
      </c>
      <c r="AR325" s="13">
        <v>0.77100000000000002</v>
      </c>
      <c r="AS325" s="13">
        <v>1.81</v>
      </c>
      <c r="AT325" s="13">
        <v>0.191</v>
      </c>
      <c r="AU325" s="13">
        <v>0.90600000000000003</v>
      </c>
      <c r="AV325" s="13">
        <v>2.532</v>
      </c>
      <c r="AW325" s="13">
        <v>0.76400000000000001</v>
      </c>
      <c r="AX325" s="9">
        <f>Tabelle1[[#This Row],[Vitamin D3 '[µg/100g']]]*40</f>
        <v>12</v>
      </c>
      <c r="AY325" s="9">
        <f>Tabelle1[[#This Row],[Vitamin A '[µg/100g']]]*3.33</f>
        <v>43.29</v>
      </c>
      <c r="AZ325" s="9">
        <f>Tabelle1[[#This Row],[Vitamin E '[mg/100g']]]*1.49</f>
        <v>0.29799999999999999</v>
      </c>
    </row>
    <row r="326" spans="1:52" hidden="1" x14ac:dyDescent="0.45">
      <c r="A326" t="s">
        <v>58</v>
      </c>
      <c r="B326" s="5" t="s">
        <v>319</v>
      </c>
      <c r="C326" s="6" t="s">
        <v>320</v>
      </c>
      <c r="D326" s="13">
        <v>121</v>
      </c>
      <c r="E326" s="13">
        <f>Tabelle1[[#This Row],[Energie '[kcal/100g']]]/239</f>
        <v>0.50627615062761511</v>
      </c>
      <c r="F326" s="13">
        <v>26.356999999999999</v>
      </c>
      <c r="G326" s="13">
        <f>Tabelle1[[#This Row],[Rohprotein '[g/100g']]]*0.85</f>
        <v>22.403449999999999</v>
      </c>
      <c r="H326" s="13">
        <v>1.7</v>
      </c>
      <c r="I326" s="11">
        <f>Tabelle1[[#This Row],[TS]]-Tabelle1[[#This Row],[Rohprotein '[g/100g']]]-Tabelle1[[#This Row],[Rohfett '[g/100g']]]-Tabelle1[[#This Row],[Rohasche '[g/100g']]]-Tabelle1[[#This Row],[Rohfaser '[g/100g']]]</f>
        <v>1.4660000000000006</v>
      </c>
      <c r="J326" s="11">
        <v>0</v>
      </c>
      <c r="K326" s="13">
        <v>0.97699999999999998</v>
      </c>
      <c r="L326" s="13">
        <v>69.5</v>
      </c>
      <c r="M326" s="13">
        <f>100-Tabelle1[[#This Row],[Wasser '[g/100g']]]</f>
        <v>30.5</v>
      </c>
      <c r="N326" s="13">
        <v>12</v>
      </c>
      <c r="O326" s="13">
        <v>150</v>
      </c>
      <c r="P326" s="13">
        <v>21</v>
      </c>
      <c r="Q326" s="13">
        <v>53</v>
      </c>
      <c r="R326" s="13">
        <v>131</v>
      </c>
      <c r="S326" s="13"/>
      <c r="T326" s="13">
        <v>0.88</v>
      </c>
      <c r="U326" s="13">
        <v>2.34</v>
      </c>
      <c r="V326" s="11">
        <v>0</v>
      </c>
      <c r="W326" s="13">
        <v>39</v>
      </c>
      <c r="X326" s="13">
        <v>16</v>
      </c>
      <c r="Y326" s="13">
        <v>0</v>
      </c>
      <c r="Z326" s="13"/>
      <c r="AA326" s="13">
        <v>0.2</v>
      </c>
      <c r="AB326" s="13">
        <v>0.2</v>
      </c>
      <c r="AC326" s="13">
        <v>11</v>
      </c>
      <c r="AD326" s="13">
        <v>7.0999999999999994E-2</v>
      </c>
      <c r="AE326" s="13">
        <v>0.23100000000000001</v>
      </c>
      <c r="AF326" s="13">
        <v>4.0289999999999999</v>
      </c>
      <c r="AG326" s="13">
        <v>331</v>
      </c>
      <c r="AH326" s="13">
        <v>0.05</v>
      </c>
      <c r="AI326" s="13">
        <v>2.8570000000000002</v>
      </c>
      <c r="AJ326" s="13">
        <v>4.58</v>
      </c>
      <c r="AK326" s="13">
        <v>11</v>
      </c>
      <c r="AL326" s="13">
        <v>0.84</v>
      </c>
      <c r="AM326" s="13">
        <v>0</v>
      </c>
      <c r="AN326" s="13">
        <v>8.2000000000000003E-2</v>
      </c>
      <c r="AO326" s="11">
        <v>0</v>
      </c>
      <c r="AP326" s="11">
        <v>0</v>
      </c>
      <c r="AQ326" s="13">
        <v>0.44500000000000001</v>
      </c>
      <c r="AR326" s="13">
        <v>0.436</v>
      </c>
      <c r="AS326" s="13">
        <v>1.71</v>
      </c>
      <c r="AT326" s="13">
        <v>0.18</v>
      </c>
      <c r="AU326" s="13">
        <v>0.85599999999999998</v>
      </c>
      <c r="AV326" s="13">
        <v>2.391</v>
      </c>
      <c r="AW326" s="13">
        <v>0.72099999999999997</v>
      </c>
      <c r="AX326" s="9">
        <f>Tabelle1[[#This Row],[Vitamin D3 '[µg/100g']]]*40</f>
        <v>8</v>
      </c>
      <c r="AY326" s="9">
        <f>Tabelle1[[#This Row],[Vitamin A '[µg/100g']]]*3.33</f>
        <v>36.630000000000003</v>
      </c>
      <c r="AZ326" s="9">
        <f>Tabelle1[[#This Row],[Vitamin E '[mg/100g']]]*1.49</f>
        <v>0.29799999999999999</v>
      </c>
    </row>
    <row r="327" spans="1:52" hidden="1" x14ac:dyDescent="0.45">
      <c r="A327" t="s">
        <v>58</v>
      </c>
      <c r="B327" s="5" t="s">
        <v>321</v>
      </c>
      <c r="C327" s="6" t="s">
        <v>322</v>
      </c>
      <c r="D327" s="13">
        <v>102</v>
      </c>
      <c r="E327" s="13">
        <f>Tabelle1[[#This Row],[Energie '[kcal/100g']]]/239</f>
        <v>0.42677824267782427</v>
      </c>
      <c r="F327" s="13">
        <v>20.5</v>
      </c>
      <c r="G327" s="13">
        <f>Tabelle1[[#This Row],[Rohprotein '[g/100g']]]*0.85</f>
        <v>17.425000000000001</v>
      </c>
      <c r="H327" s="13">
        <v>2.2000000000000002</v>
      </c>
      <c r="I327" s="11">
        <f>Tabelle1[[#This Row],[TS]]-Tabelle1[[#This Row],[Rohprotein '[g/100g']]]-Tabelle1[[#This Row],[Rohfett '[g/100g']]]-Tabelle1[[#This Row],[Rohasche '[g/100g']]]-Tabelle1[[#This Row],[Rohfaser '[g/100g']]]</f>
        <v>1.4599999999999971</v>
      </c>
      <c r="J327" s="11">
        <v>0</v>
      </c>
      <c r="K327" s="13">
        <v>1.1399999999999999</v>
      </c>
      <c r="L327" s="13">
        <v>74.7</v>
      </c>
      <c r="M327" s="13">
        <f>100-Tabelle1[[#This Row],[Wasser '[g/100g']]]</f>
        <v>25.299999999999997</v>
      </c>
      <c r="N327" s="13">
        <v>10</v>
      </c>
      <c r="O327" s="13">
        <v>150</v>
      </c>
      <c r="P327" s="13">
        <v>21</v>
      </c>
      <c r="Q327" s="13">
        <v>93</v>
      </c>
      <c r="R327" s="13">
        <v>230</v>
      </c>
      <c r="S327" s="13"/>
      <c r="T327" s="13">
        <v>0.77</v>
      </c>
      <c r="U327" s="13">
        <v>1.6379999999999999</v>
      </c>
      <c r="V327" s="11">
        <v>0</v>
      </c>
      <c r="W327" s="13">
        <v>55</v>
      </c>
      <c r="X327" s="13">
        <v>11</v>
      </c>
      <c r="Y327" s="13">
        <v>0</v>
      </c>
      <c r="Z327" s="13"/>
      <c r="AA327" s="13">
        <v>0.3</v>
      </c>
      <c r="AB327" s="13">
        <v>0.2</v>
      </c>
      <c r="AC327" s="13">
        <v>2.1</v>
      </c>
      <c r="AD327" s="13">
        <v>0.09</v>
      </c>
      <c r="AE327" s="13">
        <v>0.18</v>
      </c>
      <c r="AF327" s="13">
        <v>4.7</v>
      </c>
      <c r="AG327" s="13">
        <v>386</v>
      </c>
      <c r="AH327" s="13">
        <v>7.0000000000000007E-2</v>
      </c>
      <c r="AI327" s="13">
        <v>2.5</v>
      </c>
      <c r="AJ327" s="13">
        <v>5.83</v>
      </c>
      <c r="AK327" s="13">
        <v>4</v>
      </c>
      <c r="AL327" s="13">
        <v>0.84</v>
      </c>
      <c r="AM327" s="13">
        <v>0</v>
      </c>
      <c r="AN327" s="13">
        <v>0.105</v>
      </c>
      <c r="AO327" s="11">
        <v>0</v>
      </c>
      <c r="AP327" s="11">
        <v>0</v>
      </c>
      <c r="AQ327" s="13">
        <v>0.56599999999999995</v>
      </c>
      <c r="AR327" s="13">
        <v>0.55500000000000005</v>
      </c>
      <c r="AS327" s="13">
        <v>1.33</v>
      </c>
      <c r="AT327" s="13">
        <v>0.14000000000000001</v>
      </c>
      <c r="AU327" s="13">
        <v>0.66600000000000004</v>
      </c>
      <c r="AV327" s="13">
        <v>1.86</v>
      </c>
      <c r="AW327" s="13">
        <v>0.56100000000000005</v>
      </c>
      <c r="AX327" s="9">
        <f>Tabelle1[[#This Row],[Vitamin D3 '[µg/100g']]]*40</f>
        <v>12</v>
      </c>
      <c r="AY327" s="9">
        <f>Tabelle1[[#This Row],[Vitamin A '[µg/100g']]]*3.33</f>
        <v>6.9930000000000003</v>
      </c>
      <c r="AZ327" s="9">
        <f>Tabelle1[[#This Row],[Vitamin E '[mg/100g']]]*1.49</f>
        <v>0.29799999999999999</v>
      </c>
    </row>
    <row r="328" spans="1:52" hidden="1" x14ac:dyDescent="0.45">
      <c r="A328" t="s">
        <v>58</v>
      </c>
      <c r="B328" s="3" t="s">
        <v>323</v>
      </c>
      <c r="C328" s="4" t="s">
        <v>324</v>
      </c>
      <c r="D328" s="11">
        <v>152</v>
      </c>
      <c r="E328" s="13">
        <f>Tabelle1[[#This Row],[Energie '[kcal/100g']]]/239</f>
        <v>0.63598326359832635</v>
      </c>
      <c r="F328" s="11">
        <v>20.7</v>
      </c>
      <c r="G328" s="13">
        <f>Tabelle1[[#This Row],[Rohprotein '[g/100g']]]*0.85</f>
        <v>17.594999999999999</v>
      </c>
      <c r="H328" s="11">
        <v>7.7</v>
      </c>
      <c r="I328" s="11">
        <f>Tabelle1[[#This Row],[TS]]-Tabelle1[[#This Row],[Rohprotein '[g/100g']]]-Tabelle1[[#This Row],[Rohfett '[g/100g']]]-Tabelle1[[#This Row],[Rohasche '[g/100g']]]-Tabelle1[[#This Row],[Rohfaser '[g/100g']]]</f>
        <v>0.1499999999999948</v>
      </c>
      <c r="J328" s="11">
        <v>0</v>
      </c>
      <c r="K328" s="11">
        <v>0.55000000000000004</v>
      </c>
      <c r="L328" s="11">
        <v>70.900000000000006</v>
      </c>
      <c r="M328" s="11">
        <f>100-Tabelle1[[#This Row],[Wasser '[g/100g']]]</f>
        <v>29.099999999999994</v>
      </c>
      <c r="N328" s="11">
        <v>14</v>
      </c>
      <c r="O328" s="11">
        <v>131</v>
      </c>
      <c r="P328" s="11">
        <v>17</v>
      </c>
      <c r="Q328" s="11">
        <v>25</v>
      </c>
      <c r="R328" s="11">
        <v>109</v>
      </c>
      <c r="S328" s="11"/>
      <c r="T328" s="11">
        <v>1.1499999999999999</v>
      </c>
      <c r="U328" s="11">
        <v>1.75</v>
      </c>
      <c r="V328" s="11">
        <v>0</v>
      </c>
      <c r="W328" s="11">
        <v>44</v>
      </c>
      <c r="X328" s="11">
        <v>19</v>
      </c>
      <c r="Y328" s="13">
        <v>0</v>
      </c>
      <c r="Z328" s="13"/>
      <c r="AA328" s="11">
        <v>0.21</v>
      </c>
      <c r="AB328" s="11">
        <v>0.64</v>
      </c>
      <c r="AC328" s="11">
        <v>2</v>
      </c>
      <c r="AD328" s="11">
        <v>0.03</v>
      </c>
      <c r="AE328" s="11">
        <v>0.11</v>
      </c>
      <c r="AF328" s="11">
        <v>3.01</v>
      </c>
      <c r="AG328" s="11">
        <v>280</v>
      </c>
      <c r="AH328" s="11">
        <v>0.22</v>
      </c>
      <c r="AI328" s="11">
        <v>0</v>
      </c>
      <c r="AJ328" s="11">
        <v>10.6</v>
      </c>
      <c r="AK328" s="11">
        <v>4</v>
      </c>
      <c r="AL328" s="11">
        <v>1.1499999999999999</v>
      </c>
      <c r="AM328" s="11">
        <v>0</v>
      </c>
      <c r="AN328" s="11">
        <v>0.1</v>
      </c>
      <c r="AO328" s="11">
        <v>0</v>
      </c>
      <c r="AP328" s="11">
        <v>0</v>
      </c>
      <c r="AQ328" s="11">
        <v>1.1000000000000001</v>
      </c>
      <c r="AR328" s="11">
        <v>1.1000000000000001</v>
      </c>
      <c r="AS328" s="11">
        <v>1.47</v>
      </c>
      <c r="AT328" s="11">
        <v>0.23899999999999999</v>
      </c>
      <c r="AU328" s="11">
        <v>0.59799999999999998</v>
      </c>
      <c r="AV328" s="11">
        <v>1.81</v>
      </c>
      <c r="AW328" s="11">
        <v>0.56399999999999995</v>
      </c>
      <c r="AX328" s="9">
        <f>Tabelle1[[#This Row],[Vitamin D3 '[µg/100g']]]*40</f>
        <v>8.4</v>
      </c>
      <c r="AY328" s="9">
        <f>Tabelle1[[#This Row],[Vitamin A '[µg/100g']]]*3.33</f>
        <v>6.66</v>
      </c>
      <c r="AZ328" s="9">
        <f>Tabelle1[[#This Row],[Vitamin E '[mg/100g']]]*1.49</f>
        <v>0.9536</v>
      </c>
    </row>
    <row r="329" spans="1:52" hidden="1" x14ac:dyDescent="0.45">
      <c r="A329" t="s">
        <v>58</v>
      </c>
      <c r="B329" s="5" t="s">
        <v>325</v>
      </c>
      <c r="C329" s="6" t="s">
        <v>326</v>
      </c>
      <c r="D329" s="13">
        <v>176</v>
      </c>
      <c r="E329" s="13">
        <f>Tabelle1[[#This Row],[Energie '[kcal/100g']]]/239</f>
        <v>0.7364016736401674</v>
      </c>
      <c r="F329" s="13">
        <v>23.2</v>
      </c>
      <c r="G329" s="13">
        <f>Tabelle1[[#This Row],[Rohprotein '[g/100g']]]*0.85</f>
        <v>19.72</v>
      </c>
      <c r="H329" s="13">
        <v>9.1999999999999993</v>
      </c>
      <c r="I329" s="11">
        <f>Tabelle1[[#This Row],[TS]]-Tabelle1[[#This Row],[Rohprotein '[g/100g']]]-Tabelle1[[#This Row],[Rohfett '[g/100g']]]-Tabelle1[[#This Row],[Rohasche '[g/100g']]]-Tabelle1[[#This Row],[Rohfaser '[g/100g']]]</f>
        <v>0.29000000000000714</v>
      </c>
      <c r="J329" s="11">
        <v>0</v>
      </c>
      <c r="K329" s="13">
        <v>0.71</v>
      </c>
      <c r="L329" s="13">
        <v>66.599999999999994</v>
      </c>
      <c r="M329" s="13">
        <f>100-Tabelle1[[#This Row],[Wasser '[g/100g']]]</f>
        <v>33.400000000000006</v>
      </c>
      <c r="N329" s="13">
        <v>15</v>
      </c>
      <c r="O329" s="13">
        <v>144</v>
      </c>
      <c r="P329" s="13">
        <v>18</v>
      </c>
      <c r="Q329" s="13">
        <v>28</v>
      </c>
      <c r="R329" s="13">
        <v>150</v>
      </c>
      <c r="S329" s="13"/>
      <c r="T329" s="13">
        <v>1.26</v>
      </c>
      <c r="U329" s="13">
        <v>1.73</v>
      </c>
      <c r="V329" s="11">
        <v>0</v>
      </c>
      <c r="W329" s="13">
        <v>48</v>
      </c>
      <c r="X329" s="13">
        <v>21</v>
      </c>
      <c r="Y329" s="13">
        <v>0</v>
      </c>
      <c r="Z329" s="13"/>
      <c r="AA329" s="13">
        <v>0.26</v>
      </c>
      <c r="AB329" s="13">
        <v>0.76</v>
      </c>
      <c r="AC329" s="13">
        <v>3</v>
      </c>
      <c r="AD329" s="13">
        <v>0.03</v>
      </c>
      <c r="AE329" s="13">
        <v>0.13</v>
      </c>
      <c r="AF329" s="13">
        <v>3.32</v>
      </c>
      <c r="AG329" s="13">
        <v>310</v>
      </c>
      <c r="AH329" s="13">
        <v>0.24</v>
      </c>
      <c r="AI329" s="13">
        <v>0</v>
      </c>
      <c r="AJ329" s="13">
        <v>12.8</v>
      </c>
      <c r="AK329" s="13">
        <v>6</v>
      </c>
      <c r="AL329" s="13">
        <v>1.27</v>
      </c>
      <c r="AM329" s="13">
        <v>0</v>
      </c>
      <c r="AN329" s="13">
        <v>0.2</v>
      </c>
      <c r="AO329" s="13">
        <v>0</v>
      </c>
      <c r="AP329" s="13">
        <v>0</v>
      </c>
      <c r="AQ329" s="13">
        <v>1.4</v>
      </c>
      <c r="AR329" s="13">
        <v>1.4</v>
      </c>
      <c r="AS329" s="13">
        <v>1.66</v>
      </c>
      <c r="AT329" s="13">
        <v>0.26900000000000002</v>
      </c>
      <c r="AU329" s="13">
        <v>0.67300000000000004</v>
      </c>
      <c r="AV329" s="13">
        <v>2.04</v>
      </c>
      <c r="AW329" s="13">
        <v>0.63400000000000001</v>
      </c>
      <c r="AX329" s="9">
        <f>Tabelle1[[#This Row],[Vitamin D3 '[µg/100g']]]*40</f>
        <v>10.4</v>
      </c>
      <c r="AY329" s="9">
        <f>Tabelle1[[#This Row],[Vitamin A '[µg/100g']]]*3.33</f>
        <v>9.99</v>
      </c>
      <c r="AZ329" s="9">
        <f>Tabelle1[[#This Row],[Vitamin E '[mg/100g']]]*1.49</f>
        <v>1.1324000000000001</v>
      </c>
    </row>
    <row r="330" spans="1:52" hidden="1" x14ac:dyDescent="0.45">
      <c r="A330" t="s">
        <v>58</v>
      </c>
      <c r="B330" s="3" t="s">
        <v>327</v>
      </c>
      <c r="C330" s="4" t="s">
        <v>328</v>
      </c>
      <c r="D330" s="11">
        <v>192</v>
      </c>
      <c r="E330" s="13">
        <f>Tabelle1[[#This Row],[Energie '[kcal/100g']]]/239</f>
        <v>0.80334728033472802</v>
      </c>
      <c r="F330" s="11">
        <v>20.2</v>
      </c>
      <c r="G330" s="13">
        <f>Tabelle1[[#This Row],[Rohprotein '[g/100g']]]*0.85</f>
        <v>17.169999999999998</v>
      </c>
      <c r="H330" s="11">
        <v>12.3</v>
      </c>
      <c r="I330" s="11">
        <f>Tabelle1[[#This Row],[TS]]-Tabelle1[[#This Row],[Rohprotein '[g/100g']]]-Tabelle1[[#This Row],[Rohfett '[g/100g']]]-Tabelle1[[#This Row],[Rohasche '[g/100g']]]-Tabelle1[[#This Row],[Rohfaser '[g/100g']]]</f>
        <v>0.18999999999999995</v>
      </c>
      <c r="J330" s="11">
        <v>0</v>
      </c>
      <c r="K330" s="11">
        <v>0.81</v>
      </c>
      <c r="L330" s="11">
        <v>66.5</v>
      </c>
      <c r="M330" s="11">
        <f>100-Tabelle1[[#This Row],[Wasser '[g/100g']]]</f>
        <v>33.5</v>
      </c>
      <c r="N330" s="11">
        <v>14</v>
      </c>
      <c r="O330" s="11">
        <v>165</v>
      </c>
      <c r="P330" s="11">
        <v>21</v>
      </c>
      <c r="Q330" s="11">
        <v>55</v>
      </c>
      <c r="R330" s="11">
        <v>240</v>
      </c>
      <c r="S330" s="11"/>
      <c r="T330" s="11">
        <v>1.26</v>
      </c>
      <c r="U330" s="11">
        <v>1.54</v>
      </c>
      <c r="V330" s="11">
        <v>0</v>
      </c>
      <c r="W330" s="11">
        <v>77</v>
      </c>
      <c r="X330" s="11">
        <v>17</v>
      </c>
      <c r="Y330" s="13">
        <v>0</v>
      </c>
      <c r="Z330" s="13"/>
      <c r="AA330" s="11">
        <v>0.34</v>
      </c>
      <c r="AB330" s="11">
        <v>1.02</v>
      </c>
      <c r="AC330" s="11">
        <v>25</v>
      </c>
      <c r="AD330" s="11">
        <v>0.05</v>
      </c>
      <c r="AE330" s="11">
        <v>0.11</v>
      </c>
      <c r="AF330" s="11">
        <v>4.42</v>
      </c>
      <c r="AG330" s="11">
        <v>410</v>
      </c>
      <c r="AH330" s="11">
        <v>0.39</v>
      </c>
      <c r="AI330" s="11">
        <v>0</v>
      </c>
      <c r="AJ330" s="11">
        <v>17</v>
      </c>
      <c r="AK330" s="11">
        <v>15</v>
      </c>
      <c r="AL330" s="11">
        <v>1.45</v>
      </c>
      <c r="AM330" s="11">
        <v>0</v>
      </c>
      <c r="AN330" s="11">
        <v>0.2</v>
      </c>
      <c r="AO330" s="13">
        <v>0</v>
      </c>
      <c r="AP330" s="13">
        <v>0</v>
      </c>
      <c r="AQ330" s="11">
        <v>1.8</v>
      </c>
      <c r="AR330" s="11">
        <v>1.8</v>
      </c>
      <c r="AS330" s="11">
        <v>1.44</v>
      </c>
      <c r="AT330" s="11">
        <v>0.23400000000000001</v>
      </c>
      <c r="AU330" s="11">
        <v>0.58499999999999996</v>
      </c>
      <c r="AV330" s="11">
        <v>1.77</v>
      </c>
      <c r="AW330" s="11">
        <v>0.55100000000000005</v>
      </c>
      <c r="AX330" s="9">
        <f>Tabelle1[[#This Row],[Vitamin D3 '[µg/100g']]]*40</f>
        <v>13.600000000000001</v>
      </c>
      <c r="AY330" s="9">
        <f>Tabelle1[[#This Row],[Vitamin A '[µg/100g']]]*3.33</f>
        <v>83.25</v>
      </c>
      <c r="AZ330" s="9">
        <f>Tabelle1[[#This Row],[Vitamin E '[mg/100g']]]*1.49</f>
        <v>1.5198</v>
      </c>
    </row>
    <row r="331" spans="1:52" hidden="1" x14ac:dyDescent="0.45">
      <c r="A331" t="s">
        <v>58</v>
      </c>
      <c r="B331" s="5" t="s">
        <v>329</v>
      </c>
      <c r="C331" s="6" t="s">
        <v>330</v>
      </c>
      <c r="D331" s="13">
        <v>189</v>
      </c>
      <c r="E331" s="13">
        <f>Tabelle1[[#This Row],[Energie '[kcal/100g']]]/239</f>
        <v>0.79079497907949792</v>
      </c>
      <c r="F331" s="13">
        <v>34.692</v>
      </c>
      <c r="G331" s="13">
        <f>Tabelle1[[#This Row],[Rohprotein '[g/100g']]]*0.85</f>
        <v>29.488199999999999</v>
      </c>
      <c r="H331" s="13">
        <v>5.5540000000000003</v>
      </c>
      <c r="I331" s="11">
        <f>Tabelle1[[#This Row],[TS]]-Tabelle1[[#This Row],[Rohprotein '[g/100g']]]-Tabelle1[[#This Row],[Rohfett '[g/100g']]]-Tabelle1[[#This Row],[Rohasche '[g/100g']]]-Tabelle1[[#This Row],[Rohfaser '[g/100g']]]</f>
        <v>5.0000000000002931E-2</v>
      </c>
      <c r="J331" s="11">
        <v>0</v>
      </c>
      <c r="K331" s="13">
        <v>1.6659999999999999</v>
      </c>
      <c r="L331" s="13">
        <v>58.037999999999997</v>
      </c>
      <c r="M331" s="13">
        <f>100-Tabelle1[[#This Row],[Wasser '[g/100g']]]</f>
        <v>41.962000000000003</v>
      </c>
      <c r="N331" s="13">
        <v>23</v>
      </c>
      <c r="O331" s="13">
        <v>215</v>
      </c>
      <c r="P331" s="13">
        <v>21</v>
      </c>
      <c r="Q331" s="13">
        <v>106</v>
      </c>
      <c r="R331" s="13">
        <v>302</v>
      </c>
      <c r="S331" s="13"/>
      <c r="T331" s="13">
        <v>2.923</v>
      </c>
      <c r="U331" s="13">
        <v>3.6920000000000002</v>
      </c>
      <c r="V331" s="11">
        <v>0</v>
      </c>
      <c r="W331" s="13">
        <v>160</v>
      </c>
      <c r="X331" s="13">
        <v>77</v>
      </c>
      <c r="Y331" s="13">
        <v>0</v>
      </c>
      <c r="Z331" s="13"/>
      <c r="AA331" s="13">
        <v>0.3</v>
      </c>
      <c r="AB331" s="13">
        <v>1.0517000000000001</v>
      </c>
      <c r="AC331" s="13">
        <v>11</v>
      </c>
      <c r="AD331" s="13">
        <v>8.5999999999999993E-2</v>
      </c>
      <c r="AE331" s="13">
        <v>0.255</v>
      </c>
      <c r="AF331" s="13">
        <v>6.1459999999999999</v>
      </c>
      <c r="AG331" s="13">
        <v>386</v>
      </c>
      <c r="AH331" s="13">
        <v>7.0000000000000007E-2</v>
      </c>
      <c r="AI331" s="13">
        <v>3.077</v>
      </c>
      <c r="AJ331" s="13">
        <v>7.18</v>
      </c>
      <c r="AK331" s="13">
        <v>11</v>
      </c>
      <c r="AL331" s="13">
        <v>1.1000000000000001</v>
      </c>
      <c r="AM331" s="13">
        <v>0</v>
      </c>
      <c r="AN331" s="13">
        <v>0</v>
      </c>
      <c r="AO331" s="13">
        <v>0</v>
      </c>
      <c r="AP331" s="13">
        <v>0</v>
      </c>
      <c r="AQ331" s="13">
        <v>1.4930000000000001</v>
      </c>
      <c r="AR331" s="13">
        <v>1.2310000000000001</v>
      </c>
      <c r="AS331" s="13">
        <v>2.2509999999999999</v>
      </c>
      <c r="AT331" s="13">
        <v>0.35499999999999998</v>
      </c>
      <c r="AU331" s="13">
        <v>0.88</v>
      </c>
      <c r="AV331" s="13">
        <v>3.1309999999999998</v>
      </c>
      <c r="AW331" s="13">
        <v>0.89700000000000002</v>
      </c>
      <c r="AX331" s="9">
        <f>Tabelle1[[#This Row],[Vitamin D3 '[µg/100g']]]*40</f>
        <v>12</v>
      </c>
      <c r="AY331" s="9">
        <f>Tabelle1[[#This Row],[Vitamin A '[µg/100g']]]*3.33</f>
        <v>36.630000000000003</v>
      </c>
      <c r="AZ331" s="9">
        <f>Tabelle1[[#This Row],[Vitamin E '[mg/100g']]]*1.49</f>
        <v>1.5670330000000001</v>
      </c>
    </row>
    <row r="332" spans="1:52" hidden="1" x14ac:dyDescent="0.45">
      <c r="A332" t="s">
        <v>58</v>
      </c>
      <c r="B332" s="3" t="s">
        <v>331</v>
      </c>
      <c r="C332" s="4" t="s">
        <v>332</v>
      </c>
      <c r="D332" s="11">
        <v>166</v>
      </c>
      <c r="E332" s="13">
        <f>Tabelle1[[#This Row],[Energie '[kcal/100g']]]/239</f>
        <v>0.69456066945606698</v>
      </c>
      <c r="F332" s="11">
        <v>29.544</v>
      </c>
      <c r="G332" s="13">
        <f>Tabelle1[[#This Row],[Rohprotein '[g/100g']]]*0.85</f>
        <v>25.112400000000001</v>
      </c>
      <c r="H332" s="11">
        <v>5.3090000000000002</v>
      </c>
      <c r="I332" s="11">
        <f>Tabelle1[[#This Row],[TS]]-Tabelle1[[#This Row],[Rohprotein '[g/100g']]]-Tabelle1[[#This Row],[Rohfett '[g/100g']]]-Tabelle1[[#This Row],[Rohasche '[g/100g']]]-Tabelle1[[#This Row],[Rohfaser '[g/100g']]]</f>
        <v>5.0000000000001599E-2</v>
      </c>
      <c r="J332" s="11">
        <v>0</v>
      </c>
      <c r="K332" s="11">
        <v>1.593</v>
      </c>
      <c r="L332" s="11">
        <v>63.503999999999998</v>
      </c>
      <c r="M332" s="11">
        <f>100-Tabelle1[[#This Row],[Wasser '[g/100g']]]</f>
        <v>36.496000000000002</v>
      </c>
      <c r="N332" s="11">
        <v>22</v>
      </c>
      <c r="O332" s="11">
        <v>219</v>
      </c>
      <c r="P332" s="11">
        <v>20</v>
      </c>
      <c r="Q332" s="11">
        <v>108</v>
      </c>
      <c r="R332" s="11">
        <v>382</v>
      </c>
      <c r="S332" s="11"/>
      <c r="T332" s="11">
        <v>2.794</v>
      </c>
      <c r="U332" s="11">
        <v>3.5289999999999999</v>
      </c>
      <c r="V332" s="11">
        <v>0</v>
      </c>
      <c r="W332" s="11">
        <v>200</v>
      </c>
      <c r="X332" s="11">
        <v>74</v>
      </c>
      <c r="Y332" s="13">
        <v>0</v>
      </c>
      <c r="Z332" s="13"/>
      <c r="AA332" s="11">
        <v>0.3</v>
      </c>
      <c r="AB332" s="11">
        <v>0.9425</v>
      </c>
      <c r="AC332" s="11">
        <v>14</v>
      </c>
      <c r="AD332" s="11">
        <v>9.2999999999999999E-2</v>
      </c>
      <c r="AE332" s="11">
        <v>0.26500000000000001</v>
      </c>
      <c r="AF332" s="11">
        <v>5.5289999999999999</v>
      </c>
      <c r="AG332" s="11">
        <v>312</v>
      </c>
      <c r="AH332" s="11">
        <v>7.0000000000000007E-2</v>
      </c>
      <c r="AI332" s="11">
        <v>2.9409999999999998</v>
      </c>
      <c r="AJ332" s="11">
        <v>6.43</v>
      </c>
      <c r="AK332" s="11">
        <v>12</v>
      </c>
      <c r="AL332" s="11">
        <v>1.05</v>
      </c>
      <c r="AM332" s="11">
        <v>0</v>
      </c>
      <c r="AN332" s="13">
        <v>0</v>
      </c>
      <c r="AO332" s="13">
        <v>0</v>
      </c>
      <c r="AP332" s="11">
        <v>2.9000000000000001E-2</v>
      </c>
      <c r="AQ332" s="11">
        <v>1.4259999999999999</v>
      </c>
      <c r="AR332" s="11">
        <v>1.1759999999999999</v>
      </c>
      <c r="AS332" s="11">
        <v>1.917</v>
      </c>
      <c r="AT332" s="11">
        <v>0.30299999999999999</v>
      </c>
      <c r="AU332" s="11">
        <v>0.749</v>
      </c>
      <c r="AV332" s="11">
        <v>2.6659999999999999</v>
      </c>
      <c r="AW332" s="11">
        <v>0.76400000000000001</v>
      </c>
      <c r="AX332" s="9">
        <f>Tabelle1[[#This Row],[Vitamin D3 '[µg/100g']]]*40</f>
        <v>12</v>
      </c>
      <c r="AY332" s="9">
        <f>Tabelle1[[#This Row],[Vitamin A '[µg/100g']]]*3.33</f>
        <v>46.620000000000005</v>
      </c>
      <c r="AZ332" s="9">
        <f>Tabelle1[[#This Row],[Vitamin E '[mg/100g']]]*1.49</f>
        <v>1.404325</v>
      </c>
    </row>
    <row r="333" spans="1:52" hidden="1" x14ac:dyDescent="0.45">
      <c r="A333" t="s">
        <v>58</v>
      </c>
      <c r="B333" s="3" t="s">
        <v>333</v>
      </c>
      <c r="C333" s="4" t="s">
        <v>334</v>
      </c>
      <c r="D333" s="11">
        <v>136</v>
      </c>
      <c r="E333" s="13">
        <f>Tabelle1[[#This Row],[Energie '[kcal/100g']]]/239</f>
        <v>0.56903765690376573</v>
      </c>
      <c r="F333" s="11">
        <v>26.943000000000001</v>
      </c>
      <c r="G333" s="13">
        <f>Tabelle1[[#This Row],[Rohprotein '[g/100g']]]*0.85</f>
        <v>22.90155</v>
      </c>
      <c r="H333" s="11">
        <v>3.0939999999999999</v>
      </c>
      <c r="I333" s="11">
        <f>Tabelle1[[#This Row],[TS]]-Tabelle1[[#This Row],[Rohprotein '[g/100g']]]-Tabelle1[[#This Row],[Rohfett '[g/100g']]]-Tabelle1[[#This Row],[Rohasche '[g/100g']]]-Tabelle1[[#This Row],[Rohfaser '[g/100g']]]</f>
        <v>5.0000000000002709E-2</v>
      </c>
      <c r="J333" s="11">
        <v>0</v>
      </c>
      <c r="K333" s="11">
        <v>1.1399999999999999</v>
      </c>
      <c r="L333" s="11">
        <v>68.772999999999996</v>
      </c>
      <c r="M333" s="11">
        <f>100-Tabelle1[[#This Row],[Wasser '[g/100g']]]</f>
        <v>31.227000000000004</v>
      </c>
      <c r="N333" s="11">
        <v>18</v>
      </c>
      <c r="O333" s="11">
        <v>175</v>
      </c>
      <c r="P333" s="11">
        <v>17</v>
      </c>
      <c r="Q333" s="11">
        <v>49</v>
      </c>
      <c r="R333" s="11">
        <v>206</v>
      </c>
      <c r="S333" s="11"/>
      <c r="T333" s="11">
        <v>2.286</v>
      </c>
      <c r="U333" s="11">
        <v>3.0859999999999999</v>
      </c>
      <c r="V333" s="11">
        <v>0</v>
      </c>
      <c r="W333" s="11">
        <v>114</v>
      </c>
      <c r="X333" s="11">
        <v>71</v>
      </c>
      <c r="Y333" s="13">
        <v>0</v>
      </c>
      <c r="Z333" s="13"/>
      <c r="AA333" s="11">
        <v>0.3</v>
      </c>
      <c r="AB333" s="11">
        <v>0.73240000000000005</v>
      </c>
      <c r="AC333" s="11">
        <v>3</v>
      </c>
      <c r="AD333" s="11">
        <v>7.0999999999999994E-2</v>
      </c>
      <c r="AE333" s="11">
        <v>0.24399999999999999</v>
      </c>
      <c r="AF333" s="11">
        <v>4.0289999999999999</v>
      </c>
      <c r="AG333" s="11">
        <v>331</v>
      </c>
      <c r="AH333" s="11">
        <v>0.05</v>
      </c>
      <c r="AI333" s="11">
        <v>2.714</v>
      </c>
      <c r="AJ333" s="11">
        <v>5</v>
      </c>
      <c r="AK333" s="11">
        <v>5</v>
      </c>
      <c r="AL333" s="11">
        <v>0.84</v>
      </c>
      <c r="AM333" s="11">
        <v>0</v>
      </c>
      <c r="AN333" s="13">
        <v>0</v>
      </c>
      <c r="AO333" s="13">
        <v>0</v>
      </c>
      <c r="AP333" s="11">
        <v>0</v>
      </c>
      <c r="AQ333" s="11">
        <v>0.83199999999999996</v>
      </c>
      <c r="AR333" s="11">
        <v>0.68600000000000005</v>
      </c>
      <c r="AS333" s="11">
        <v>1.748</v>
      </c>
      <c r="AT333" s="11">
        <v>0.27600000000000002</v>
      </c>
      <c r="AU333" s="11">
        <v>0.68300000000000005</v>
      </c>
      <c r="AV333" s="11">
        <v>2.431</v>
      </c>
      <c r="AW333" s="11">
        <v>0.69699999999999995</v>
      </c>
      <c r="AX333" s="9">
        <f>Tabelle1[[#This Row],[Vitamin D3 '[µg/100g']]]*40</f>
        <v>12</v>
      </c>
      <c r="AY333" s="9">
        <f>Tabelle1[[#This Row],[Vitamin A '[µg/100g']]]*3.33</f>
        <v>9.99</v>
      </c>
      <c r="AZ333" s="9">
        <f>Tabelle1[[#This Row],[Vitamin E '[mg/100g']]]*1.49</f>
        <v>1.0912760000000001</v>
      </c>
    </row>
    <row r="334" spans="1:52" hidden="1" x14ac:dyDescent="0.45">
      <c r="A334" t="s">
        <v>58</v>
      </c>
      <c r="B334" s="3" t="s">
        <v>335</v>
      </c>
      <c r="C334" s="4" t="s">
        <v>336</v>
      </c>
      <c r="D334" s="11">
        <v>114</v>
      </c>
      <c r="E334" s="13">
        <f>Tabelle1[[#This Row],[Energie '[kcal/100g']]]/239</f>
        <v>0.47698744769874479</v>
      </c>
      <c r="F334" s="11">
        <v>20.5</v>
      </c>
      <c r="G334" s="13">
        <f>Tabelle1[[#This Row],[Rohprotein '[g/100g']]]*0.85</f>
        <v>17.425000000000001</v>
      </c>
      <c r="H334" s="11">
        <v>3.61</v>
      </c>
      <c r="I334" s="11">
        <f>Tabelle1[[#This Row],[TS]]-Tabelle1[[#This Row],[Rohprotein '[g/100g']]]-Tabelle1[[#This Row],[Rohfett '[g/100g']]]-Tabelle1[[#This Row],[Rohasche '[g/100g']]]-Tabelle1[[#This Row],[Rohfaser '[g/100g']]]</f>
        <v>4.999999999999738E-2</v>
      </c>
      <c r="J334" s="11">
        <v>0</v>
      </c>
      <c r="K334" s="11">
        <v>1.1399999999999999</v>
      </c>
      <c r="L334" s="11">
        <v>74.7</v>
      </c>
      <c r="M334" s="11">
        <f>100-Tabelle1[[#This Row],[Wasser '[g/100g']]]</f>
        <v>25.299999999999997</v>
      </c>
      <c r="N334" s="11">
        <v>15</v>
      </c>
      <c r="O334" s="11">
        <v>175</v>
      </c>
      <c r="P334" s="11">
        <v>17</v>
      </c>
      <c r="Q334" s="11">
        <v>86</v>
      </c>
      <c r="R334" s="11">
        <v>289</v>
      </c>
      <c r="S334" s="11"/>
      <c r="T334" s="11">
        <v>2</v>
      </c>
      <c r="U334" s="11">
        <v>2.4</v>
      </c>
      <c r="V334" s="11">
        <v>0</v>
      </c>
      <c r="W334" s="11">
        <v>160</v>
      </c>
      <c r="X334" s="11">
        <v>50</v>
      </c>
      <c r="Y334" s="13">
        <v>0</v>
      </c>
      <c r="Z334" s="13"/>
      <c r="AA334" s="11">
        <v>0.3</v>
      </c>
      <c r="AB334" s="11">
        <v>0.85450000000000004</v>
      </c>
      <c r="AC334" s="11">
        <v>13</v>
      </c>
      <c r="AD334" s="11">
        <v>0.09</v>
      </c>
      <c r="AE334" s="11">
        <v>0.18</v>
      </c>
      <c r="AF334" s="11">
        <v>4.7</v>
      </c>
      <c r="AG334" s="11">
        <v>386</v>
      </c>
      <c r="AH334" s="11">
        <v>7.0000000000000007E-2</v>
      </c>
      <c r="AI334" s="11">
        <v>2.5</v>
      </c>
      <c r="AJ334" s="11">
        <v>5.83</v>
      </c>
      <c r="AK334" s="11">
        <v>1.8</v>
      </c>
      <c r="AL334" s="11">
        <v>0.84</v>
      </c>
      <c r="AM334" s="11">
        <v>0</v>
      </c>
      <c r="AN334" s="13">
        <v>0</v>
      </c>
      <c r="AO334" s="11">
        <v>5.0000000000000001E-3</v>
      </c>
      <c r="AP334" s="11">
        <v>1.6E-2</v>
      </c>
      <c r="AQ334" s="11">
        <v>0.97</v>
      </c>
      <c r="AR334" s="11">
        <v>0.8</v>
      </c>
      <c r="AS334" s="11">
        <v>1.33</v>
      </c>
      <c r="AT334" s="11">
        <v>0.21</v>
      </c>
      <c r="AU334" s="11">
        <v>0.52</v>
      </c>
      <c r="AV334" s="11">
        <v>1.85</v>
      </c>
      <c r="AW334" s="11">
        <v>0.53</v>
      </c>
      <c r="AX334" s="9">
        <f>Tabelle1[[#This Row],[Vitamin D3 '[µg/100g']]]*40</f>
        <v>12</v>
      </c>
      <c r="AY334" s="9">
        <f>Tabelle1[[#This Row],[Vitamin A '[µg/100g']]]*3.33</f>
        <v>43.29</v>
      </c>
      <c r="AZ334" s="9">
        <f>Tabelle1[[#This Row],[Vitamin E '[mg/100g']]]*1.49</f>
        <v>1.2732050000000001</v>
      </c>
    </row>
    <row r="335" spans="1:52" hidden="1" x14ac:dyDescent="0.45">
      <c r="A335" t="s">
        <v>534</v>
      </c>
      <c r="B335" s="3" t="s">
        <v>462</v>
      </c>
      <c r="C335" s="4" t="s">
        <v>463</v>
      </c>
      <c r="D335" s="11">
        <v>380</v>
      </c>
      <c r="E335" s="13">
        <f>Tabelle1[[#This Row],[Energie '[kcal/100g']]]/239</f>
        <v>1.5899581589958158</v>
      </c>
      <c r="F335" s="11">
        <v>9.0399999999999991</v>
      </c>
      <c r="G335" s="13">
        <f>Tabelle1[[#This Row],[Rohprotein '[g/100g']]]*0.85</f>
        <v>7.6839999999999993</v>
      </c>
      <c r="H335" s="11">
        <v>3.3</v>
      </c>
      <c r="I335" s="11">
        <f>Tabelle1[[#This Row],[TS]]-Tabelle1[[#This Row],[Rohprotein '[g/100g']]]-Tabelle1[[#This Row],[Rohfett '[g/100g']]]-Tabelle1[[#This Row],[Rohasche '[g/100g']]]-Tabelle1[[#This Row],[Rohfaser '[g/100g']]]</f>
        <v>78.02000000000001</v>
      </c>
      <c r="J335" s="11">
        <v>0</v>
      </c>
      <c r="K335" s="11">
        <v>1.24</v>
      </c>
      <c r="L335" s="11">
        <v>8.4</v>
      </c>
      <c r="M335" s="11">
        <f>100-Tabelle1[[#This Row],[Wasser '[g/100g']]]</f>
        <v>91.6</v>
      </c>
      <c r="N335" s="11">
        <v>31.9</v>
      </c>
      <c r="O335" s="11">
        <v>216.6</v>
      </c>
      <c r="P335" s="11">
        <v>95.6</v>
      </c>
      <c r="Q335" s="11">
        <v>3.4</v>
      </c>
      <c r="R335" s="11">
        <v>393.9</v>
      </c>
      <c r="S335" s="11"/>
      <c r="T335" s="11">
        <v>2.2986</v>
      </c>
      <c r="U335" s="11">
        <v>2.4996</v>
      </c>
      <c r="V335" s="11">
        <v>0</v>
      </c>
      <c r="W335" s="11">
        <v>354.4</v>
      </c>
      <c r="X335" s="11">
        <v>1129.9000000000001</v>
      </c>
      <c r="Y335" s="11">
        <v>1.6</v>
      </c>
      <c r="Z335" s="11"/>
      <c r="AA335" s="11">
        <v>0</v>
      </c>
      <c r="AB335" s="11">
        <v>1.7</v>
      </c>
      <c r="AC335" s="11">
        <v>0</v>
      </c>
      <c r="AD335" s="11">
        <v>1.0071999999999999E-2</v>
      </c>
      <c r="AE335" s="11">
        <v>0.15159700000000001</v>
      </c>
      <c r="AF335" s="11">
        <v>0.8</v>
      </c>
      <c r="AG335" s="11">
        <v>139</v>
      </c>
      <c r="AH335" s="11">
        <v>0</v>
      </c>
      <c r="AI335" s="11">
        <v>0</v>
      </c>
      <c r="AJ335" s="11">
        <v>0.24299999999999999</v>
      </c>
      <c r="AK335" s="11">
        <v>14.5</v>
      </c>
      <c r="AL335" s="11">
        <v>3.1</v>
      </c>
      <c r="AM335" s="11">
        <v>0</v>
      </c>
      <c r="AN335" s="11">
        <v>0.2</v>
      </c>
      <c r="AO335" s="11">
        <v>0</v>
      </c>
      <c r="AP335" s="11">
        <v>0</v>
      </c>
      <c r="AQ335" s="11">
        <v>1.35</v>
      </c>
      <c r="AR335" s="11">
        <v>1.35</v>
      </c>
      <c r="AS335" s="11">
        <v>0.6</v>
      </c>
      <c r="AT335" s="11">
        <v>0.1</v>
      </c>
      <c r="AU335" s="11">
        <v>0.21</v>
      </c>
      <c r="AV335" s="11">
        <v>0.36</v>
      </c>
      <c r="AW335" s="11">
        <v>0.17</v>
      </c>
      <c r="AX335" s="9">
        <f>Tabelle1[[#This Row],[Vitamin D3 '[µg/100g']]]*40</f>
        <v>0</v>
      </c>
      <c r="AY335" s="9">
        <f>Tabelle1[[#This Row],[Vitamin A '[µg/100g']]]*3.33</f>
        <v>0</v>
      </c>
      <c r="AZ335" s="9">
        <f>Tabelle1[[#This Row],[Vitamin E '[mg/100g']]]*1.49</f>
        <v>2.5329999999999999</v>
      </c>
    </row>
    <row r="336" spans="1:52" hidden="1" x14ac:dyDescent="0.45">
      <c r="A336" t="s">
        <v>534</v>
      </c>
      <c r="B336" s="3" t="s">
        <v>464</v>
      </c>
      <c r="C336" s="4" t="s">
        <v>465</v>
      </c>
      <c r="D336" s="11">
        <v>104</v>
      </c>
      <c r="E336" s="13">
        <f>Tabelle1[[#This Row],[Energie '[kcal/100g']]]/239</f>
        <v>0.43514644351464438</v>
      </c>
      <c r="F336" s="11">
        <v>3.78</v>
      </c>
      <c r="G336" s="13">
        <f>Tabelle1[[#This Row],[Rohprotein '[g/100g']]]*0.85</f>
        <v>3.2129999999999996</v>
      </c>
      <c r="H336" s="11">
        <v>1.67</v>
      </c>
      <c r="I336" s="11">
        <f>Tabelle1[[#This Row],[TS]]-Tabelle1[[#This Row],[Rohprotein '[g/100g']]]-Tabelle1[[#This Row],[Rohfett '[g/100g']]]-Tabelle1[[#This Row],[Rohasche '[g/100g']]]-Tabelle1[[#This Row],[Rohfaser '[g/100g']]]</f>
        <v>17.520000000000003</v>
      </c>
      <c r="J336" s="11">
        <v>0</v>
      </c>
      <c r="K336" s="11">
        <v>0.43</v>
      </c>
      <c r="L336" s="11">
        <v>76.599999999999994</v>
      </c>
      <c r="M336" s="11">
        <f>100-Tabelle1[[#This Row],[Wasser '[g/100g']]]</f>
        <v>23.400000000000006</v>
      </c>
      <c r="N336" s="11">
        <v>11.8</v>
      </c>
      <c r="O336" s="11">
        <v>108</v>
      </c>
      <c r="P336" s="11">
        <v>45.9</v>
      </c>
      <c r="Q336" s="11">
        <v>0.3</v>
      </c>
      <c r="R336" s="11">
        <v>147</v>
      </c>
      <c r="S336" s="11"/>
      <c r="T336" s="11">
        <v>1.0425</v>
      </c>
      <c r="U336" s="11">
        <v>0.75160000000000005</v>
      </c>
      <c r="V336" s="11">
        <v>0</v>
      </c>
      <c r="W336" s="11">
        <v>121.3</v>
      </c>
      <c r="X336" s="11">
        <v>719</v>
      </c>
      <c r="Y336" s="11">
        <v>0.4</v>
      </c>
      <c r="Z336" s="11"/>
      <c r="AA336" s="11">
        <v>0</v>
      </c>
      <c r="AB336" s="11">
        <v>0.80600000000000005</v>
      </c>
      <c r="AC336" s="11">
        <v>0</v>
      </c>
      <c r="AD336" s="11">
        <v>0.10524</v>
      </c>
      <c r="AE336" s="11">
        <v>3.7553000000000003E-2</v>
      </c>
      <c r="AF336" s="11">
        <v>0.24</v>
      </c>
      <c r="AG336" s="11">
        <v>29</v>
      </c>
      <c r="AH336" s="11">
        <v>0</v>
      </c>
      <c r="AI336" s="11">
        <v>0</v>
      </c>
      <c r="AJ336" s="11">
        <v>0.28599999999999998</v>
      </c>
      <c r="AK336" s="11">
        <v>32.6</v>
      </c>
      <c r="AL336" s="11">
        <v>0.93</v>
      </c>
      <c r="AM336" s="11">
        <v>0</v>
      </c>
      <c r="AN336" s="11">
        <v>0.106</v>
      </c>
      <c r="AO336" s="11">
        <v>0</v>
      </c>
      <c r="AP336" s="11">
        <v>0</v>
      </c>
      <c r="AQ336" s="11">
        <v>0.69</v>
      </c>
      <c r="AR336" s="11">
        <v>0.69</v>
      </c>
      <c r="AS336" s="11">
        <v>0.31</v>
      </c>
      <c r="AT336" s="11">
        <v>0.06</v>
      </c>
      <c r="AU336" s="11">
        <v>0.1</v>
      </c>
      <c r="AV336" s="11">
        <v>0.21</v>
      </c>
      <c r="AW336" s="11">
        <v>7.0000000000000007E-2</v>
      </c>
      <c r="AX336" s="9">
        <f>Tabelle1[[#This Row],[Vitamin D3 '[µg/100g']]]*40</f>
        <v>0</v>
      </c>
      <c r="AY336" s="9">
        <f>Tabelle1[[#This Row],[Vitamin A '[µg/100g']]]*3.33</f>
        <v>0</v>
      </c>
      <c r="AZ336" s="9">
        <f>Tabelle1[[#This Row],[Vitamin E '[mg/100g']]]*1.49</f>
        <v>1.2009400000000001</v>
      </c>
    </row>
    <row r="337" spans="1:52" hidden="1" x14ac:dyDescent="0.45">
      <c r="A337" t="s">
        <v>534</v>
      </c>
      <c r="B337" s="3" t="s">
        <v>466</v>
      </c>
      <c r="C337" s="4" t="s">
        <v>467</v>
      </c>
      <c r="D337" s="11">
        <v>369</v>
      </c>
      <c r="E337" s="13">
        <f>Tabelle1[[#This Row],[Energie '[kcal/100g']]]/239</f>
        <v>1.5439330543933054</v>
      </c>
      <c r="F337" s="11">
        <v>13.33</v>
      </c>
      <c r="G337" s="13">
        <f>Tabelle1[[#This Row],[Rohprotein '[g/100g']]]*0.85</f>
        <v>11.330499999999999</v>
      </c>
      <c r="H337" s="11">
        <v>6.2</v>
      </c>
      <c r="I337" s="11">
        <f>Tabelle1[[#This Row],[TS]]-Tabelle1[[#This Row],[Rohprotein '[g/100g']]]-Tabelle1[[#This Row],[Rohfett '[g/100g']]]-Tabelle1[[#This Row],[Rohasche '[g/100g']]]-Tabelle1[[#This Row],[Rohfaser '[g/100g']]]</f>
        <v>67.61</v>
      </c>
      <c r="J337" s="11">
        <v>0</v>
      </c>
      <c r="K337" s="11">
        <v>2.06</v>
      </c>
      <c r="L337" s="11">
        <v>10.8</v>
      </c>
      <c r="M337" s="11">
        <f>100-Tabelle1[[#This Row],[Wasser '[g/100g']]]</f>
        <v>89.2</v>
      </c>
      <c r="N337" s="11">
        <v>39.4</v>
      </c>
      <c r="O337" s="11">
        <v>380.8</v>
      </c>
      <c r="P337" s="11">
        <v>153.9</v>
      </c>
      <c r="Q337" s="11">
        <v>1.2</v>
      </c>
      <c r="R337" s="11">
        <v>656.6</v>
      </c>
      <c r="S337" s="11"/>
      <c r="T337" s="11">
        <v>3.6762000000000001</v>
      </c>
      <c r="U337" s="11">
        <v>2.5693999999999999</v>
      </c>
      <c r="V337" s="11">
        <v>0</v>
      </c>
      <c r="W337" s="11">
        <v>427.6</v>
      </c>
      <c r="X337" s="11">
        <v>2408.5</v>
      </c>
      <c r="Y337" s="11">
        <v>1.6</v>
      </c>
      <c r="Z337" s="11"/>
      <c r="AA337" s="11">
        <v>0</v>
      </c>
      <c r="AB337" s="11">
        <v>2.7</v>
      </c>
      <c r="AC337" s="11">
        <v>0</v>
      </c>
      <c r="AD337" s="11">
        <v>0.54239000000000004</v>
      </c>
      <c r="AE337" s="11">
        <v>0.17971599999999999</v>
      </c>
      <c r="AF337" s="11">
        <v>1</v>
      </c>
      <c r="AG337" s="11">
        <v>139</v>
      </c>
      <c r="AH337" s="11">
        <v>0</v>
      </c>
      <c r="AI337" s="11">
        <v>0</v>
      </c>
      <c r="AJ337" s="11">
        <v>0.95799999999999996</v>
      </c>
      <c r="AK337" s="11">
        <v>156</v>
      </c>
      <c r="AL337" s="11">
        <v>4.1500000000000004</v>
      </c>
      <c r="AM337" s="11">
        <v>0</v>
      </c>
      <c r="AN337" s="11">
        <v>0.39500000000000002</v>
      </c>
      <c r="AO337" s="11">
        <v>0</v>
      </c>
      <c r="AP337" s="11">
        <v>0</v>
      </c>
      <c r="AQ337" s="11">
        <v>2.57</v>
      </c>
      <c r="AR337" s="11">
        <v>2.57</v>
      </c>
      <c r="AS337" s="11">
        <v>1.08</v>
      </c>
      <c r="AT337" s="11">
        <v>0.2</v>
      </c>
      <c r="AU337" s="11">
        <v>0.34</v>
      </c>
      <c r="AV337" s="11">
        <v>0.73</v>
      </c>
      <c r="AW337" s="11">
        <v>0.26</v>
      </c>
      <c r="AX337" s="9">
        <f>Tabelle1[[#This Row],[Vitamin D3 '[µg/100g']]]*40</f>
        <v>0</v>
      </c>
      <c r="AY337" s="9">
        <f>Tabelle1[[#This Row],[Vitamin A '[µg/100g']]]*3.33</f>
        <v>0</v>
      </c>
      <c r="AZ337" s="9">
        <f>Tabelle1[[#This Row],[Vitamin E '[mg/100g']]]*1.49</f>
        <v>4.0230000000000006</v>
      </c>
    </row>
    <row r="338" spans="1:52" hidden="1" x14ac:dyDescent="0.45">
      <c r="A338" t="s">
        <v>534</v>
      </c>
      <c r="B338" s="3" t="s">
        <v>468</v>
      </c>
      <c r="C338" s="4" t="s">
        <v>469</v>
      </c>
      <c r="D338" s="11">
        <v>104</v>
      </c>
      <c r="E338" s="13">
        <f>Tabelle1[[#This Row],[Energie '[kcal/100g']]]/239</f>
        <v>0.43514644351464438</v>
      </c>
      <c r="F338" s="11">
        <v>3.4910000000000001</v>
      </c>
      <c r="G338" s="13">
        <f>Tabelle1[[#This Row],[Rohprotein '[g/100g']]]*0.85</f>
        <v>2.9673500000000002</v>
      </c>
      <c r="H338" s="11">
        <v>1.8</v>
      </c>
      <c r="I338" s="11">
        <f>Tabelle1[[#This Row],[TS]]-Tabelle1[[#This Row],[Rohprotein '[g/100g']]]-Tabelle1[[#This Row],[Rohfett '[g/100g']]]-Tabelle1[[#This Row],[Rohasche '[g/100g']]]-Tabelle1[[#This Row],[Rohfaser '[g/100g']]]</f>
        <v>20.189000000000004</v>
      </c>
      <c r="J338" s="11">
        <v>0</v>
      </c>
      <c r="K338" s="11">
        <v>0.42</v>
      </c>
      <c r="L338" s="11">
        <v>74.099999999999994</v>
      </c>
      <c r="M338" s="11">
        <f>100-Tabelle1[[#This Row],[Wasser '[g/100g']]]</f>
        <v>25.900000000000006</v>
      </c>
      <c r="N338" s="11">
        <v>19.78</v>
      </c>
      <c r="O338" s="11">
        <v>155.66</v>
      </c>
      <c r="P338" s="11">
        <v>58.2</v>
      </c>
      <c r="Q338" s="11">
        <v>2.2799999999999998</v>
      </c>
      <c r="R338" s="11">
        <v>142.69999999999999</v>
      </c>
      <c r="S338" s="11"/>
      <c r="T338" s="11">
        <v>0.94125000000000003</v>
      </c>
      <c r="U338" s="11">
        <v>0.98109000000000002</v>
      </c>
      <c r="V338" s="11">
        <v>0</v>
      </c>
      <c r="W338" s="11">
        <v>138.72999999999999</v>
      </c>
      <c r="X338" s="11">
        <v>381.99</v>
      </c>
      <c r="Y338" s="11">
        <v>4.9000000000000004</v>
      </c>
      <c r="Z338" s="11"/>
      <c r="AA338" s="11">
        <v>0</v>
      </c>
      <c r="AB338" s="11">
        <v>0.89600000000000002</v>
      </c>
      <c r="AC338" s="11">
        <v>0</v>
      </c>
      <c r="AD338" s="11">
        <v>0.11600000000000001</v>
      </c>
      <c r="AE338" s="11">
        <v>1.6E-2</v>
      </c>
      <c r="AF338" s="11">
        <v>0.24</v>
      </c>
      <c r="AG338" s="11">
        <v>40</v>
      </c>
      <c r="AH338" s="11">
        <v>0</v>
      </c>
      <c r="AI338" s="11">
        <v>0</v>
      </c>
      <c r="AJ338" s="11">
        <v>8.3000000000000004E-2</v>
      </c>
      <c r="AK338" s="11">
        <v>29.4</v>
      </c>
      <c r="AL338" s="11">
        <v>0.72</v>
      </c>
      <c r="AM338" s="11">
        <v>0</v>
      </c>
      <c r="AN338" s="11">
        <v>8.8999999999999996E-2</v>
      </c>
      <c r="AO338" s="11">
        <v>0</v>
      </c>
      <c r="AP338" s="11">
        <v>0</v>
      </c>
      <c r="AQ338" s="11">
        <v>0.72</v>
      </c>
      <c r="AR338" s="11">
        <v>0.72</v>
      </c>
      <c r="AS338" s="11">
        <v>0.33</v>
      </c>
      <c r="AT338" s="11">
        <v>7.0000000000000007E-2</v>
      </c>
      <c r="AU338" s="11">
        <v>0.11</v>
      </c>
      <c r="AV338" s="11">
        <v>0.22</v>
      </c>
      <c r="AW338" s="11">
        <v>0.08</v>
      </c>
      <c r="AX338" s="9">
        <f>Tabelle1[[#This Row],[Vitamin D3 '[µg/100g']]]*40</f>
        <v>0</v>
      </c>
      <c r="AY338" s="9">
        <f>Tabelle1[[#This Row],[Vitamin A '[µg/100g']]]*3.33</f>
        <v>0</v>
      </c>
      <c r="AZ338" s="9">
        <f>Tabelle1[[#This Row],[Vitamin E '[mg/100g']]]*1.49</f>
        <v>1.33504</v>
      </c>
    </row>
    <row r="339" spans="1:52" hidden="1" x14ac:dyDescent="0.45">
      <c r="A339" t="s">
        <v>534</v>
      </c>
      <c r="B339" s="3" t="s">
        <v>470</v>
      </c>
      <c r="C339" s="4" t="s">
        <v>471</v>
      </c>
      <c r="D339" s="11">
        <v>361</v>
      </c>
      <c r="E339" s="13">
        <f>Tabelle1[[#This Row],[Energie '[kcal/100g']]]/239</f>
        <v>1.5104602510460252</v>
      </c>
      <c r="F339" s="11">
        <v>12.56</v>
      </c>
      <c r="G339" s="13">
        <f>Tabelle1[[#This Row],[Rohprotein '[g/100g']]]*0.85</f>
        <v>10.676</v>
      </c>
      <c r="H339" s="11">
        <v>6.29</v>
      </c>
      <c r="I339" s="11">
        <f>Tabelle1[[#This Row],[TS]]-Tabelle1[[#This Row],[Rohprotein '[g/100g']]]-Tabelle1[[#This Row],[Rohfett '[g/100g']]]-Tabelle1[[#This Row],[Rohasche '[g/100g']]]-Tabelle1[[#This Row],[Rohfaser '[g/100g']]]</f>
        <v>67.439999999999984</v>
      </c>
      <c r="J339" s="11">
        <v>0</v>
      </c>
      <c r="K339" s="11">
        <v>2.0099999999999998</v>
      </c>
      <c r="L339" s="11">
        <v>11.7</v>
      </c>
      <c r="M339" s="11">
        <f>100-Tabelle1[[#This Row],[Wasser '[g/100g']]]</f>
        <v>88.3</v>
      </c>
      <c r="N339" s="11">
        <v>35.9</v>
      </c>
      <c r="O339" s="11">
        <v>516.79999999999995</v>
      </c>
      <c r="P339" s="11">
        <v>195</v>
      </c>
      <c r="Q339" s="11">
        <v>3.5</v>
      </c>
      <c r="R339" s="11">
        <v>586.20000000000005</v>
      </c>
      <c r="S339" s="11"/>
      <c r="T339" s="11">
        <v>3.6021000000000001</v>
      </c>
      <c r="U339" s="11">
        <v>2.5926</v>
      </c>
      <c r="V339" s="11">
        <v>0</v>
      </c>
      <c r="W339" s="11">
        <v>482.4</v>
      </c>
      <c r="X339" s="11">
        <v>1765.7</v>
      </c>
      <c r="Y339" s="11">
        <v>1.6</v>
      </c>
      <c r="Z339" s="11"/>
      <c r="AA339" s="11">
        <v>0</v>
      </c>
      <c r="AB339" s="11">
        <v>3</v>
      </c>
      <c r="AC339" s="11">
        <v>0</v>
      </c>
      <c r="AD339" s="11">
        <v>0.50600000000000001</v>
      </c>
      <c r="AE339" s="11">
        <v>0.126</v>
      </c>
      <c r="AF339" s="11">
        <v>1</v>
      </c>
      <c r="AG339" s="11">
        <v>139</v>
      </c>
      <c r="AH339" s="11">
        <v>0</v>
      </c>
      <c r="AI339" s="11">
        <v>0</v>
      </c>
      <c r="AJ339" s="11">
        <v>0.27800000000000002</v>
      </c>
      <c r="AK339" s="11">
        <v>65.7</v>
      </c>
      <c r="AL339" s="11">
        <v>3.2</v>
      </c>
      <c r="AM339" s="11">
        <v>0</v>
      </c>
      <c r="AN339" s="11">
        <v>0.33200000000000002</v>
      </c>
      <c r="AO339" s="11">
        <v>0</v>
      </c>
      <c r="AP339" s="11">
        <v>0</v>
      </c>
      <c r="AQ339" s="11">
        <v>2.67</v>
      </c>
      <c r="AR339" s="11">
        <v>2.67</v>
      </c>
      <c r="AS339" s="11">
        <v>1.18</v>
      </c>
      <c r="AT339" s="11">
        <v>0.23</v>
      </c>
      <c r="AU339" s="11">
        <v>0.39</v>
      </c>
      <c r="AV339" s="11">
        <v>0.78</v>
      </c>
      <c r="AW339" s="11">
        <v>0.28999999999999998</v>
      </c>
      <c r="AX339" s="9">
        <f>Tabelle1[[#This Row],[Vitamin D3 '[µg/100g']]]*40</f>
        <v>0</v>
      </c>
      <c r="AY339" s="9">
        <f>Tabelle1[[#This Row],[Vitamin A '[µg/100g']]]*3.33</f>
        <v>0</v>
      </c>
      <c r="AZ339" s="9">
        <f>Tabelle1[[#This Row],[Vitamin E '[mg/100g']]]*1.49</f>
        <v>4.47</v>
      </c>
    </row>
    <row r="340" spans="1:52" hidden="1" x14ac:dyDescent="0.45">
      <c r="A340" t="s">
        <v>972</v>
      </c>
      <c r="B340" s="5" t="s">
        <v>943</v>
      </c>
      <c r="C340" s="6" t="s">
        <v>944</v>
      </c>
      <c r="D340" s="13">
        <v>900</v>
      </c>
      <c r="E340" s="11">
        <f>Tabelle1[[#This Row],[Energie '[kcal/100g']]]/239</f>
        <v>3.7656903765690375</v>
      </c>
      <c r="F340" s="13">
        <v>0</v>
      </c>
      <c r="G340" s="11">
        <f>Tabelle1[[#This Row],[Rohprotein '[g/100g']]]*0.85</f>
        <v>0</v>
      </c>
      <c r="H340" s="13">
        <v>100</v>
      </c>
      <c r="I340" s="11">
        <f>Tabelle1[[#This Row],[TS]]-Tabelle1[[#This Row],[Rohprotein '[g/100g']]]-Tabelle1[[#This Row],[Rohfett '[g/100g']]]-Tabelle1[[#This Row],[Rohasche '[g/100g']]]-Tabelle1[[#This Row],[Rohfaser '[g/100g']]]</f>
        <v>0</v>
      </c>
      <c r="J340" s="11">
        <v>0</v>
      </c>
      <c r="K340" s="13">
        <v>0</v>
      </c>
      <c r="L340" s="13">
        <v>0</v>
      </c>
      <c r="M340" s="13">
        <f>100-Tabelle1[[#This Row],[Wasser '[g/100g']]]</f>
        <v>100</v>
      </c>
      <c r="N340" s="13">
        <v>0.44170100000000001</v>
      </c>
      <c r="O340" s="13">
        <v>1.702</v>
      </c>
      <c r="P340" s="13">
        <v>0.44547100000000001</v>
      </c>
      <c r="Q340" s="13">
        <v>1.65</v>
      </c>
      <c r="R340" s="13">
        <v>0.67801500000000003</v>
      </c>
      <c r="S340" s="13"/>
      <c r="T340" s="13">
        <v>0.11557199999999999</v>
      </c>
      <c r="U340" s="13">
        <v>4.0109800000000001E-2</v>
      </c>
      <c r="V340" s="11">
        <v>0</v>
      </c>
      <c r="W340" s="13">
        <v>2.4990000000000001</v>
      </c>
      <c r="X340" s="13">
        <v>1.3640000000000001</v>
      </c>
      <c r="Y340" s="13">
        <v>0.01</v>
      </c>
      <c r="Z340" s="13"/>
      <c r="AA340" s="13">
        <v>0</v>
      </c>
      <c r="AB340" s="13">
        <v>19.832999999999998</v>
      </c>
      <c r="AC340" s="13">
        <v>21</v>
      </c>
      <c r="AD340" s="13">
        <v>0</v>
      </c>
      <c r="AE340" s="13">
        <v>0</v>
      </c>
      <c r="AF340" s="13">
        <v>0</v>
      </c>
      <c r="AG340" s="13">
        <v>0</v>
      </c>
      <c r="AH340" s="13">
        <v>0</v>
      </c>
      <c r="AI340" s="13">
        <v>0</v>
      </c>
      <c r="AJ340" s="13">
        <v>121</v>
      </c>
      <c r="AK340" s="11">
        <v>0</v>
      </c>
      <c r="AL340" s="11">
        <v>0</v>
      </c>
      <c r="AM340" s="13">
        <v>0</v>
      </c>
      <c r="AN340" s="13">
        <v>8.4700000000000006</v>
      </c>
      <c r="AO340" s="13">
        <v>0</v>
      </c>
      <c r="AP340" s="13">
        <v>0</v>
      </c>
      <c r="AQ340" s="13">
        <v>18.77</v>
      </c>
      <c r="AR340" s="13">
        <v>18.77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9">
        <f>Tabelle1[[#This Row],[Vitamin D3 '[µg/100g']]]*40</f>
        <v>0</v>
      </c>
      <c r="AY340" s="9">
        <f>Tabelle1[[#This Row],[Vitamin A '[µg/100g']]]*3.33</f>
        <v>69.930000000000007</v>
      </c>
      <c r="AZ340" s="9">
        <f>Tabelle1[[#This Row],[Vitamin E '[mg/100g']]]*1.49</f>
        <v>29.551169999999999</v>
      </c>
    </row>
    <row r="341" spans="1:52" hidden="1" x14ac:dyDescent="0.45">
      <c r="A341" t="s">
        <v>58</v>
      </c>
      <c r="B341" s="3" t="s">
        <v>337</v>
      </c>
      <c r="C341" s="4" t="s">
        <v>338</v>
      </c>
      <c r="D341" s="11">
        <v>324</v>
      </c>
      <c r="E341" s="13">
        <f>Tabelle1[[#This Row],[Energie '[kcal/100g']]]/239</f>
        <v>1.3556485355648535</v>
      </c>
      <c r="F341" s="11">
        <v>54.4</v>
      </c>
      <c r="G341" s="13">
        <f>Tabelle1[[#This Row],[Rohprotein '[g/100g']]]*0.85</f>
        <v>46.239999999999995</v>
      </c>
      <c r="H341" s="11">
        <v>11.8</v>
      </c>
      <c r="I341" s="11">
        <f>Tabelle1[[#This Row],[TS]]-Tabelle1[[#This Row],[Rohprotein '[g/100g']]]-Tabelle1[[#This Row],[Rohfett '[g/100g']]]-Tabelle1[[#This Row],[Rohasche '[g/100g']]]-Tabelle1[[#This Row],[Rohfaser '[g/100g']]]</f>
        <v>-3.1599999999999966</v>
      </c>
      <c r="J341" s="11">
        <v>0</v>
      </c>
      <c r="K341" s="11">
        <v>1.66</v>
      </c>
      <c r="L341" s="11">
        <v>35.299999999999997</v>
      </c>
      <c r="M341" s="11">
        <f>100-Tabelle1[[#This Row],[Wasser '[g/100g']]]</f>
        <v>64.7</v>
      </c>
      <c r="N341" s="11">
        <v>69</v>
      </c>
      <c r="O341" s="11">
        <v>378</v>
      </c>
      <c r="P341" s="11">
        <v>28.2</v>
      </c>
      <c r="Q341" s="11">
        <v>126</v>
      </c>
      <c r="R341" s="11">
        <v>468</v>
      </c>
      <c r="S341" s="11"/>
      <c r="T341" s="11">
        <v>12</v>
      </c>
      <c r="U341" s="11">
        <v>1.4871000000000001</v>
      </c>
      <c r="V341" s="11">
        <v>0</v>
      </c>
      <c r="W341" s="11">
        <v>40.200000000000003</v>
      </c>
      <c r="X341" s="11">
        <v>18.899999999999999</v>
      </c>
      <c r="Y341" s="13">
        <v>0</v>
      </c>
      <c r="Z341" s="13"/>
      <c r="AA341" s="11">
        <v>0.3</v>
      </c>
      <c r="AB341" s="11">
        <v>0.78879999999999995</v>
      </c>
      <c r="AC341" s="11">
        <v>48.1</v>
      </c>
      <c r="AD341" s="11">
        <v>0.13525699999999999</v>
      </c>
      <c r="AE341" s="11">
        <v>0.173012</v>
      </c>
      <c r="AF341" s="11">
        <v>0</v>
      </c>
      <c r="AG341" s="11">
        <v>398</v>
      </c>
      <c r="AH341" s="11">
        <v>7.0000000000000007E-2</v>
      </c>
      <c r="AI341" s="11">
        <v>0</v>
      </c>
      <c r="AJ341" s="11">
        <v>5.38</v>
      </c>
      <c r="AK341" s="11">
        <v>4.8</v>
      </c>
      <c r="AL341" s="11">
        <v>1.01</v>
      </c>
      <c r="AM341" s="11">
        <v>0</v>
      </c>
      <c r="AN341" s="11">
        <v>0.1</v>
      </c>
      <c r="AO341" s="11">
        <v>0</v>
      </c>
      <c r="AP341" s="11">
        <v>0</v>
      </c>
      <c r="AQ341" s="11">
        <v>1.1000000000000001</v>
      </c>
      <c r="AR341" s="11">
        <v>1.1000000000000001</v>
      </c>
      <c r="AS341" s="11">
        <v>3.4</v>
      </c>
      <c r="AT341" s="11">
        <v>0.8</v>
      </c>
      <c r="AU341" s="11">
        <v>1.6</v>
      </c>
      <c r="AV341" s="11">
        <v>4.4000000000000004</v>
      </c>
      <c r="AW341" s="11">
        <v>1.4</v>
      </c>
      <c r="AX341" s="9">
        <f>Tabelle1[[#This Row],[Vitamin D3 '[µg/100g']]]*40</f>
        <v>12</v>
      </c>
      <c r="AY341" s="9">
        <f>Tabelle1[[#This Row],[Vitamin A '[µg/100g']]]*3.33</f>
        <v>160.173</v>
      </c>
      <c r="AZ341" s="9">
        <f>Tabelle1[[#This Row],[Vitamin E '[mg/100g']]]*1.49</f>
        <v>1.1753119999999999</v>
      </c>
    </row>
    <row r="342" spans="1:52" hidden="1" x14ac:dyDescent="0.45">
      <c r="A342" t="s">
        <v>58</v>
      </c>
      <c r="B342" s="5" t="s">
        <v>339</v>
      </c>
      <c r="C342" s="6" t="s">
        <v>340</v>
      </c>
      <c r="D342" s="13">
        <v>248</v>
      </c>
      <c r="E342" s="13">
        <f>Tabelle1[[#This Row],[Energie '[kcal/100g']]]/239</f>
        <v>1.0376569037656904</v>
      </c>
      <c r="F342" s="13">
        <v>35</v>
      </c>
      <c r="G342" s="13">
        <f>Tabelle1[[#This Row],[Rohprotein '[g/100g']]]*0.85</f>
        <v>29.75</v>
      </c>
      <c r="H342" s="13">
        <v>12</v>
      </c>
      <c r="I342" s="11">
        <f>Tabelle1[[#This Row],[TS]]-Tabelle1[[#This Row],[Rohprotein '[g/100g']]]-Tabelle1[[#This Row],[Rohfett '[g/100g']]]-Tabelle1[[#This Row],[Rohasche '[g/100g']]]-Tabelle1[[#This Row],[Rohfaser '[g/100g']]]</f>
        <v>-3.2</v>
      </c>
      <c r="J342" s="11">
        <v>0</v>
      </c>
      <c r="K342" s="13">
        <v>1.2</v>
      </c>
      <c r="L342" s="13">
        <v>55</v>
      </c>
      <c r="M342" s="13">
        <f>100-Tabelle1[[#This Row],[Wasser '[g/100g']]]</f>
        <v>45</v>
      </c>
      <c r="N342" s="13">
        <v>45</v>
      </c>
      <c r="O342" s="13">
        <v>300</v>
      </c>
      <c r="P342" s="13">
        <v>22.6</v>
      </c>
      <c r="Q342" s="13">
        <v>100</v>
      </c>
      <c r="R342" s="13">
        <v>400</v>
      </c>
      <c r="S342" s="13"/>
      <c r="T342" s="13">
        <v>8</v>
      </c>
      <c r="U342" s="13">
        <v>0.96660000000000001</v>
      </c>
      <c r="V342" s="11">
        <v>0</v>
      </c>
      <c r="W342" s="13">
        <v>34.4</v>
      </c>
      <c r="X342" s="13">
        <v>12.3</v>
      </c>
      <c r="Y342" s="13">
        <v>0</v>
      </c>
      <c r="Z342" s="13"/>
      <c r="AA342" s="13">
        <v>0.3</v>
      </c>
      <c r="AB342" s="13">
        <v>0.85450000000000004</v>
      </c>
      <c r="AC342" s="13">
        <v>49.6</v>
      </c>
      <c r="AD342" s="13">
        <v>0.13736999999999999</v>
      </c>
      <c r="AE342" s="13">
        <v>0.122237</v>
      </c>
      <c r="AF342" s="13">
        <v>0</v>
      </c>
      <c r="AG342" s="13">
        <v>386</v>
      </c>
      <c r="AH342" s="13">
        <v>7.0000000000000007E-2</v>
      </c>
      <c r="AI342" s="13">
        <v>0</v>
      </c>
      <c r="AJ342" s="13">
        <v>5.83</v>
      </c>
      <c r="AK342" s="13">
        <v>5.5</v>
      </c>
      <c r="AL342" s="13">
        <v>0.84</v>
      </c>
      <c r="AM342" s="13">
        <v>0</v>
      </c>
      <c r="AN342" s="13">
        <v>0.1</v>
      </c>
      <c r="AO342" s="11">
        <v>0</v>
      </c>
      <c r="AP342" s="13">
        <v>0</v>
      </c>
      <c r="AQ342" s="13">
        <v>1.1000000000000001</v>
      </c>
      <c r="AR342" s="13">
        <v>1.1000000000000001</v>
      </c>
      <c r="AS342" s="13">
        <v>2.2000000000000002</v>
      </c>
      <c r="AT342" s="13">
        <v>0.5</v>
      </c>
      <c r="AU342" s="13">
        <v>1</v>
      </c>
      <c r="AV342" s="13">
        <v>2.8</v>
      </c>
      <c r="AW342" s="13">
        <v>0.9</v>
      </c>
      <c r="AX342" s="9">
        <f>Tabelle1[[#This Row],[Vitamin D3 '[µg/100g']]]*40</f>
        <v>12</v>
      </c>
      <c r="AY342" s="9">
        <f>Tabelle1[[#This Row],[Vitamin A '[µg/100g']]]*3.33</f>
        <v>165.16800000000001</v>
      </c>
      <c r="AZ342" s="9">
        <f>Tabelle1[[#This Row],[Vitamin E '[mg/100g']]]*1.49</f>
        <v>1.2732050000000001</v>
      </c>
    </row>
    <row r="343" spans="1:52" hidden="1" x14ac:dyDescent="0.45">
      <c r="A343" t="s">
        <v>534</v>
      </c>
      <c r="B343" s="3" t="s">
        <v>472</v>
      </c>
      <c r="C343" s="4" t="s">
        <v>473</v>
      </c>
      <c r="D343" s="11">
        <v>365</v>
      </c>
      <c r="E343" s="13">
        <f>Tabelle1[[#This Row],[Energie '[kcal/100g']]]/239</f>
        <v>1.5271966527196652</v>
      </c>
      <c r="F343" s="11">
        <v>7.5</v>
      </c>
      <c r="G343" s="13">
        <f>Tabelle1[[#This Row],[Rohprotein '[g/100g']]]*0.85</f>
        <v>6.375</v>
      </c>
      <c r="H343" s="11">
        <v>2.2999999999999998</v>
      </c>
      <c r="I343" s="11">
        <f>Tabelle1[[#This Row],[TS]]-Tabelle1[[#This Row],[Rohprotein '[g/100g']]]-Tabelle1[[#This Row],[Rohfett '[g/100g']]]-Tabelle1[[#This Row],[Rohasche '[g/100g']]]-Tabelle1[[#This Row],[Rohfaser '[g/100g']]]</f>
        <v>85.34</v>
      </c>
      <c r="J343" s="11">
        <v>0</v>
      </c>
      <c r="K343" s="11">
        <v>1.06</v>
      </c>
      <c r="L343" s="11">
        <v>3.8</v>
      </c>
      <c r="M343" s="11">
        <f>100-Tabelle1[[#This Row],[Wasser '[g/100g']]]</f>
        <v>96.2</v>
      </c>
      <c r="N343" s="11">
        <v>9.4</v>
      </c>
      <c r="O343" s="11">
        <v>244</v>
      </c>
      <c r="P343" s="11">
        <v>83.6</v>
      </c>
      <c r="Q343" s="11">
        <v>5</v>
      </c>
      <c r="R343" s="11">
        <v>212</v>
      </c>
      <c r="S343" s="11"/>
      <c r="T343" s="11">
        <v>0.73</v>
      </c>
      <c r="U343" s="11">
        <v>1.52</v>
      </c>
      <c r="V343" s="11">
        <v>0</v>
      </c>
      <c r="W343" s="11">
        <v>230</v>
      </c>
      <c r="X343" s="11">
        <v>2210</v>
      </c>
      <c r="Y343" s="11">
        <v>0</v>
      </c>
      <c r="Z343" s="11"/>
      <c r="AA343" s="11">
        <v>0</v>
      </c>
      <c r="AB343" s="11">
        <v>0.75</v>
      </c>
      <c r="AC343" s="11">
        <v>0</v>
      </c>
      <c r="AD343" s="11">
        <v>0.05</v>
      </c>
      <c r="AE343" s="11">
        <v>0.12</v>
      </c>
      <c r="AF343" s="11">
        <v>1.3</v>
      </c>
      <c r="AG343" s="11">
        <v>145</v>
      </c>
      <c r="AH343" s="11">
        <v>0</v>
      </c>
      <c r="AI343" s="11">
        <v>0</v>
      </c>
      <c r="AJ343" s="11">
        <v>0</v>
      </c>
      <c r="AK343" s="11">
        <v>34</v>
      </c>
      <c r="AL343" s="11">
        <v>1.1499999999999999</v>
      </c>
      <c r="AM343" s="11">
        <v>0</v>
      </c>
      <c r="AN343" s="11">
        <v>2.1000000000000001E-2</v>
      </c>
      <c r="AO343" s="11">
        <v>0</v>
      </c>
      <c r="AP343" s="11">
        <v>0</v>
      </c>
      <c r="AQ343" s="11">
        <v>0.72299999999999998</v>
      </c>
      <c r="AR343" s="11">
        <v>0.72299999999999998</v>
      </c>
      <c r="AS343" s="11">
        <v>0.59099999999999997</v>
      </c>
      <c r="AT343" s="11">
        <v>0.112</v>
      </c>
      <c r="AU343" s="11">
        <v>0.17199999999999999</v>
      </c>
      <c r="AV343" s="11">
        <v>0.19700000000000001</v>
      </c>
      <c r="AW343" s="11">
        <v>0.158</v>
      </c>
      <c r="AX343" s="9">
        <f>Tabelle1[[#This Row],[Vitamin D3 '[µg/100g']]]*40</f>
        <v>0</v>
      </c>
      <c r="AY343" s="9">
        <f>Tabelle1[[#This Row],[Vitamin A '[µg/100g']]]*3.33</f>
        <v>0</v>
      </c>
      <c r="AZ343" s="9">
        <f>Tabelle1[[#This Row],[Vitamin E '[mg/100g']]]*1.49</f>
        <v>1.1174999999999999</v>
      </c>
    </row>
    <row r="344" spans="1:52" hidden="1" x14ac:dyDescent="0.45">
      <c r="A344" t="s">
        <v>534</v>
      </c>
      <c r="B344" s="3" t="s">
        <v>474</v>
      </c>
      <c r="C344" s="4" t="s">
        <v>475</v>
      </c>
      <c r="D344" s="11">
        <v>380</v>
      </c>
      <c r="E344" s="13">
        <f>Tabelle1[[#This Row],[Energie '[kcal/100g']]]/239</f>
        <v>1.5899581589958158</v>
      </c>
      <c r="F344" s="11">
        <v>14.1</v>
      </c>
      <c r="G344" s="13">
        <f>Tabelle1[[#This Row],[Rohprotein '[g/100g']]]*0.85</f>
        <v>11.984999999999999</v>
      </c>
      <c r="H344" s="11">
        <v>20.8</v>
      </c>
      <c r="I344" s="11">
        <f>Tabelle1[[#This Row],[TS]]-Tabelle1[[#This Row],[Rohprotein '[g/100g']]]-Tabelle1[[#This Row],[Rohfett '[g/100g']]]-Tabelle1[[#This Row],[Rohasche '[g/100g']]]-Tabelle1[[#This Row],[Rohfaser '[g/100g']]]</f>
        <v>43.820000000000007</v>
      </c>
      <c r="J344" s="11">
        <v>0</v>
      </c>
      <c r="K344" s="11">
        <v>9.98</v>
      </c>
      <c r="L344" s="11">
        <v>11.3</v>
      </c>
      <c r="M344" s="11">
        <f>100-Tabelle1[[#This Row],[Wasser '[g/100g']]]</f>
        <v>88.7</v>
      </c>
      <c r="N344" s="11">
        <v>57</v>
      </c>
      <c r="O344" s="11">
        <v>1680</v>
      </c>
      <c r="P344" s="11">
        <v>781</v>
      </c>
      <c r="Q344" s="11">
        <v>5</v>
      </c>
      <c r="R344" s="11">
        <v>1480</v>
      </c>
      <c r="S344" s="11"/>
      <c r="T344" s="11">
        <v>18.5</v>
      </c>
      <c r="U344" s="11">
        <v>6.04</v>
      </c>
      <c r="V344" s="11">
        <v>0</v>
      </c>
      <c r="W344" s="11">
        <v>728</v>
      </c>
      <c r="X344" s="11">
        <v>14200</v>
      </c>
      <c r="Y344" s="11">
        <v>0.79672900000000002</v>
      </c>
      <c r="Z344" s="11"/>
      <c r="AA344" s="11">
        <v>0</v>
      </c>
      <c r="AB344" s="11">
        <v>0.61</v>
      </c>
      <c r="AC344" s="11">
        <v>0</v>
      </c>
      <c r="AD344" s="11">
        <v>2.75</v>
      </c>
      <c r="AE344" s="11">
        <v>0.28399999999999997</v>
      </c>
      <c r="AF344" s="11">
        <v>34</v>
      </c>
      <c r="AG344" s="11">
        <v>175</v>
      </c>
      <c r="AH344" s="11">
        <v>0</v>
      </c>
      <c r="AI344" s="11">
        <v>0</v>
      </c>
      <c r="AJ344" s="11">
        <v>4.4320000000000004</v>
      </c>
      <c r="AK344" s="11">
        <v>63</v>
      </c>
      <c r="AL344" s="11">
        <v>32.6</v>
      </c>
      <c r="AM344" s="11">
        <v>0</v>
      </c>
      <c r="AN344" s="11">
        <v>0.3</v>
      </c>
      <c r="AO344" s="11">
        <v>0</v>
      </c>
      <c r="AP344" s="11">
        <v>0</v>
      </c>
      <c r="AQ344" s="11">
        <v>6.9</v>
      </c>
      <c r="AR344" s="11">
        <v>6.9</v>
      </c>
      <c r="AS344" s="11">
        <v>1.06</v>
      </c>
      <c r="AT344" s="11">
        <v>0.317</v>
      </c>
      <c r="AU344" s="11">
        <v>0.35499999999999998</v>
      </c>
      <c r="AV344" s="11">
        <v>0.65</v>
      </c>
      <c r="AW344" s="11">
        <v>0.30599999999999999</v>
      </c>
      <c r="AX344" s="9">
        <f>Tabelle1[[#This Row],[Vitamin D3 '[µg/100g']]]*40</f>
        <v>0</v>
      </c>
      <c r="AY344" s="9">
        <f>Tabelle1[[#This Row],[Vitamin A '[µg/100g']]]*3.33</f>
        <v>0</v>
      </c>
      <c r="AZ344" s="9">
        <f>Tabelle1[[#This Row],[Vitamin E '[mg/100g']]]*1.49</f>
        <v>0.90889999999999993</v>
      </c>
    </row>
    <row r="345" spans="1:52" hidden="1" x14ac:dyDescent="0.45">
      <c r="A345" t="s">
        <v>534</v>
      </c>
      <c r="B345" s="3" t="s">
        <v>476</v>
      </c>
      <c r="C345" s="4" t="s">
        <v>477</v>
      </c>
      <c r="D345" s="11">
        <v>347</v>
      </c>
      <c r="E345" s="13">
        <f>Tabelle1[[#This Row],[Energie '[kcal/100g']]]/239</f>
        <v>1.4518828451882846</v>
      </c>
      <c r="F345" s="11">
        <v>7.1980000000000004</v>
      </c>
      <c r="G345" s="13">
        <f>Tabelle1[[#This Row],[Rohprotein '[g/100g']]]*0.85</f>
        <v>6.1183000000000005</v>
      </c>
      <c r="H345" s="11">
        <v>0.65</v>
      </c>
      <c r="I345" s="11">
        <f>Tabelle1[[#This Row],[TS]]-Tabelle1[[#This Row],[Rohprotein '[g/100g']]]-Tabelle1[[#This Row],[Rohfett '[g/100g']]]-Tabelle1[[#This Row],[Rohasche '[g/100g']]]-Tabelle1[[#This Row],[Rohfaser '[g/100g']]]</f>
        <v>79.10199999999999</v>
      </c>
      <c r="J345" s="11">
        <v>0</v>
      </c>
      <c r="K345" s="11">
        <v>0.55000000000000004</v>
      </c>
      <c r="L345" s="11">
        <v>12.5</v>
      </c>
      <c r="M345" s="11">
        <f>100-Tabelle1[[#This Row],[Wasser '[g/100g']]]</f>
        <v>87.5</v>
      </c>
      <c r="N345" s="11">
        <v>7</v>
      </c>
      <c r="O345" s="11">
        <v>90</v>
      </c>
      <c r="P345" s="11">
        <v>23</v>
      </c>
      <c r="Q345" s="11">
        <v>4</v>
      </c>
      <c r="R345" s="11">
        <v>104</v>
      </c>
      <c r="S345" s="11"/>
      <c r="T345" s="11">
        <v>0.4</v>
      </c>
      <c r="U345" s="11">
        <v>3.0331100000000002</v>
      </c>
      <c r="V345" s="11">
        <v>0</v>
      </c>
      <c r="W345" s="11">
        <v>200</v>
      </c>
      <c r="X345" s="11">
        <v>600</v>
      </c>
      <c r="Y345" s="11">
        <v>1</v>
      </c>
      <c r="Z345" s="11"/>
      <c r="AA345" s="11">
        <v>0</v>
      </c>
      <c r="AB345" s="11">
        <v>5.2999999999999999E-2</v>
      </c>
      <c r="AC345" s="11">
        <v>0</v>
      </c>
      <c r="AD345" s="11">
        <v>0.06</v>
      </c>
      <c r="AE345" s="11">
        <v>0.03</v>
      </c>
      <c r="AF345" s="11">
        <v>1.4</v>
      </c>
      <c r="AG345" s="11">
        <v>200</v>
      </c>
      <c r="AH345" s="11">
        <v>0</v>
      </c>
      <c r="AI345" s="11">
        <v>0</v>
      </c>
      <c r="AJ345" s="11">
        <v>0.1</v>
      </c>
      <c r="AK345" s="11">
        <v>36</v>
      </c>
      <c r="AL345" s="11">
        <v>3</v>
      </c>
      <c r="AM345" s="11">
        <v>0</v>
      </c>
      <c r="AN345" s="11">
        <v>1.2999999999999999E-2</v>
      </c>
      <c r="AO345" s="11">
        <v>0</v>
      </c>
      <c r="AP345" s="11">
        <v>0</v>
      </c>
      <c r="AQ345" s="11">
        <v>0.23100000000000001</v>
      </c>
      <c r="AR345" s="11">
        <v>0.23100000000000001</v>
      </c>
      <c r="AS345" s="11">
        <v>0.57999999999999996</v>
      </c>
      <c r="AT345" s="11">
        <v>0.09</v>
      </c>
      <c r="AU345" s="11">
        <v>0.18</v>
      </c>
      <c r="AV345" s="11">
        <v>0.28000000000000003</v>
      </c>
      <c r="AW345" s="11">
        <v>0.19</v>
      </c>
      <c r="AX345" s="9">
        <f>Tabelle1[[#This Row],[Vitamin D3 '[µg/100g']]]*40</f>
        <v>0</v>
      </c>
      <c r="AY345" s="9">
        <f>Tabelle1[[#This Row],[Vitamin A '[µg/100g']]]*3.33</f>
        <v>0</v>
      </c>
      <c r="AZ345" s="9">
        <f>Tabelle1[[#This Row],[Vitamin E '[mg/100g']]]*1.49</f>
        <v>7.8969999999999999E-2</v>
      </c>
    </row>
    <row r="346" spans="1:52" hidden="1" x14ac:dyDescent="0.45">
      <c r="A346" t="s">
        <v>534</v>
      </c>
      <c r="B346" s="3" t="s">
        <v>478</v>
      </c>
      <c r="C346" s="4" t="s">
        <v>479</v>
      </c>
      <c r="D346" s="11">
        <v>110</v>
      </c>
      <c r="E346" s="13">
        <f>Tabelle1[[#This Row],[Energie '[kcal/100g']]]/239</f>
        <v>0.46025104602510458</v>
      </c>
      <c r="F346" s="11">
        <v>2.68</v>
      </c>
      <c r="G346" s="13">
        <f>Tabelle1[[#This Row],[Rohprotein '[g/100g']]]*0.85</f>
        <v>2.278</v>
      </c>
      <c r="H346" s="11">
        <v>0.32</v>
      </c>
      <c r="I346" s="11">
        <f>Tabelle1[[#This Row],[TS]]-Tabelle1[[#This Row],[Rohprotein '[g/100g']]]-Tabelle1[[#This Row],[Rohfett '[g/100g']]]-Tabelle1[[#This Row],[Rohasche '[g/100g']]]-Tabelle1[[#This Row],[Rohfaser '[g/100g']]]</f>
        <v>30.056999999999999</v>
      </c>
      <c r="J346" s="11">
        <v>0</v>
      </c>
      <c r="K346" s="11">
        <v>0.24299999999999999</v>
      </c>
      <c r="L346" s="11">
        <v>66.7</v>
      </c>
      <c r="M346" s="11">
        <f>100-Tabelle1[[#This Row],[Wasser '[g/100g']]]</f>
        <v>33.299999999999997</v>
      </c>
      <c r="N346" s="11">
        <v>2</v>
      </c>
      <c r="O346" s="11">
        <v>56</v>
      </c>
      <c r="P346" s="11">
        <v>35</v>
      </c>
      <c r="Q346" s="11">
        <v>1</v>
      </c>
      <c r="R346" s="11">
        <v>47</v>
      </c>
      <c r="S346" s="11"/>
      <c r="T346" s="11">
        <v>0.26600000000000001</v>
      </c>
      <c r="U346" s="11">
        <v>0.64300000000000002</v>
      </c>
      <c r="V346" s="11">
        <v>0</v>
      </c>
      <c r="W346" s="11">
        <v>117</v>
      </c>
      <c r="X346" s="11">
        <v>993</v>
      </c>
      <c r="Y346" s="11">
        <v>0.2</v>
      </c>
      <c r="Z346" s="11"/>
      <c r="AA346" s="11">
        <v>0</v>
      </c>
      <c r="AB346" s="11">
        <v>0.01</v>
      </c>
      <c r="AC346" s="11">
        <v>0</v>
      </c>
      <c r="AD346" s="11">
        <v>0.05</v>
      </c>
      <c r="AE346" s="11">
        <v>0.01</v>
      </c>
      <c r="AF346" s="11">
        <v>0.37</v>
      </c>
      <c r="AG346" s="11">
        <v>110</v>
      </c>
      <c r="AH346" s="11">
        <v>0</v>
      </c>
      <c r="AI346" s="11">
        <v>0</v>
      </c>
      <c r="AJ346" s="11">
        <v>0</v>
      </c>
      <c r="AK346" s="11">
        <v>3</v>
      </c>
      <c r="AL346" s="11">
        <v>1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1">
        <v>0.20499999999999999</v>
      </c>
      <c r="AT346" s="11">
        <v>0.04</v>
      </c>
      <c r="AU346" s="11">
        <v>5.8999999999999997E-2</v>
      </c>
      <c r="AV346" s="11">
        <v>8.3000000000000004E-2</v>
      </c>
      <c r="AW346" s="11">
        <v>6.0999999999999999E-2</v>
      </c>
      <c r="AX346" s="9">
        <f>Tabelle1[[#This Row],[Vitamin D3 '[µg/100g']]]*40</f>
        <v>0</v>
      </c>
      <c r="AY346" s="9">
        <f>Tabelle1[[#This Row],[Vitamin A '[µg/100g']]]*3.33</f>
        <v>0</v>
      </c>
      <c r="AZ346" s="9">
        <f>Tabelle1[[#This Row],[Vitamin E '[mg/100g']]]*1.49</f>
        <v>1.49E-2</v>
      </c>
    </row>
    <row r="347" spans="1:52" hidden="1" x14ac:dyDescent="0.45">
      <c r="A347" t="s">
        <v>534</v>
      </c>
      <c r="B347" s="3" t="s">
        <v>480</v>
      </c>
      <c r="C347" s="4" t="s">
        <v>481</v>
      </c>
      <c r="D347" s="11">
        <v>333</v>
      </c>
      <c r="E347" s="13">
        <f>Tabelle1[[#This Row],[Energie '[kcal/100g']]]/239</f>
        <v>1.393305439330544</v>
      </c>
      <c r="F347" s="11">
        <v>8.125</v>
      </c>
      <c r="G347" s="13">
        <f>Tabelle1[[#This Row],[Rohprotein '[g/100g']]]*0.85</f>
        <v>6.90625</v>
      </c>
      <c r="H347" s="11">
        <v>1.03</v>
      </c>
      <c r="I347" s="11">
        <f>Tabelle1[[#This Row],[TS]]-Tabelle1[[#This Row],[Rohprotein '[g/100g']]]-Tabelle1[[#This Row],[Rohfett '[g/100g']]]-Tabelle1[[#This Row],[Rohasche '[g/100g']]]-Tabelle1[[#This Row],[Rohfaser '[g/100g']]]</f>
        <v>79.245000000000005</v>
      </c>
      <c r="J347" s="11">
        <v>0</v>
      </c>
      <c r="K347" s="11">
        <v>1</v>
      </c>
      <c r="L347" s="11">
        <v>10.6</v>
      </c>
      <c r="M347" s="11">
        <f>100-Tabelle1[[#This Row],[Wasser '[g/100g']]]</f>
        <v>89.4</v>
      </c>
      <c r="N347" s="11">
        <v>6</v>
      </c>
      <c r="O347" s="11">
        <v>169</v>
      </c>
      <c r="P347" s="11">
        <v>102</v>
      </c>
      <c r="Q347" s="11">
        <v>2</v>
      </c>
      <c r="R347" s="11">
        <v>180</v>
      </c>
      <c r="S347" s="11"/>
      <c r="T347" s="11">
        <v>0.80500000000000005</v>
      </c>
      <c r="U347" s="11">
        <v>1.89</v>
      </c>
      <c r="V347" s="11">
        <v>0</v>
      </c>
      <c r="W347" s="11">
        <v>355</v>
      </c>
      <c r="X347" s="11">
        <v>2860</v>
      </c>
      <c r="Y347" s="11">
        <v>0.8</v>
      </c>
      <c r="Z347" s="11"/>
      <c r="AA347" s="11">
        <v>0</v>
      </c>
      <c r="AB347" s="11">
        <v>0.03</v>
      </c>
      <c r="AC347" s="11">
        <v>0</v>
      </c>
      <c r="AD347" s="11">
        <v>0.23</v>
      </c>
      <c r="AE347" s="11">
        <v>0.05</v>
      </c>
      <c r="AF347" s="11">
        <v>1.3</v>
      </c>
      <c r="AG347" s="11">
        <v>450</v>
      </c>
      <c r="AH347" s="11">
        <v>0</v>
      </c>
      <c r="AI347" s="11">
        <v>0</v>
      </c>
      <c r="AJ347" s="11">
        <v>0.1</v>
      </c>
      <c r="AK347" s="11">
        <v>11</v>
      </c>
      <c r="AL347" s="11">
        <v>3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1">
        <v>0.62</v>
      </c>
      <c r="AT347" s="11">
        <v>0.122</v>
      </c>
      <c r="AU347" s="11">
        <v>0.17799999999999999</v>
      </c>
      <c r="AV347" s="11">
        <v>0.252</v>
      </c>
      <c r="AW347" s="11">
        <v>0.184</v>
      </c>
      <c r="AX347" s="9">
        <f>Tabelle1[[#This Row],[Vitamin D3 '[µg/100g']]]*40</f>
        <v>0</v>
      </c>
      <c r="AY347" s="9">
        <f>Tabelle1[[#This Row],[Vitamin A '[µg/100g']]]*3.33</f>
        <v>0</v>
      </c>
      <c r="AZ347" s="9">
        <f>Tabelle1[[#This Row],[Vitamin E '[mg/100g']]]*1.49</f>
        <v>4.4699999999999997E-2</v>
      </c>
    </row>
    <row r="348" spans="1:52" hidden="1" x14ac:dyDescent="0.45">
      <c r="A348" t="s">
        <v>534</v>
      </c>
      <c r="B348" s="3" t="s">
        <v>482</v>
      </c>
      <c r="C348" s="4" t="s">
        <v>483</v>
      </c>
      <c r="D348" s="11">
        <v>117</v>
      </c>
      <c r="E348" s="13">
        <f>Tabelle1[[#This Row],[Energie '[kcal/100g']]]/239</f>
        <v>0.4895397489539749</v>
      </c>
      <c r="F348" s="11">
        <v>3.3</v>
      </c>
      <c r="G348" s="13">
        <f>Tabelle1[[#This Row],[Rohprotein '[g/100g']]]*0.85</f>
        <v>2.8049999999999997</v>
      </c>
      <c r="H348" s="11">
        <v>0.35</v>
      </c>
      <c r="I348" s="11">
        <f>Tabelle1[[#This Row],[TS]]-Tabelle1[[#This Row],[Rohprotein '[g/100g']]]-Tabelle1[[#This Row],[Rohfett '[g/100g']]]-Tabelle1[[#This Row],[Rohasche '[g/100g']]]-Tabelle1[[#This Row],[Rohfaser '[g/100g']]]</f>
        <v>28.720000000000002</v>
      </c>
      <c r="J348" s="11">
        <v>0</v>
      </c>
      <c r="K348" s="11">
        <v>0.11</v>
      </c>
      <c r="L348" s="11">
        <v>67.52</v>
      </c>
      <c r="M348" s="11">
        <f>100-Tabelle1[[#This Row],[Wasser '[g/100g']]]</f>
        <v>32.480000000000004</v>
      </c>
      <c r="N348" s="11">
        <v>24</v>
      </c>
      <c r="O348" s="11">
        <v>40.25</v>
      </c>
      <c r="P348" s="11">
        <v>13.66</v>
      </c>
      <c r="Q348" s="11">
        <v>9.77</v>
      </c>
      <c r="R348" s="11">
        <v>31.63</v>
      </c>
      <c r="S348" s="11"/>
      <c r="T348" s="11">
        <v>0.14088000000000001</v>
      </c>
      <c r="U348" s="11">
        <v>0.92027999999999999</v>
      </c>
      <c r="V348" s="11">
        <v>0</v>
      </c>
      <c r="W348" s="11">
        <v>94.69</v>
      </c>
      <c r="X348" s="11">
        <v>252.98</v>
      </c>
      <c r="Y348" s="11">
        <v>4.08</v>
      </c>
      <c r="Z348" s="11"/>
      <c r="AA348" s="11">
        <v>0</v>
      </c>
      <c r="AB348" s="11">
        <v>1.7999999999999999E-2</v>
      </c>
      <c r="AC348" s="11">
        <v>0</v>
      </c>
      <c r="AD348" s="11">
        <v>2.9000000000000001E-2</v>
      </c>
      <c r="AE348" s="11">
        <v>1E-3</v>
      </c>
      <c r="AF348" s="11">
        <v>0.32</v>
      </c>
      <c r="AG348" s="11">
        <v>12</v>
      </c>
      <c r="AH348" s="11">
        <v>0</v>
      </c>
      <c r="AI348" s="11">
        <v>0</v>
      </c>
      <c r="AJ348" s="11">
        <v>0</v>
      </c>
      <c r="AK348" s="11">
        <v>21</v>
      </c>
      <c r="AL348" s="11">
        <v>1</v>
      </c>
      <c r="AM348" s="11">
        <v>0</v>
      </c>
      <c r="AN348" s="11">
        <v>4.0000000000000001E-3</v>
      </c>
      <c r="AO348" s="11">
        <v>0</v>
      </c>
      <c r="AP348" s="11">
        <v>0</v>
      </c>
      <c r="AQ348" s="11">
        <v>6.7000000000000004E-2</v>
      </c>
      <c r="AR348" s="11">
        <v>6.7000000000000004E-2</v>
      </c>
      <c r="AS348" s="11">
        <v>0.184</v>
      </c>
      <c r="AT348" s="11">
        <v>3.5000000000000003E-2</v>
      </c>
      <c r="AU348" s="11">
        <v>5.5E-2</v>
      </c>
      <c r="AV348" s="11">
        <v>9.2999999999999999E-2</v>
      </c>
      <c r="AW348" s="11">
        <v>5.5E-2</v>
      </c>
      <c r="AX348" s="9">
        <f>Tabelle1[[#This Row],[Vitamin D3 '[µg/100g']]]*40</f>
        <v>0</v>
      </c>
      <c r="AY348" s="9">
        <f>Tabelle1[[#This Row],[Vitamin A '[µg/100g']]]*3.33</f>
        <v>0</v>
      </c>
      <c r="AZ348" s="9">
        <f>Tabelle1[[#This Row],[Vitamin E '[mg/100g']]]*1.49</f>
        <v>2.6819999999999997E-2</v>
      </c>
    </row>
    <row r="349" spans="1:52" hidden="1" x14ac:dyDescent="0.45">
      <c r="A349" t="s">
        <v>534</v>
      </c>
      <c r="B349" s="3" t="s">
        <v>484</v>
      </c>
      <c r="C349" s="4" t="s">
        <v>485</v>
      </c>
      <c r="D349" s="11">
        <v>351</v>
      </c>
      <c r="E349" s="13">
        <f>Tabelle1[[#This Row],[Energie '[kcal/100g']]]/239</f>
        <v>1.4686192468619246</v>
      </c>
      <c r="F349" s="11">
        <v>7.931</v>
      </c>
      <c r="G349" s="13">
        <f>Tabelle1[[#This Row],[Rohprotein '[g/100g']]]*0.85</f>
        <v>6.7413499999999997</v>
      </c>
      <c r="H349" s="11">
        <v>0.62</v>
      </c>
      <c r="I349" s="11">
        <f>Tabelle1[[#This Row],[TS]]-Tabelle1[[#This Row],[Rohprotein '[g/100g']]]-Tabelle1[[#This Row],[Rohfett '[g/100g']]]-Tabelle1[[#This Row],[Rohasche '[g/100g']]]-Tabelle1[[#This Row],[Rohfaser '[g/100g']]]</f>
        <v>79.129000000000005</v>
      </c>
      <c r="J349" s="11">
        <v>0</v>
      </c>
      <c r="K349" s="11">
        <v>0.44</v>
      </c>
      <c r="L349" s="11">
        <v>11.88</v>
      </c>
      <c r="M349" s="11">
        <f>100-Tabelle1[[#This Row],[Wasser '[g/100g']]]</f>
        <v>88.12</v>
      </c>
      <c r="N349" s="11">
        <v>5</v>
      </c>
      <c r="O349" s="11">
        <v>113.52</v>
      </c>
      <c r="P349" s="11">
        <v>40.479999999999997</v>
      </c>
      <c r="Q349" s="11">
        <v>15.77</v>
      </c>
      <c r="R349" s="11">
        <v>106.62</v>
      </c>
      <c r="S349" s="11"/>
      <c r="T349" s="11">
        <v>0.29149000000000003</v>
      </c>
      <c r="U349" s="11">
        <v>3.0331100000000002</v>
      </c>
      <c r="V349" s="11">
        <v>0</v>
      </c>
      <c r="W349" s="11">
        <v>251.23</v>
      </c>
      <c r="X349" s="11">
        <v>701.93</v>
      </c>
      <c r="Y349" s="11">
        <v>6.19</v>
      </c>
      <c r="Z349" s="11"/>
      <c r="AA349" s="11">
        <v>0</v>
      </c>
      <c r="AB349" s="11">
        <v>5.2999999999999999E-2</v>
      </c>
      <c r="AC349" s="11">
        <v>0</v>
      </c>
      <c r="AD349" s="11">
        <v>0.126</v>
      </c>
      <c r="AE349" s="11">
        <v>5.0000000000000001E-3</v>
      </c>
      <c r="AF349" s="11">
        <v>1.3</v>
      </c>
      <c r="AG349" s="11">
        <v>48</v>
      </c>
      <c r="AH349" s="11">
        <v>0</v>
      </c>
      <c r="AI349" s="11">
        <v>0</v>
      </c>
      <c r="AJ349" s="11">
        <v>0.1</v>
      </c>
      <c r="AK349" s="11">
        <v>11.3</v>
      </c>
      <c r="AL349" s="11">
        <v>3</v>
      </c>
      <c r="AM349" s="11">
        <v>0</v>
      </c>
      <c r="AN349" s="11">
        <v>1.2E-2</v>
      </c>
      <c r="AO349" s="11">
        <v>0</v>
      </c>
      <c r="AP349" s="11">
        <v>0</v>
      </c>
      <c r="AQ349" s="11">
        <v>0.22</v>
      </c>
      <c r="AR349" s="11">
        <v>0.22</v>
      </c>
      <c r="AS349" s="11">
        <v>0.56999999999999995</v>
      </c>
      <c r="AT349" s="11">
        <v>0.11</v>
      </c>
      <c r="AU349" s="11">
        <v>0.17</v>
      </c>
      <c r="AV349" s="11">
        <v>0.28999999999999998</v>
      </c>
      <c r="AW349" s="11">
        <v>0.17</v>
      </c>
      <c r="AX349" s="9">
        <f>Tabelle1[[#This Row],[Vitamin D3 '[µg/100g']]]*40</f>
        <v>0</v>
      </c>
      <c r="AY349" s="9">
        <f>Tabelle1[[#This Row],[Vitamin A '[µg/100g']]]*3.33</f>
        <v>0</v>
      </c>
      <c r="AZ349" s="9">
        <f>Tabelle1[[#This Row],[Vitamin E '[mg/100g']]]*1.49</f>
        <v>7.8969999999999999E-2</v>
      </c>
    </row>
    <row r="350" spans="1:52" hidden="1" x14ac:dyDescent="0.45">
      <c r="A350" t="s">
        <v>534</v>
      </c>
      <c r="B350" s="3" t="s">
        <v>486</v>
      </c>
      <c r="C350" s="4" t="s">
        <v>487</v>
      </c>
      <c r="D350" s="11">
        <v>344</v>
      </c>
      <c r="E350" s="13">
        <f>Tabelle1[[#This Row],[Energie '[kcal/100g']]]/239</f>
        <v>1.4393305439330544</v>
      </c>
      <c r="F350" s="11">
        <v>0.81899999999999995</v>
      </c>
      <c r="G350" s="13">
        <f>Tabelle1[[#This Row],[Rohprotein '[g/100g']]]*0.85</f>
        <v>0.69614999999999994</v>
      </c>
      <c r="H350" s="11">
        <v>0.08</v>
      </c>
      <c r="I350" s="11">
        <f>Tabelle1[[#This Row],[TS]]-Tabelle1[[#This Row],[Rohprotein '[g/100g']]]-Tabelle1[[#This Row],[Rohfett '[g/100g']]]-Tabelle1[[#This Row],[Rohasche '[g/100g']]]-Tabelle1[[#This Row],[Rohfaser '[g/100g']]]</f>
        <v>85.001000000000005</v>
      </c>
      <c r="J350" s="11">
        <v>0</v>
      </c>
      <c r="K350" s="11">
        <v>0.3</v>
      </c>
      <c r="L350" s="11">
        <v>13.8</v>
      </c>
      <c r="M350" s="11">
        <f>100-Tabelle1[[#This Row],[Wasser '[g/100g']]]</f>
        <v>86.2</v>
      </c>
      <c r="N350" s="11">
        <v>20</v>
      </c>
      <c r="O350" s="11">
        <v>30</v>
      </c>
      <c r="P350" s="11">
        <v>20</v>
      </c>
      <c r="Q350" s="11">
        <v>11</v>
      </c>
      <c r="R350" s="11">
        <v>8</v>
      </c>
      <c r="S350" s="11"/>
      <c r="T350" s="11">
        <v>0.5</v>
      </c>
      <c r="U350" s="11">
        <v>0.06</v>
      </c>
      <c r="V350" s="11">
        <v>0</v>
      </c>
      <c r="W350" s="11">
        <v>50</v>
      </c>
      <c r="X350" s="11">
        <v>1000</v>
      </c>
      <c r="Y350" s="11">
        <v>2.5</v>
      </c>
      <c r="Z350" s="11"/>
      <c r="AA350" s="11">
        <v>0</v>
      </c>
      <c r="AB350" s="11">
        <v>0</v>
      </c>
      <c r="AC350" s="11">
        <v>0</v>
      </c>
      <c r="AD350" s="11">
        <v>0</v>
      </c>
      <c r="AE350" s="11">
        <v>8.0000000000000002E-3</v>
      </c>
      <c r="AF350" s="11">
        <v>0.03</v>
      </c>
      <c r="AG350" s="11">
        <v>5</v>
      </c>
      <c r="AH350" s="11">
        <v>0</v>
      </c>
      <c r="AI350" s="11">
        <v>0</v>
      </c>
      <c r="AJ350" s="11">
        <v>0</v>
      </c>
      <c r="AK350" s="11">
        <v>14.5</v>
      </c>
      <c r="AL350" s="11">
        <v>6</v>
      </c>
      <c r="AM350" s="11">
        <v>0</v>
      </c>
      <c r="AN350" s="11">
        <v>2E-3</v>
      </c>
      <c r="AO350" s="11">
        <v>0</v>
      </c>
      <c r="AP350" s="11">
        <v>0</v>
      </c>
      <c r="AQ350" s="11">
        <v>2.8000000000000001E-2</v>
      </c>
      <c r="AR350" s="11">
        <v>2.8000000000000001E-2</v>
      </c>
      <c r="AS350" s="11">
        <v>6.6000000000000003E-2</v>
      </c>
      <c r="AT350" s="11">
        <v>0.01</v>
      </c>
      <c r="AU350" s="11">
        <v>0.02</v>
      </c>
      <c r="AV350" s="11">
        <v>3.2000000000000001E-2</v>
      </c>
      <c r="AW350" s="11">
        <v>2.1999999999999999E-2</v>
      </c>
      <c r="AX350" s="9">
        <f>Tabelle1[[#This Row],[Vitamin D3 '[µg/100g']]]*40</f>
        <v>0</v>
      </c>
      <c r="AY350" s="9">
        <f>Tabelle1[[#This Row],[Vitamin A '[µg/100g']]]*3.33</f>
        <v>0</v>
      </c>
      <c r="AZ350" s="9">
        <f>Tabelle1[[#This Row],[Vitamin E '[mg/100g']]]*1.49</f>
        <v>0</v>
      </c>
    </row>
    <row r="351" spans="1:52" hidden="1" x14ac:dyDescent="0.45">
      <c r="A351" t="s">
        <v>534</v>
      </c>
      <c r="B351" s="3" t="s">
        <v>488</v>
      </c>
      <c r="C351" s="4" t="s">
        <v>489</v>
      </c>
      <c r="D351" s="11">
        <v>128</v>
      </c>
      <c r="E351" s="13">
        <f>Tabelle1[[#This Row],[Energie '[kcal/100g']]]/239</f>
        <v>0.53556485355648531</v>
      </c>
      <c r="F351" s="11">
        <v>3.0059999999999998</v>
      </c>
      <c r="G351" s="13">
        <f>Tabelle1[[#This Row],[Rohprotein '[g/100g']]]*0.85</f>
        <v>2.5550999999999999</v>
      </c>
      <c r="H351" s="11">
        <v>0.91700000000000004</v>
      </c>
      <c r="I351" s="11">
        <f>Tabelle1[[#This Row],[TS]]-Tabelle1[[#This Row],[Rohprotein '[g/100g']]]-Tabelle1[[#This Row],[Rohfett '[g/100g']]]-Tabelle1[[#This Row],[Rohasche '[g/100g']]]-Tabelle1[[#This Row],[Rohfaser '[g/100g']]]</f>
        <v>24.96</v>
      </c>
      <c r="J351" s="11">
        <v>0</v>
      </c>
      <c r="K351" s="11">
        <v>0.317</v>
      </c>
      <c r="L351" s="11">
        <v>70.8</v>
      </c>
      <c r="M351" s="11">
        <f>100-Tabelle1[[#This Row],[Wasser '[g/100g']]]</f>
        <v>29.200000000000003</v>
      </c>
      <c r="N351" s="11">
        <v>5.2</v>
      </c>
      <c r="O351" s="11">
        <v>101</v>
      </c>
      <c r="P351" s="11">
        <v>43.1</v>
      </c>
      <c r="Q351" s="11">
        <v>1.179</v>
      </c>
      <c r="R351" s="11">
        <v>103.59699999999999</v>
      </c>
      <c r="S351" s="11"/>
      <c r="T351" s="11">
        <v>0.57399999999999995</v>
      </c>
      <c r="U351" s="11">
        <v>0.86</v>
      </c>
      <c r="V351" s="11">
        <v>0</v>
      </c>
      <c r="W351" s="11">
        <v>100</v>
      </c>
      <c r="X351" s="11">
        <v>930</v>
      </c>
      <c r="Y351" s="11">
        <v>0.7</v>
      </c>
      <c r="Z351" s="11"/>
      <c r="AA351" s="11">
        <v>0</v>
      </c>
      <c r="AB351" s="11">
        <v>0.217</v>
      </c>
      <c r="AC351" s="11">
        <v>0</v>
      </c>
      <c r="AD351" s="11">
        <v>8.5000000000000006E-2</v>
      </c>
      <c r="AE351" s="11">
        <v>2.5999999999999999E-2</v>
      </c>
      <c r="AF351" s="11">
        <v>1.472</v>
      </c>
      <c r="AG351" s="11">
        <v>52</v>
      </c>
      <c r="AH351" s="11">
        <v>0</v>
      </c>
      <c r="AI351" s="11">
        <v>0</v>
      </c>
      <c r="AJ351" s="11">
        <v>0.1</v>
      </c>
      <c r="AK351" s="11">
        <v>5</v>
      </c>
      <c r="AL351" s="11">
        <v>3</v>
      </c>
      <c r="AM351" s="11">
        <v>0</v>
      </c>
      <c r="AN351" s="11">
        <v>1.438E-2</v>
      </c>
      <c r="AO351" s="11">
        <v>0</v>
      </c>
      <c r="AP351" s="11">
        <v>0</v>
      </c>
      <c r="AQ351" s="11">
        <v>0.30599999999999999</v>
      </c>
      <c r="AR351" s="11">
        <v>0.30599999999999999</v>
      </c>
      <c r="AS351" s="11">
        <v>0.215</v>
      </c>
      <c r="AT351" s="11">
        <v>3.5999999999999997E-2</v>
      </c>
      <c r="AU351" s="11">
        <v>6.8000000000000005E-2</v>
      </c>
      <c r="AV351" s="11">
        <v>0.108</v>
      </c>
      <c r="AW351" s="11">
        <v>6.0999999999999999E-2</v>
      </c>
      <c r="AX351" s="9">
        <f>Tabelle1[[#This Row],[Vitamin D3 '[µg/100g']]]*40</f>
        <v>0</v>
      </c>
      <c r="AY351" s="9">
        <f>Tabelle1[[#This Row],[Vitamin A '[µg/100g']]]*3.33</f>
        <v>0</v>
      </c>
      <c r="AZ351" s="9">
        <f>Tabelle1[[#This Row],[Vitamin E '[mg/100g']]]*1.49</f>
        <v>0.32333000000000001</v>
      </c>
    </row>
    <row r="352" spans="1:52" hidden="1" x14ac:dyDescent="0.45">
      <c r="A352" t="s">
        <v>534</v>
      </c>
      <c r="B352" s="3" t="s">
        <v>490</v>
      </c>
      <c r="C352" s="4" t="s">
        <v>491</v>
      </c>
      <c r="D352" s="11">
        <v>360</v>
      </c>
      <c r="E352" s="13">
        <f>Tabelle1[[#This Row],[Energie '[kcal/100g']]]/239</f>
        <v>1.506276150627615</v>
      </c>
      <c r="F352" s="11">
        <v>8.3840000000000003</v>
      </c>
      <c r="G352" s="13">
        <f>Tabelle1[[#This Row],[Rohprotein '[g/100g']]]*0.85</f>
        <v>7.1264000000000003</v>
      </c>
      <c r="H352" s="11">
        <v>2.7</v>
      </c>
      <c r="I352" s="11">
        <f>Tabelle1[[#This Row],[TS]]-Tabelle1[[#This Row],[Rohprotein '[g/100g']]]-Tabelle1[[#This Row],[Rohfett '[g/100g']]]-Tabelle1[[#This Row],[Rohasche '[g/100g']]]-Tabelle1[[#This Row],[Rohfaser '[g/100g']]]</f>
        <v>74.616</v>
      </c>
      <c r="J352" s="11">
        <v>0</v>
      </c>
      <c r="K352" s="11">
        <v>1.2</v>
      </c>
      <c r="L352" s="11">
        <v>13.1</v>
      </c>
      <c r="M352" s="11">
        <f>100-Tabelle1[[#This Row],[Wasser '[g/100g']]]</f>
        <v>86.9</v>
      </c>
      <c r="N352" s="11">
        <v>13.8</v>
      </c>
      <c r="O352" s="11">
        <v>282</v>
      </c>
      <c r="P352" s="11">
        <v>114.3</v>
      </c>
      <c r="Q352" s="11">
        <v>3.9060000000000001</v>
      </c>
      <c r="R352" s="11">
        <v>343.16399999999999</v>
      </c>
      <c r="S352" s="11"/>
      <c r="T352" s="11">
        <v>1.522</v>
      </c>
      <c r="U352" s="11">
        <v>2.4</v>
      </c>
      <c r="V352" s="11">
        <v>0</v>
      </c>
      <c r="W352" s="11">
        <v>264</v>
      </c>
      <c r="X352" s="11">
        <v>2470</v>
      </c>
      <c r="Y352" s="11">
        <v>2.2000000000000002</v>
      </c>
      <c r="Z352" s="11"/>
      <c r="AA352" s="11">
        <v>0</v>
      </c>
      <c r="AB352" s="11">
        <v>0.57599999999999996</v>
      </c>
      <c r="AC352" s="11">
        <v>0</v>
      </c>
      <c r="AD352" s="11">
        <v>0.45200000000000001</v>
      </c>
      <c r="AE352" s="11">
        <v>9.0999999999999998E-2</v>
      </c>
      <c r="AF352" s="11">
        <v>5.2</v>
      </c>
      <c r="AG352" s="11">
        <v>275</v>
      </c>
      <c r="AH352" s="11">
        <v>0</v>
      </c>
      <c r="AI352" s="11">
        <v>0</v>
      </c>
      <c r="AJ352" s="11">
        <v>0.2</v>
      </c>
      <c r="AK352" s="11">
        <v>20.2</v>
      </c>
      <c r="AL352" s="11">
        <v>12</v>
      </c>
      <c r="AM352" s="11">
        <v>0</v>
      </c>
      <c r="AN352" s="11">
        <v>4.2349999999999999E-2</v>
      </c>
      <c r="AO352" s="11">
        <v>0</v>
      </c>
      <c r="AP352" s="11">
        <v>0</v>
      </c>
      <c r="AQ352" s="11">
        <v>0.90200000000000002</v>
      </c>
      <c r="AR352" s="11">
        <v>0.90200000000000002</v>
      </c>
      <c r="AS352" s="11">
        <v>0.6</v>
      </c>
      <c r="AT352" s="11">
        <v>0.1</v>
      </c>
      <c r="AU352" s="11">
        <v>0.19</v>
      </c>
      <c r="AV352" s="11">
        <v>0.3</v>
      </c>
      <c r="AW352" s="11">
        <v>0.17</v>
      </c>
      <c r="AX352" s="9">
        <f>Tabelle1[[#This Row],[Vitamin D3 '[µg/100g']]]*40</f>
        <v>0</v>
      </c>
      <c r="AY352" s="9">
        <f>Tabelle1[[#This Row],[Vitamin A '[µg/100g']]]*3.33</f>
        <v>0</v>
      </c>
      <c r="AZ352" s="9">
        <f>Tabelle1[[#This Row],[Vitamin E '[mg/100g']]]*1.49</f>
        <v>0.85823999999999989</v>
      </c>
    </row>
    <row r="353" spans="1:52" hidden="1" x14ac:dyDescent="0.45">
      <c r="A353" t="s">
        <v>534</v>
      </c>
      <c r="B353" s="3" t="s">
        <v>492</v>
      </c>
      <c r="C353" s="4" t="s">
        <v>493</v>
      </c>
      <c r="D353" s="11">
        <v>91</v>
      </c>
      <c r="E353" s="13">
        <f>Tabelle1[[#This Row],[Energie '[kcal/100g']]]/239</f>
        <v>0.3807531380753138</v>
      </c>
      <c r="F353" s="11">
        <v>1.889</v>
      </c>
      <c r="G353" s="13">
        <f>Tabelle1[[#This Row],[Rohprotein '[g/100g']]]*0.85</f>
        <v>1.60565</v>
      </c>
      <c r="H353" s="11">
        <v>0.15</v>
      </c>
      <c r="I353" s="11">
        <f>Tabelle1[[#This Row],[TS]]-Tabelle1[[#This Row],[Rohprotein '[g/100g']]]-Tabelle1[[#This Row],[Rohfett '[g/100g']]]-Tabelle1[[#This Row],[Rohasche '[g/100g']]]-Tabelle1[[#This Row],[Rohfaser '[g/100g']]]</f>
        <v>16.771000000000001</v>
      </c>
      <c r="J353" s="11">
        <v>0</v>
      </c>
      <c r="K353" s="11">
        <v>0.19</v>
      </c>
      <c r="L353" s="11">
        <v>81</v>
      </c>
      <c r="M353" s="11">
        <f>100-Tabelle1[[#This Row],[Wasser '[g/100g']]]</f>
        <v>19</v>
      </c>
      <c r="N353" s="11">
        <v>4</v>
      </c>
      <c r="O353" s="11">
        <v>37</v>
      </c>
      <c r="P353" s="11">
        <v>3</v>
      </c>
      <c r="Q353" s="11">
        <v>13</v>
      </c>
      <c r="R353" s="11">
        <v>4</v>
      </c>
      <c r="S353" s="11"/>
      <c r="T353" s="11">
        <v>0.1</v>
      </c>
      <c r="U353" s="11">
        <v>0.19</v>
      </c>
      <c r="V353" s="11">
        <v>0</v>
      </c>
      <c r="W353" s="11">
        <v>18</v>
      </c>
      <c r="X353" s="11">
        <v>131</v>
      </c>
      <c r="Y353" s="11">
        <v>0</v>
      </c>
      <c r="Z353" s="11"/>
      <c r="AA353" s="11">
        <v>0</v>
      </c>
      <c r="AB353" s="11">
        <v>1.4E-2</v>
      </c>
      <c r="AC353" s="11">
        <v>0</v>
      </c>
      <c r="AD353" s="11">
        <v>6.0000000000000001E-3</v>
      </c>
      <c r="AE353" s="11">
        <v>4.0000000000000001E-3</v>
      </c>
      <c r="AF353" s="11">
        <v>4.4999999999999998E-2</v>
      </c>
      <c r="AG353" s="11">
        <v>3</v>
      </c>
      <c r="AH353" s="11">
        <v>0</v>
      </c>
      <c r="AI353" s="11">
        <v>0</v>
      </c>
      <c r="AJ353" s="11">
        <v>0</v>
      </c>
      <c r="AK353" s="11">
        <v>1</v>
      </c>
      <c r="AL353" s="11">
        <v>1</v>
      </c>
      <c r="AM353" s="11">
        <v>0</v>
      </c>
      <c r="AN353" s="11">
        <v>0</v>
      </c>
      <c r="AO353" s="11">
        <v>0</v>
      </c>
      <c r="AP353" s="11">
        <v>0</v>
      </c>
      <c r="AQ353" s="11">
        <v>0.05</v>
      </c>
      <c r="AR353" s="11">
        <v>0.05</v>
      </c>
      <c r="AS353" s="11">
        <v>0.152</v>
      </c>
      <c r="AT353" s="11">
        <v>2.4E-2</v>
      </c>
      <c r="AU353" s="11">
        <v>4.7E-2</v>
      </c>
      <c r="AV353" s="11">
        <v>7.2999999999999995E-2</v>
      </c>
      <c r="AW353" s="11">
        <v>0.05</v>
      </c>
      <c r="AX353" s="9">
        <f>Tabelle1[[#This Row],[Vitamin D3 '[µg/100g']]]*40</f>
        <v>0</v>
      </c>
      <c r="AY353" s="9">
        <f>Tabelle1[[#This Row],[Vitamin A '[µg/100g']]]*3.33</f>
        <v>0</v>
      </c>
      <c r="AZ353" s="9">
        <f>Tabelle1[[#This Row],[Vitamin E '[mg/100g']]]*1.49</f>
        <v>2.086E-2</v>
      </c>
    </row>
    <row r="354" spans="1:52" hidden="1" x14ac:dyDescent="0.45">
      <c r="A354" t="s">
        <v>534</v>
      </c>
      <c r="B354" s="3" t="s">
        <v>494</v>
      </c>
      <c r="C354" s="4" t="s">
        <v>495</v>
      </c>
      <c r="D354" s="11">
        <v>365</v>
      </c>
      <c r="E354" s="13">
        <f>Tabelle1[[#This Row],[Energie '[kcal/100g']]]/239</f>
        <v>1.5271966527196652</v>
      </c>
      <c r="F354" s="11">
        <v>7.1980000000000004</v>
      </c>
      <c r="G354" s="13">
        <f>Tabelle1[[#This Row],[Rohprotein '[g/100g']]]*0.85</f>
        <v>6.1183000000000005</v>
      </c>
      <c r="H354" s="11">
        <v>0.56000000000000005</v>
      </c>
      <c r="I354" s="11">
        <f>Tabelle1[[#This Row],[TS]]-Tabelle1[[#This Row],[Rohprotein '[g/100g']]]-Tabelle1[[#This Row],[Rohfett '[g/100g']]]-Tabelle1[[#This Row],[Rohasche '[g/100g']]]-Tabelle1[[#This Row],[Rohfaser '[g/100g']]]</f>
        <v>79.49199999999999</v>
      </c>
      <c r="J354" s="11">
        <v>0</v>
      </c>
      <c r="K354" s="11">
        <v>0.85</v>
      </c>
      <c r="L354" s="11">
        <v>11.9</v>
      </c>
      <c r="M354" s="11">
        <f>100-Tabelle1[[#This Row],[Wasser '[g/100g']]]</f>
        <v>88.1</v>
      </c>
      <c r="N354" s="11">
        <v>18</v>
      </c>
      <c r="O354" s="11">
        <v>153</v>
      </c>
      <c r="P354" s="11">
        <v>12</v>
      </c>
      <c r="Q354" s="11">
        <v>97</v>
      </c>
      <c r="R354" s="11">
        <v>30</v>
      </c>
      <c r="S354" s="11"/>
      <c r="T354" s="11">
        <v>0.7</v>
      </c>
      <c r="U354" s="11">
        <v>0.74</v>
      </c>
      <c r="V354" s="11">
        <v>0</v>
      </c>
      <c r="W354" s="11">
        <v>78</v>
      </c>
      <c r="X354" s="11">
        <v>498</v>
      </c>
      <c r="Y354" s="11">
        <v>1</v>
      </c>
      <c r="Z354" s="11"/>
      <c r="AA354" s="11">
        <v>0</v>
      </c>
      <c r="AB354" s="11">
        <v>5.2999999999999999E-2</v>
      </c>
      <c r="AC354" s="11">
        <v>1107</v>
      </c>
      <c r="AD354" s="11">
        <v>3.1E-2</v>
      </c>
      <c r="AE354" s="11">
        <v>1.7000000000000001E-2</v>
      </c>
      <c r="AF354" s="11">
        <v>0.221</v>
      </c>
      <c r="AG354" s="11">
        <v>15</v>
      </c>
      <c r="AH354" s="11">
        <v>0</v>
      </c>
      <c r="AI354" s="11">
        <v>0</v>
      </c>
      <c r="AJ354" s="11">
        <v>0.1</v>
      </c>
      <c r="AK354" s="11">
        <v>41</v>
      </c>
      <c r="AL354" s="11">
        <v>3</v>
      </c>
      <c r="AM354" s="11">
        <v>0</v>
      </c>
      <c r="AN354" s="11">
        <v>0.01</v>
      </c>
      <c r="AO354" s="11">
        <v>0</v>
      </c>
      <c r="AP354" s="11">
        <v>0</v>
      </c>
      <c r="AQ354" s="11">
        <v>0.2</v>
      </c>
      <c r="AR354" s="11">
        <v>0.2</v>
      </c>
      <c r="AS354" s="11">
        <v>0.57999999999999996</v>
      </c>
      <c r="AT354" s="11">
        <v>0.09</v>
      </c>
      <c r="AU354" s="11">
        <v>0.18</v>
      </c>
      <c r="AV354" s="11">
        <v>0.28000000000000003</v>
      </c>
      <c r="AW354" s="11">
        <v>0.19</v>
      </c>
      <c r="AX354" s="9">
        <f>Tabelle1[[#This Row],[Vitamin D3 '[µg/100g']]]*40</f>
        <v>0</v>
      </c>
      <c r="AY354" s="9">
        <f>Tabelle1[[#This Row],[Vitamin A '[µg/100g']]]*3.33</f>
        <v>3686.31</v>
      </c>
      <c r="AZ354" s="9">
        <f>Tabelle1[[#This Row],[Vitamin E '[mg/100g']]]*1.49</f>
        <v>7.8969999999999999E-2</v>
      </c>
    </row>
    <row r="355" spans="1:52" hidden="1" x14ac:dyDescent="0.45">
      <c r="A355" t="s">
        <v>534</v>
      </c>
      <c r="B355" s="3" t="s">
        <v>496</v>
      </c>
      <c r="C355" s="4" t="s">
        <v>497</v>
      </c>
      <c r="D355" s="11">
        <v>371</v>
      </c>
      <c r="E355" s="13">
        <f>Tabelle1[[#This Row],[Energie '[kcal/100g']]]/239</f>
        <v>1.5523012552301256</v>
      </c>
      <c r="F355" s="11">
        <v>8</v>
      </c>
      <c r="G355" s="13">
        <f>Tabelle1[[#This Row],[Rohprotein '[g/100g']]]*0.85</f>
        <v>6.8</v>
      </c>
      <c r="H355" s="11">
        <v>2.42</v>
      </c>
      <c r="I355" s="11">
        <f>Tabelle1[[#This Row],[TS]]-Tabelle1[[#This Row],[Rohprotein '[g/100g']]]-Tabelle1[[#This Row],[Rohfett '[g/100g']]]-Tabelle1[[#This Row],[Rohasche '[g/100g']]]-Tabelle1[[#This Row],[Rohfaser '[g/100g']]]</f>
        <v>84.72</v>
      </c>
      <c r="J355" s="11">
        <v>0</v>
      </c>
      <c r="K355" s="11">
        <v>1.06</v>
      </c>
      <c r="L355" s="11">
        <v>3.8</v>
      </c>
      <c r="M355" s="11">
        <f>100-Tabelle1[[#This Row],[Wasser '[g/100g']]]</f>
        <v>96.2</v>
      </c>
      <c r="N355" s="11">
        <v>9.4</v>
      </c>
      <c r="O355" s="11">
        <v>244</v>
      </c>
      <c r="P355" s="11">
        <v>83.6</v>
      </c>
      <c r="Q355" s="11">
        <v>5</v>
      </c>
      <c r="R355" s="11">
        <v>212</v>
      </c>
      <c r="S355" s="11"/>
      <c r="T355" s="11">
        <v>0.73</v>
      </c>
      <c r="U355" s="11">
        <v>1.52</v>
      </c>
      <c r="V355" s="11">
        <v>0</v>
      </c>
      <c r="W355" s="11">
        <v>230</v>
      </c>
      <c r="X355" s="11">
        <v>2210</v>
      </c>
      <c r="Y355" s="11">
        <v>0</v>
      </c>
      <c r="Z355" s="11"/>
      <c r="AA355" s="11">
        <v>0</v>
      </c>
      <c r="AB355" s="11">
        <v>0.75</v>
      </c>
      <c r="AC355" s="11">
        <v>2</v>
      </c>
      <c r="AD355" s="11">
        <v>0.05</v>
      </c>
      <c r="AE355" s="11">
        <v>0.12</v>
      </c>
      <c r="AF355" s="11">
        <v>1.3</v>
      </c>
      <c r="AG355" s="11">
        <v>145</v>
      </c>
      <c r="AH355" s="11">
        <v>0</v>
      </c>
      <c r="AI355" s="11">
        <v>0</v>
      </c>
      <c r="AJ355" s="11">
        <v>0</v>
      </c>
      <c r="AK355" s="11">
        <v>18</v>
      </c>
      <c r="AL355" s="11">
        <v>1.1499999999999999</v>
      </c>
      <c r="AM355" s="11">
        <v>0</v>
      </c>
      <c r="AN355" s="11">
        <v>2.2499999999999999E-2</v>
      </c>
      <c r="AO355" s="11">
        <v>0</v>
      </c>
      <c r="AP355" s="11">
        <v>0</v>
      </c>
      <c r="AQ355" s="11">
        <v>0.76100000000000001</v>
      </c>
      <c r="AR355" s="11">
        <v>0.76100000000000001</v>
      </c>
      <c r="AS355" s="11">
        <v>0.63</v>
      </c>
      <c r="AT355" s="11">
        <v>0.12</v>
      </c>
      <c r="AU355" s="11">
        <v>0.184</v>
      </c>
      <c r="AV355" s="11">
        <v>0.21</v>
      </c>
      <c r="AW355" s="11">
        <v>0.16800000000000001</v>
      </c>
      <c r="AX355" s="9">
        <f>Tabelle1[[#This Row],[Vitamin D3 '[µg/100g']]]*40</f>
        <v>0</v>
      </c>
      <c r="AY355" s="9">
        <f>Tabelle1[[#This Row],[Vitamin A '[µg/100g']]]*3.33</f>
        <v>6.66</v>
      </c>
      <c r="AZ355" s="9">
        <f>Tabelle1[[#This Row],[Vitamin E '[mg/100g']]]*1.49</f>
        <v>1.1174999999999999</v>
      </c>
    </row>
    <row r="356" spans="1:52" hidden="1" x14ac:dyDescent="0.45">
      <c r="A356" t="s">
        <v>58</v>
      </c>
      <c r="B356" s="3" t="s">
        <v>65</v>
      </c>
      <c r="C356" s="4" t="s">
        <v>66</v>
      </c>
      <c r="D356" s="11">
        <v>161</v>
      </c>
      <c r="E356" s="13">
        <f>Tabelle1[[#This Row],[Energie '[kcal/100g']]]/239</f>
        <v>0.67364016736401677</v>
      </c>
      <c r="F356" s="11">
        <v>26.933</v>
      </c>
      <c r="G356" s="11">
        <f>Tabelle1[[#This Row],[Rohprotein '[g/100g']]]*0.85</f>
        <v>22.893049999999999</v>
      </c>
      <c r="H356" s="11">
        <v>5.8890000000000002</v>
      </c>
      <c r="I356" s="11">
        <f>Tabelle1[[#This Row],[TS]]-Tabelle1[[#This Row],[Rohprotein '[g/100g']]]-Tabelle1[[#This Row],[Rohfett '[g/100g']]]-Tabelle1[[#This Row],[Rohasche '[g/100g']]]-Tabelle1[[#This Row],[Rohfaser '[g/100g']]]</f>
        <v>0.40000000000000258</v>
      </c>
      <c r="J356" s="11">
        <v>0</v>
      </c>
      <c r="K356" s="11">
        <v>0.97199999999999998</v>
      </c>
      <c r="L356" s="11">
        <v>65.805999999999997</v>
      </c>
      <c r="M356" s="11">
        <f>100-Tabelle1[[#This Row],[Wasser '[g/100g']]]</f>
        <v>34.194000000000003</v>
      </c>
      <c r="N356" s="11">
        <v>4.7720000000000002</v>
      </c>
      <c r="O356" s="11">
        <v>195</v>
      </c>
      <c r="P356" s="11">
        <v>22.658000000000001</v>
      </c>
      <c r="Q356" s="11">
        <v>59</v>
      </c>
      <c r="R356" s="11">
        <v>328.84899999999999</v>
      </c>
      <c r="S356" s="11"/>
      <c r="T356" s="11">
        <v>3.1789999999999998</v>
      </c>
      <c r="U356" s="11">
        <v>7.2210000000000001</v>
      </c>
      <c r="V356" s="11">
        <v>0</v>
      </c>
      <c r="W356" s="11">
        <v>101</v>
      </c>
      <c r="X356" s="11">
        <v>14</v>
      </c>
      <c r="Y356" s="11">
        <v>2.1</v>
      </c>
      <c r="Z356" s="11"/>
      <c r="AA356" s="11">
        <v>0.38900000000000001</v>
      </c>
      <c r="AB356" s="11">
        <v>0.3</v>
      </c>
      <c r="AC356" s="11">
        <v>8</v>
      </c>
      <c r="AD356" s="11">
        <v>6.9000000000000006E-2</v>
      </c>
      <c r="AE356" s="11">
        <v>0.251</v>
      </c>
      <c r="AF356" s="11">
        <v>5.3120000000000003</v>
      </c>
      <c r="AG356" s="11">
        <v>208</v>
      </c>
      <c r="AH356" s="11">
        <v>1.36</v>
      </c>
      <c r="AI356" s="11">
        <v>0</v>
      </c>
      <c r="AJ356" s="11">
        <v>0</v>
      </c>
      <c r="AK356" s="11">
        <v>5.4</v>
      </c>
      <c r="AL356" s="11">
        <v>0</v>
      </c>
      <c r="AM356" s="11">
        <v>0</v>
      </c>
      <c r="AN356" s="11">
        <v>6.7000000000000004E-2</v>
      </c>
      <c r="AO356" s="11">
        <v>0</v>
      </c>
      <c r="AP356" s="11">
        <v>0</v>
      </c>
      <c r="AQ356" s="11">
        <v>0.247</v>
      </c>
      <c r="AR356" s="11">
        <v>0.2</v>
      </c>
      <c r="AS356" s="11">
        <v>1.84</v>
      </c>
      <c r="AT356" s="11">
        <v>0.34799999999999998</v>
      </c>
      <c r="AU356" s="11">
        <v>1.016</v>
      </c>
      <c r="AV356" s="11">
        <v>2.58</v>
      </c>
      <c r="AW356" s="11">
        <v>0.76800000000000002</v>
      </c>
      <c r="AX356" s="9">
        <f>Tabelle1[[#This Row],[Vitamin D3 '[µg/100g']]]*40</f>
        <v>15.56</v>
      </c>
      <c r="AY356" s="9">
        <f>Tabelle1[[#This Row],[Vitamin A '[µg/100g']]]*3.33</f>
        <v>26.64</v>
      </c>
      <c r="AZ356" s="9">
        <f>Tabelle1[[#This Row],[Vitamin E '[mg/100g']]]*1.49</f>
        <v>0.44700000000000001</v>
      </c>
    </row>
    <row r="357" spans="1:52" hidden="1" x14ac:dyDescent="0.45">
      <c r="A357" t="s">
        <v>58</v>
      </c>
      <c r="B357" s="3" t="s">
        <v>67</v>
      </c>
      <c r="C357" s="4" t="s">
        <v>68</v>
      </c>
      <c r="D357" s="11">
        <v>163</v>
      </c>
      <c r="E357" s="13">
        <f>Tabelle1[[#This Row],[Energie '[kcal/100g']]]/239</f>
        <v>0.68200836820083677</v>
      </c>
      <c r="F357" s="11">
        <v>27.126000000000001</v>
      </c>
      <c r="G357" s="11">
        <f>Tabelle1[[#This Row],[Rohprotein '[g/100g']]]*0.85</f>
        <v>23.057100000000002</v>
      </c>
      <c r="H357" s="11">
        <v>6.0570000000000004</v>
      </c>
      <c r="I357" s="11">
        <f>Tabelle1[[#This Row],[TS]]-Tabelle1[[#This Row],[Rohprotein '[g/100g']]]-Tabelle1[[#This Row],[Rohfett '[g/100g']]]-Tabelle1[[#This Row],[Rohasche '[g/100g']]]-Tabelle1[[#This Row],[Rohfaser '[g/100g']]]</f>
        <v>0.40000000000000047</v>
      </c>
      <c r="J357" s="11">
        <v>0</v>
      </c>
      <c r="K357" s="11">
        <v>0.97099999999999997</v>
      </c>
      <c r="L357" s="11">
        <v>65.445999999999998</v>
      </c>
      <c r="M357" s="11">
        <f>100-Tabelle1[[#This Row],[Wasser '[g/100g']]]</f>
        <v>34.554000000000002</v>
      </c>
      <c r="N357" s="11">
        <v>4.3630000000000004</v>
      </c>
      <c r="O357" s="11">
        <v>153</v>
      </c>
      <c r="P357" s="11">
        <v>17.821999999999999</v>
      </c>
      <c r="Q357" s="11">
        <v>39</v>
      </c>
      <c r="R357" s="11">
        <v>232.54300000000001</v>
      </c>
      <c r="S357" s="11"/>
      <c r="T357" s="11">
        <v>3.27</v>
      </c>
      <c r="U357" s="11">
        <v>7.4269999999999996</v>
      </c>
      <c r="V357" s="11">
        <v>0</v>
      </c>
      <c r="W357" s="11">
        <v>99</v>
      </c>
      <c r="X357" s="11">
        <v>14</v>
      </c>
      <c r="Y357" s="11">
        <v>1.4</v>
      </c>
      <c r="Z357" s="11"/>
      <c r="AA357" s="11">
        <v>0.45700000000000002</v>
      </c>
      <c r="AB357" s="11">
        <v>0.3</v>
      </c>
      <c r="AC357" s="11">
        <v>8</v>
      </c>
      <c r="AD357" s="11">
        <v>5.8000000000000003E-2</v>
      </c>
      <c r="AE357" s="11">
        <v>0.23100000000000001</v>
      </c>
      <c r="AF357" s="11">
        <v>4.0069999999999997</v>
      </c>
      <c r="AG357" s="11">
        <v>150</v>
      </c>
      <c r="AH357" s="11">
        <v>1.2</v>
      </c>
      <c r="AI357" s="11">
        <v>0</v>
      </c>
      <c r="AJ357" s="11">
        <v>0</v>
      </c>
      <c r="AK357" s="11">
        <v>3.8</v>
      </c>
      <c r="AL357" s="11">
        <v>0</v>
      </c>
      <c r="AM357" s="11">
        <v>0</v>
      </c>
      <c r="AN357" s="11">
        <v>6.9000000000000006E-2</v>
      </c>
      <c r="AO357" s="11">
        <v>0</v>
      </c>
      <c r="AP357" s="11">
        <v>0</v>
      </c>
      <c r="AQ357" s="11">
        <v>0.254</v>
      </c>
      <c r="AR357" s="11">
        <v>0.20599999999999999</v>
      </c>
      <c r="AS357" s="11">
        <v>1.853</v>
      </c>
      <c r="AT357" s="11">
        <v>0.35</v>
      </c>
      <c r="AU357" s="11">
        <v>1.0229999999999999</v>
      </c>
      <c r="AV357" s="11">
        <v>2.5979999999999999</v>
      </c>
      <c r="AW357" s="11">
        <v>0.77300000000000002</v>
      </c>
      <c r="AX357" s="9">
        <f>Tabelle1[[#This Row],[Vitamin D3 '[µg/100g']]]*40</f>
        <v>18.28</v>
      </c>
      <c r="AY357" s="9">
        <f>Tabelle1[[#This Row],[Vitamin A '[µg/100g']]]*3.33</f>
        <v>26.64</v>
      </c>
      <c r="AZ357" s="9">
        <f>Tabelle1[[#This Row],[Vitamin E '[mg/100g']]]*1.49</f>
        <v>0.44700000000000001</v>
      </c>
    </row>
    <row r="358" spans="1:52" hidden="1" x14ac:dyDescent="0.45">
      <c r="A358" t="s">
        <v>58</v>
      </c>
      <c r="B358" s="5" t="s">
        <v>69</v>
      </c>
      <c r="C358" s="6" t="s">
        <v>70</v>
      </c>
      <c r="D358" s="13">
        <v>128</v>
      </c>
      <c r="E358" s="13">
        <f>Tabelle1[[#This Row],[Energie '[kcal/100g']]]/239</f>
        <v>0.53556485355648531</v>
      </c>
      <c r="F358" s="13">
        <v>20.2</v>
      </c>
      <c r="G358" s="11">
        <f>Tabelle1[[#This Row],[Rohprotein '[g/100g']]]*0.85</f>
        <v>17.169999999999998</v>
      </c>
      <c r="H358" s="13">
        <v>5.3</v>
      </c>
      <c r="I358" s="11">
        <f>Tabelle1[[#This Row],[TS]]-Tabelle1[[#This Row],[Rohprotein '[g/100g']]]-Tabelle1[[#This Row],[Rohfett '[g/100g']]]-Tabelle1[[#This Row],[Rohasche '[g/100g']]]-Tabelle1[[#This Row],[Rohfaser '[g/100g']]]</f>
        <v>0.40000000000000657</v>
      </c>
      <c r="J358" s="11">
        <v>0</v>
      </c>
      <c r="K358" s="13">
        <v>1</v>
      </c>
      <c r="L358" s="13">
        <v>73.099999999999994</v>
      </c>
      <c r="M358" s="13">
        <f>100-Tabelle1[[#This Row],[Wasser '[g/100g']]]</f>
        <v>26.900000000000006</v>
      </c>
      <c r="N358" s="13">
        <v>3.8180000000000001</v>
      </c>
      <c r="O358" s="13">
        <v>165</v>
      </c>
      <c r="P358" s="13">
        <v>19.193000000000001</v>
      </c>
      <c r="Q358" s="13">
        <v>50</v>
      </c>
      <c r="R358" s="13">
        <v>295.964</v>
      </c>
      <c r="S358" s="13"/>
      <c r="T358" s="13">
        <v>2.2890000000000001</v>
      </c>
      <c r="U358" s="13">
        <v>5.1989999999999998</v>
      </c>
      <c r="V358" s="11">
        <v>0</v>
      </c>
      <c r="W358" s="13">
        <v>73</v>
      </c>
      <c r="X358" s="13">
        <v>10</v>
      </c>
      <c r="Y358" s="13">
        <v>2</v>
      </c>
      <c r="Z358" s="13"/>
      <c r="AA358" s="13">
        <v>0.4</v>
      </c>
      <c r="AB358" s="13">
        <v>0.3</v>
      </c>
      <c r="AC358" s="13">
        <v>8</v>
      </c>
      <c r="AD358" s="13">
        <v>0.09</v>
      </c>
      <c r="AE358" s="13">
        <v>0.19</v>
      </c>
      <c r="AF358" s="13">
        <v>5.0999999999999996</v>
      </c>
      <c r="AG358" s="13">
        <v>300</v>
      </c>
      <c r="AH358" s="13">
        <v>1.4</v>
      </c>
      <c r="AI358" s="13">
        <v>0</v>
      </c>
      <c r="AJ358" s="11">
        <v>0</v>
      </c>
      <c r="AK358" s="13">
        <v>4.0999999999999996</v>
      </c>
      <c r="AL358" s="11">
        <v>0</v>
      </c>
      <c r="AM358" s="13">
        <v>0</v>
      </c>
      <c r="AN358" s="13">
        <v>0.06</v>
      </c>
      <c r="AO358" s="11">
        <v>0</v>
      </c>
      <c r="AP358" s="11">
        <v>0</v>
      </c>
      <c r="AQ358" s="13">
        <v>0.222</v>
      </c>
      <c r="AR358" s="13">
        <v>0.18</v>
      </c>
      <c r="AS358" s="13">
        <v>1.38</v>
      </c>
      <c r="AT358" s="13">
        <v>0.26100000000000001</v>
      </c>
      <c r="AU358" s="13">
        <v>0.76200000000000001</v>
      </c>
      <c r="AV358" s="13">
        <v>1.9350000000000001</v>
      </c>
      <c r="AW358" s="13">
        <v>0.57599999999999996</v>
      </c>
      <c r="AX358" s="9">
        <f>Tabelle1[[#This Row],[Vitamin D3 '[µg/100g']]]*40</f>
        <v>16</v>
      </c>
      <c r="AY358" s="9">
        <f>Tabelle1[[#This Row],[Vitamin A '[µg/100g']]]*3.33</f>
        <v>26.64</v>
      </c>
      <c r="AZ358" s="9">
        <f>Tabelle1[[#This Row],[Vitamin E '[mg/100g']]]*1.49</f>
        <v>0.44700000000000001</v>
      </c>
    </row>
    <row r="359" spans="1:52" hidden="1" x14ac:dyDescent="0.45">
      <c r="A359" t="s">
        <v>58</v>
      </c>
      <c r="B359" s="5" t="s">
        <v>71</v>
      </c>
      <c r="C359" s="6" t="s">
        <v>72</v>
      </c>
      <c r="D359" s="13">
        <v>161</v>
      </c>
      <c r="E359" s="13">
        <f>Tabelle1[[#This Row],[Energie '[kcal/100g']]]/239</f>
        <v>0.67364016736401677</v>
      </c>
      <c r="F359" s="13">
        <v>26.933</v>
      </c>
      <c r="G359" s="11">
        <f>Tabelle1[[#This Row],[Rohprotein '[g/100g']]]*0.85</f>
        <v>22.893049999999999</v>
      </c>
      <c r="H359" s="13">
        <v>5.8890000000000002</v>
      </c>
      <c r="I359" s="11">
        <f>Tabelle1[[#This Row],[TS]]-Tabelle1[[#This Row],[Rohprotein '[g/100g']]]-Tabelle1[[#This Row],[Rohfett '[g/100g']]]-Tabelle1[[#This Row],[Rohasche '[g/100g']]]-Tabelle1[[#This Row],[Rohfaser '[g/100g']]]</f>
        <v>0.40000000000000258</v>
      </c>
      <c r="J359" s="11">
        <v>0</v>
      </c>
      <c r="K359" s="13">
        <v>0.97199999999999998</v>
      </c>
      <c r="L359" s="13">
        <v>65.805999999999997</v>
      </c>
      <c r="M359" s="13">
        <f>100-Tabelle1[[#This Row],[Wasser '[g/100g']]]</f>
        <v>34.194000000000003</v>
      </c>
      <c r="N359" s="13">
        <v>4.7720000000000002</v>
      </c>
      <c r="O359" s="13">
        <v>195</v>
      </c>
      <c r="P359" s="13">
        <v>22.658000000000001</v>
      </c>
      <c r="Q359" s="13">
        <v>59</v>
      </c>
      <c r="R359" s="13">
        <v>328.84899999999999</v>
      </c>
      <c r="S359" s="13"/>
      <c r="T359" s="13">
        <v>3.1789999999999998</v>
      </c>
      <c r="U359" s="13">
        <v>7.2210000000000001</v>
      </c>
      <c r="V359" s="11">
        <v>0</v>
      </c>
      <c r="W359" s="13">
        <v>101</v>
      </c>
      <c r="X359" s="13">
        <v>14</v>
      </c>
      <c r="Y359" s="13">
        <v>2.1</v>
      </c>
      <c r="Z359" s="13"/>
      <c r="AA359" s="13">
        <v>0.38900000000000001</v>
      </c>
      <c r="AB359" s="13">
        <v>0.3</v>
      </c>
      <c r="AC359" s="13">
        <v>8</v>
      </c>
      <c r="AD359" s="13">
        <v>6.9000000000000006E-2</v>
      </c>
      <c r="AE359" s="13">
        <v>0.251</v>
      </c>
      <c r="AF359" s="13">
        <v>5.3120000000000003</v>
      </c>
      <c r="AG359" s="13">
        <v>208</v>
      </c>
      <c r="AH359" s="13">
        <v>1.36</v>
      </c>
      <c r="AI359" s="13">
        <v>0</v>
      </c>
      <c r="AJ359" s="11">
        <v>0</v>
      </c>
      <c r="AK359" s="13">
        <v>5.4</v>
      </c>
      <c r="AL359" s="11">
        <v>0</v>
      </c>
      <c r="AM359" s="13">
        <v>0</v>
      </c>
      <c r="AN359" s="13">
        <v>6.7000000000000004E-2</v>
      </c>
      <c r="AO359" s="11">
        <v>0</v>
      </c>
      <c r="AP359" s="11">
        <v>0</v>
      </c>
      <c r="AQ359" s="13">
        <v>0.247</v>
      </c>
      <c r="AR359" s="13">
        <v>0.2</v>
      </c>
      <c r="AS359" s="13">
        <v>1.867</v>
      </c>
      <c r="AT359" s="13">
        <v>0.36</v>
      </c>
      <c r="AU359" s="13">
        <v>1.0269999999999999</v>
      </c>
      <c r="AV359" s="13">
        <v>2.613</v>
      </c>
      <c r="AW359" s="13">
        <v>0.77300000000000002</v>
      </c>
      <c r="AX359" s="9">
        <f>Tabelle1[[#This Row],[Vitamin D3 '[µg/100g']]]*40</f>
        <v>15.56</v>
      </c>
      <c r="AY359" s="9">
        <f>Tabelle1[[#This Row],[Vitamin A '[µg/100g']]]*3.33</f>
        <v>26.64</v>
      </c>
      <c r="AZ359" s="9">
        <f>Tabelle1[[#This Row],[Vitamin E '[mg/100g']]]*1.49</f>
        <v>0.44700000000000001</v>
      </c>
    </row>
    <row r="360" spans="1:52" hidden="1" x14ac:dyDescent="0.45">
      <c r="A360" t="s">
        <v>58</v>
      </c>
      <c r="B360" s="3" t="s">
        <v>73</v>
      </c>
      <c r="C360" s="4" t="s">
        <v>74</v>
      </c>
      <c r="D360" s="11">
        <v>163</v>
      </c>
      <c r="E360" s="13">
        <f>Tabelle1[[#This Row],[Energie '[kcal/100g']]]/239</f>
        <v>0.68200836820083677</v>
      </c>
      <c r="F360" s="11">
        <v>27.126000000000001</v>
      </c>
      <c r="G360" s="11">
        <f>Tabelle1[[#This Row],[Rohprotein '[g/100g']]]*0.85</f>
        <v>23.057100000000002</v>
      </c>
      <c r="H360" s="11">
        <v>6.0570000000000004</v>
      </c>
      <c r="I360" s="11">
        <f>Tabelle1[[#This Row],[TS]]-Tabelle1[[#This Row],[Rohprotein '[g/100g']]]-Tabelle1[[#This Row],[Rohfett '[g/100g']]]-Tabelle1[[#This Row],[Rohasche '[g/100g']]]-Tabelle1[[#This Row],[Rohfaser '[g/100g']]]</f>
        <v>0.40000000000000047</v>
      </c>
      <c r="J360" s="11">
        <v>0</v>
      </c>
      <c r="K360" s="11">
        <v>0.97099999999999997</v>
      </c>
      <c r="L360" s="11">
        <v>65.445999999999998</v>
      </c>
      <c r="M360" s="11">
        <f>100-Tabelle1[[#This Row],[Wasser '[g/100g']]]</f>
        <v>34.554000000000002</v>
      </c>
      <c r="N360" s="11">
        <v>4.3630000000000004</v>
      </c>
      <c r="O360" s="11">
        <v>153</v>
      </c>
      <c r="P360" s="11">
        <v>17.821999999999999</v>
      </c>
      <c r="Q360" s="11">
        <v>39</v>
      </c>
      <c r="R360" s="11">
        <v>232.54300000000001</v>
      </c>
      <c r="S360" s="11"/>
      <c r="T360" s="11">
        <v>3.27</v>
      </c>
      <c r="U360" s="11">
        <v>7.4269999999999996</v>
      </c>
      <c r="V360" s="11">
        <v>0</v>
      </c>
      <c r="W360" s="11">
        <v>99</v>
      </c>
      <c r="X360" s="11">
        <v>14</v>
      </c>
      <c r="Y360" s="11">
        <v>1.4</v>
      </c>
      <c r="Z360" s="11"/>
      <c r="AA360" s="11">
        <v>0.45700000000000002</v>
      </c>
      <c r="AB360" s="11">
        <v>0.3</v>
      </c>
      <c r="AC360" s="11">
        <v>8</v>
      </c>
      <c r="AD360" s="11">
        <v>5.8000000000000003E-2</v>
      </c>
      <c r="AE360" s="11">
        <v>0.23100000000000001</v>
      </c>
      <c r="AF360" s="11">
        <v>4.0069999999999997</v>
      </c>
      <c r="AG360" s="11">
        <v>150</v>
      </c>
      <c r="AH360" s="11">
        <v>1.2</v>
      </c>
      <c r="AI360" s="11">
        <v>0</v>
      </c>
      <c r="AJ360" s="11">
        <v>0</v>
      </c>
      <c r="AK360" s="11">
        <v>3.8</v>
      </c>
      <c r="AL360" s="11">
        <v>0</v>
      </c>
      <c r="AM360" s="11">
        <v>0</v>
      </c>
      <c r="AN360" s="11">
        <v>6.9000000000000006E-2</v>
      </c>
      <c r="AO360" s="11">
        <v>0</v>
      </c>
      <c r="AP360" s="11">
        <v>0</v>
      </c>
      <c r="AQ360" s="11">
        <v>0.254</v>
      </c>
      <c r="AR360" s="11">
        <v>0.20599999999999999</v>
      </c>
      <c r="AS360" s="11">
        <v>1.88</v>
      </c>
      <c r="AT360" s="11">
        <v>0.36299999999999999</v>
      </c>
      <c r="AU360" s="11">
        <v>1.034</v>
      </c>
      <c r="AV360" s="11">
        <v>2.6320000000000001</v>
      </c>
      <c r="AW360" s="11">
        <v>0.77900000000000003</v>
      </c>
      <c r="AX360" s="9">
        <f>Tabelle1[[#This Row],[Vitamin D3 '[µg/100g']]]*40</f>
        <v>18.28</v>
      </c>
      <c r="AY360" s="9">
        <f>Tabelle1[[#This Row],[Vitamin A '[µg/100g']]]*3.33</f>
        <v>26.64</v>
      </c>
      <c r="AZ360" s="9">
        <f>Tabelle1[[#This Row],[Vitamin E '[mg/100g']]]*1.49</f>
        <v>0.44700000000000001</v>
      </c>
    </row>
    <row r="361" spans="1:52" hidden="1" x14ac:dyDescent="0.45">
      <c r="A361" t="s">
        <v>58</v>
      </c>
      <c r="B361" s="3" t="s">
        <v>75</v>
      </c>
      <c r="C361" s="4" t="s">
        <v>76</v>
      </c>
      <c r="D361" s="11">
        <v>128</v>
      </c>
      <c r="E361" s="13">
        <f>Tabelle1[[#This Row],[Energie '[kcal/100g']]]/239</f>
        <v>0.53556485355648531</v>
      </c>
      <c r="F361" s="11">
        <v>20.2</v>
      </c>
      <c r="G361" s="11">
        <f>Tabelle1[[#This Row],[Rohprotein '[g/100g']]]*0.85</f>
        <v>17.169999999999998</v>
      </c>
      <c r="H361" s="11">
        <v>5.3</v>
      </c>
      <c r="I361" s="11">
        <f>Tabelle1[[#This Row],[TS]]-Tabelle1[[#This Row],[Rohprotein '[g/100g']]]-Tabelle1[[#This Row],[Rohfett '[g/100g']]]-Tabelle1[[#This Row],[Rohasche '[g/100g']]]-Tabelle1[[#This Row],[Rohfaser '[g/100g']]]</f>
        <v>0.40000000000000657</v>
      </c>
      <c r="J361" s="11">
        <v>0</v>
      </c>
      <c r="K361" s="11">
        <v>1</v>
      </c>
      <c r="L361" s="11">
        <v>73.099999999999994</v>
      </c>
      <c r="M361" s="11">
        <f>100-Tabelle1[[#This Row],[Wasser '[g/100g']]]</f>
        <v>26.900000000000006</v>
      </c>
      <c r="N361" s="11">
        <v>3.8180000000000001</v>
      </c>
      <c r="O361" s="11">
        <v>165</v>
      </c>
      <c r="P361" s="11">
        <v>19.193000000000001</v>
      </c>
      <c r="Q361" s="11">
        <v>50</v>
      </c>
      <c r="R361" s="11">
        <v>295.964</v>
      </c>
      <c r="S361" s="11"/>
      <c r="T361" s="11">
        <v>2.2890000000000001</v>
      </c>
      <c r="U361" s="11">
        <v>5.1989999999999998</v>
      </c>
      <c r="V361" s="11">
        <v>0</v>
      </c>
      <c r="W361" s="11">
        <v>73</v>
      </c>
      <c r="X361" s="11">
        <v>10</v>
      </c>
      <c r="Y361" s="11">
        <v>2</v>
      </c>
      <c r="Z361" s="11"/>
      <c r="AA361" s="11">
        <v>0.4</v>
      </c>
      <c r="AB361" s="11">
        <v>0.3</v>
      </c>
      <c r="AC361" s="11">
        <v>8</v>
      </c>
      <c r="AD361" s="11">
        <v>0.09</v>
      </c>
      <c r="AE361" s="11">
        <v>0.19</v>
      </c>
      <c r="AF361" s="11">
        <v>5.0999999999999996</v>
      </c>
      <c r="AG361" s="11">
        <v>300</v>
      </c>
      <c r="AH361" s="11">
        <v>1.4</v>
      </c>
      <c r="AI361" s="11">
        <v>0</v>
      </c>
      <c r="AJ361" s="11">
        <v>0</v>
      </c>
      <c r="AK361" s="11">
        <v>4.0999999999999996</v>
      </c>
      <c r="AL361" s="11">
        <v>0</v>
      </c>
      <c r="AM361" s="11">
        <v>0</v>
      </c>
      <c r="AN361" s="11">
        <v>0.06</v>
      </c>
      <c r="AO361" s="11">
        <v>0</v>
      </c>
      <c r="AP361" s="11">
        <v>0</v>
      </c>
      <c r="AQ361" s="11">
        <v>0.222</v>
      </c>
      <c r="AR361" s="11">
        <v>0.18</v>
      </c>
      <c r="AS361" s="11">
        <v>1.4</v>
      </c>
      <c r="AT361" s="11">
        <v>0.27</v>
      </c>
      <c r="AU361" s="11">
        <v>0.77</v>
      </c>
      <c r="AV361" s="11">
        <v>1.96</v>
      </c>
      <c r="AW361" s="11">
        <v>0.57999999999999996</v>
      </c>
      <c r="AX361" s="9">
        <f>Tabelle1[[#This Row],[Vitamin D3 '[µg/100g']]]*40</f>
        <v>16</v>
      </c>
      <c r="AY361" s="9">
        <f>Tabelle1[[#This Row],[Vitamin A '[µg/100g']]]*3.33</f>
        <v>26.64</v>
      </c>
      <c r="AZ361" s="9">
        <f>Tabelle1[[#This Row],[Vitamin E '[mg/100g']]]*1.49</f>
        <v>0.44700000000000001</v>
      </c>
    </row>
    <row r="362" spans="1:52" hidden="1" x14ac:dyDescent="0.45">
      <c r="A362" t="s">
        <v>972</v>
      </c>
      <c r="B362" s="3" t="s">
        <v>970</v>
      </c>
      <c r="C362" s="4" t="s">
        <v>971</v>
      </c>
      <c r="D362" s="11">
        <v>852</v>
      </c>
      <c r="E362" s="11">
        <f>Tabelle1[[#This Row],[Energie '[kcal/100g']]]/239</f>
        <v>3.5648535564853558</v>
      </c>
      <c r="F362" s="11">
        <v>1.5</v>
      </c>
      <c r="G362" s="11">
        <f>Tabelle1[[#This Row],[Rohprotein '[g/100g']]]*0.85</f>
        <v>1.2749999999999999</v>
      </c>
      <c r="H362" s="11">
        <v>94</v>
      </c>
      <c r="I362" s="11">
        <f>Tabelle1[[#This Row],[TS]]-Tabelle1[[#This Row],[Rohprotein '[g/100g']]]-Tabelle1[[#This Row],[Rohfett '[g/100g']]]-Tabelle1[[#This Row],[Rohasche '[g/100g']]]-Tabelle1[[#This Row],[Rohfaser '[g/100g']]]</f>
        <v>0.4</v>
      </c>
      <c r="J362" s="11">
        <v>0</v>
      </c>
      <c r="K362" s="11">
        <v>0.1</v>
      </c>
      <c r="L362" s="11">
        <v>4</v>
      </c>
      <c r="M362" s="11">
        <f>100-Tabelle1[[#This Row],[Wasser '[g/100g']]]</f>
        <v>96</v>
      </c>
      <c r="N362" s="11">
        <v>0</v>
      </c>
      <c r="O362" s="11">
        <v>7</v>
      </c>
      <c r="P362" s="11">
        <v>0</v>
      </c>
      <c r="Q362" s="11">
        <v>10</v>
      </c>
      <c r="R362" s="11">
        <v>6</v>
      </c>
      <c r="S362" s="11"/>
      <c r="T362" s="11">
        <v>0.32</v>
      </c>
      <c r="U362" s="11">
        <v>0.36</v>
      </c>
      <c r="V362" s="11">
        <v>0</v>
      </c>
      <c r="W362" s="11">
        <v>0</v>
      </c>
      <c r="X362" s="11">
        <v>1</v>
      </c>
      <c r="Y362" s="11">
        <v>0</v>
      </c>
      <c r="Z362" s="11"/>
      <c r="AA362" s="11">
        <v>0</v>
      </c>
      <c r="AB362" s="11">
        <v>1.3</v>
      </c>
      <c r="AC362" s="11">
        <v>220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  <c r="AJ362" s="11">
        <v>5</v>
      </c>
      <c r="AK362" s="11">
        <v>0</v>
      </c>
      <c r="AL362" s="11">
        <v>0</v>
      </c>
      <c r="AM362" s="11">
        <v>0</v>
      </c>
      <c r="AN362" s="11">
        <v>1.2241599999999999</v>
      </c>
      <c r="AO362" s="13">
        <v>0</v>
      </c>
      <c r="AP362" s="13">
        <v>0</v>
      </c>
      <c r="AQ362" s="11">
        <v>1.8215600000000001</v>
      </c>
      <c r="AR362" s="11">
        <v>1.8215600000000001</v>
      </c>
      <c r="AS362" s="11">
        <v>0.10100000000000001</v>
      </c>
      <c r="AT362" s="11">
        <v>0.02</v>
      </c>
      <c r="AU362" s="11">
        <v>3.2000000000000001E-2</v>
      </c>
      <c r="AV362" s="11">
        <v>0.13100000000000001</v>
      </c>
      <c r="AW362" s="11">
        <v>4.9000000000000002E-2</v>
      </c>
      <c r="AX362" s="9">
        <f>Tabelle1[[#This Row],[Vitamin D3 '[µg/100g']]]*40</f>
        <v>0</v>
      </c>
      <c r="AY362" s="9">
        <f>Tabelle1[[#This Row],[Vitamin A '[µg/100g']]]*3.33</f>
        <v>732.6</v>
      </c>
      <c r="AZ362" s="9">
        <f>Tabelle1[[#This Row],[Vitamin E '[mg/100g']]]*1.49</f>
        <v>1.9370000000000001</v>
      </c>
    </row>
    <row r="363" spans="1:52" hidden="1" x14ac:dyDescent="0.45">
      <c r="A363" t="s">
        <v>58</v>
      </c>
      <c r="B363" s="3" t="s">
        <v>77</v>
      </c>
      <c r="C363" s="4" t="s">
        <v>78</v>
      </c>
      <c r="D363" s="11">
        <v>179</v>
      </c>
      <c r="E363" s="13">
        <f>Tabelle1[[#This Row],[Energie '[kcal/100g']]]/239</f>
        <v>0.7489539748953975</v>
      </c>
      <c r="F363" s="11">
        <v>28.518000000000001</v>
      </c>
      <c r="G363" s="11">
        <f>Tabelle1[[#This Row],[Rohprotein '[g/100g']]]*0.85</f>
        <v>24.240300000000001</v>
      </c>
      <c r="H363" s="11">
        <v>7.1710000000000003</v>
      </c>
      <c r="I363" s="11">
        <f>Tabelle1[[#This Row],[TS]]-Tabelle1[[#This Row],[Rohprotein '[g/100g']]]-Tabelle1[[#This Row],[Rohfett '[g/100g']]]-Tabelle1[[#This Row],[Rohasche '[g/100g']]]-Tabelle1[[#This Row],[Rohfaser '[g/100g']]]</f>
        <v>0.40000000000000124</v>
      </c>
      <c r="J363" s="11">
        <v>0</v>
      </c>
      <c r="K363" s="11">
        <v>1.0289999999999999</v>
      </c>
      <c r="L363" s="11">
        <v>62.881999999999998</v>
      </c>
      <c r="M363" s="11">
        <f>100-Tabelle1[[#This Row],[Wasser '[g/100g']]]</f>
        <v>37.118000000000002</v>
      </c>
      <c r="N363" s="11">
        <v>5.6150000000000002</v>
      </c>
      <c r="O363" s="11">
        <v>218</v>
      </c>
      <c r="P363" s="11">
        <v>23.991</v>
      </c>
      <c r="Q363" s="11">
        <v>62</v>
      </c>
      <c r="R363" s="11">
        <v>369.95499999999998</v>
      </c>
      <c r="S363" s="11"/>
      <c r="T363" s="11">
        <v>3.198</v>
      </c>
      <c r="U363" s="11">
        <v>7.6459999999999999</v>
      </c>
      <c r="V363" s="11">
        <v>0</v>
      </c>
      <c r="W363" s="11">
        <v>107</v>
      </c>
      <c r="X363" s="11">
        <v>15</v>
      </c>
      <c r="Y363" s="11">
        <v>2.4</v>
      </c>
      <c r="Z363" s="11"/>
      <c r="AA363" s="11">
        <v>0.41199999999999998</v>
      </c>
      <c r="AB363" s="11">
        <v>0.3</v>
      </c>
      <c r="AC363" s="11">
        <v>8</v>
      </c>
      <c r="AD363" s="11">
        <v>9.2999999999999999E-2</v>
      </c>
      <c r="AE363" s="11">
        <v>0.251</v>
      </c>
      <c r="AF363" s="11">
        <v>6</v>
      </c>
      <c r="AG363" s="11">
        <v>265</v>
      </c>
      <c r="AH363" s="11">
        <v>1.65</v>
      </c>
      <c r="AI363" s="11">
        <v>0</v>
      </c>
      <c r="AJ363" s="11">
        <v>0</v>
      </c>
      <c r="AK363" s="11">
        <v>5.0999999999999996</v>
      </c>
      <c r="AL363" s="11">
        <v>0</v>
      </c>
      <c r="AM363" s="11">
        <v>0</v>
      </c>
      <c r="AN363" s="11">
        <v>8.1000000000000003E-2</v>
      </c>
      <c r="AO363" s="11">
        <v>0</v>
      </c>
      <c r="AP363" s="11">
        <v>0</v>
      </c>
      <c r="AQ363" s="11">
        <v>0.30099999999999999</v>
      </c>
      <c r="AR363" s="11">
        <v>0.24399999999999999</v>
      </c>
      <c r="AS363" s="11">
        <v>1.948</v>
      </c>
      <c r="AT363" s="11">
        <v>0.36799999999999999</v>
      </c>
      <c r="AU363" s="11">
        <v>1.0760000000000001</v>
      </c>
      <c r="AV363" s="11">
        <v>2.7320000000000002</v>
      </c>
      <c r="AW363" s="11">
        <v>0.81299999999999994</v>
      </c>
      <c r="AX363" s="9">
        <f>Tabelle1[[#This Row],[Vitamin D3 '[µg/100g']]]*40</f>
        <v>16.48</v>
      </c>
      <c r="AY363" s="9">
        <f>Tabelle1[[#This Row],[Vitamin A '[µg/100g']]]*3.33</f>
        <v>26.64</v>
      </c>
      <c r="AZ363" s="9">
        <f>Tabelle1[[#This Row],[Vitamin E '[mg/100g']]]*1.49</f>
        <v>0.44700000000000001</v>
      </c>
    </row>
    <row r="364" spans="1:52" hidden="1" x14ac:dyDescent="0.45">
      <c r="A364" t="s">
        <v>58</v>
      </c>
      <c r="B364" s="3" t="s">
        <v>79</v>
      </c>
      <c r="C364" s="4" t="s">
        <v>80</v>
      </c>
      <c r="D364" s="11">
        <v>173</v>
      </c>
      <c r="E364" s="13">
        <f>Tabelle1[[#This Row],[Energie '[kcal/100g']]]/239</f>
        <v>0.72384937238493718</v>
      </c>
      <c r="F364" s="11">
        <v>28.77</v>
      </c>
      <c r="G364" s="11">
        <f>Tabelle1[[#This Row],[Rohprotein '[g/100g']]]*0.85</f>
        <v>24.454499999999999</v>
      </c>
      <c r="H364" s="11">
        <v>6.4240000000000004</v>
      </c>
      <c r="I364" s="11">
        <f>Tabelle1[[#This Row],[TS]]-Tabelle1[[#This Row],[Rohprotein '[g/100g']]]-Tabelle1[[#This Row],[Rohfett '[g/100g']]]-Tabelle1[[#This Row],[Rohasche '[g/100g']]]-Tabelle1[[#This Row],[Rohfaser '[g/100g']]]</f>
        <v>0.40000000000000235</v>
      </c>
      <c r="J364" s="11">
        <v>0</v>
      </c>
      <c r="K364" s="11">
        <v>1.03</v>
      </c>
      <c r="L364" s="11">
        <v>63.375999999999998</v>
      </c>
      <c r="M364" s="11">
        <f>100-Tabelle1[[#This Row],[Wasser '[g/100g']]]</f>
        <v>36.624000000000002</v>
      </c>
      <c r="N364" s="11">
        <v>4.6280000000000001</v>
      </c>
      <c r="O364" s="11">
        <v>162</v>
      </c>
      <c r="P364" s="11">
        <v>18.902000000000001</v>
      </c>
      <c r="Q364" s="11">
        <v>42</v>
      </c>
      <c r="R364" s="11">
        <v>246.637</v>
      </c>
      <c r="S364" s="11"/>
      <c r="T364" s="11">
        <v>3.468</v>
      </c>
      <c r="U364" s="11">
        <v>7.8769999999999998</v>
      </c>
      <c r="V364" s="11">
        <v>0</v>
      </c>
      <c r="W364" s="11">
        <v>105</v>
      </c>
      <c r="X364" s="11">
        <v>15</v>
      </c>
      <c r="Y364" s="11">
        <v>1.5</v>
      </c>
      <c r="Z364" s="11"/>
      <c r="AA364" s="11">
        <v>0.48499999999999999</v>
      </c>
      <c r="AB364" s="11">
        <v>0.4</v>
      </c>
      <c r="AC364" s="11">
        <v>9</v>
      </c>
      <c r="AD364" s="11">
        <v>6.0999999999999999E-2</v>
      </c>
      <c r="AE364" s="11">
        <v>0.245</v>
      </c>
      <c r="AF364" s="11">
        <v>4.25</v>
      </c>
      <c r="AG364" s="11">
        <v>159</v>
      </c>
      <c r="AH364" s="11">
        <v>1.27</v>
      </c>
      <c r="AI364" s="11">
        <v>0</v>
      </c>
      <c r="AJ364" s="11">
        <v>0</v>
      </c>
      <c r="AK364" s="11">
        <v>4</v>
      </c>
      <c r="AL364" s="11">
        <v>0</v>
      </c>
      <c r="AM364" s="11">
        <v>0</v>
      </c>
      <c r="AN364" s="11">
        <v>7.2999999999999995E-2</v>
      </c>
      <c r="AO364" s="11">
        <v>0</v>
      </c>
      <c r="AP364" s="11">
        <v>0</v>
      </c>
      <c r="AQ364" s="11">
        <v>0.26900000000000002</v>
      </c>
      <c r="AR364" s="11">
        <v>0.218</v>
      </c>
      <c r="AS364" s="11">
        <v>1.9650000000000001</v>
      </c>
      <c r="AT364" s="11">
        <v>0.372</v>
      </c>
      <c r="AU364" s="11">
        <v>1.085</v>
      </c>
      <c r="AV364" s="11">
        <v>2.7559999999999998</v>
      </c>
      <c r="AW364" s="11">
        <v>0.82</v>
      </c>
      <c r="AX364" s="9">
        <f>Tabelle1[[#This Row],[Vitamin D3 '[µg/100g']]]*40</f>
        <v>19.399999999999999</v>
      </c>
      <c r="AY364" s="9">
        <f>Tabelle1[[#This Row],[Vitamin A '[µg/100g']]]*3.33</f>
        <v>29.97</v>
      </c>
      <c r="AZ364" s="9">
        <f>Tabelle1[[#This Row],[Vitamin E '[mg/100g']]]*1.49</f>
        <v>0.59599999999999997</v>
      </c>
    </row>
    <row r="365" spans="1:52" hidden="1" x14ac:dyDescent="0.45">
      <c r="A365" t="s">
        <v>58</v>
      </c>
      <c r="B365" s="3" t="s">
        <v>81</v>
      </c>
      <c r="C365" s="4" t="s">
        <v>82</v>
      </c>
      <c r="D365" s="11">
        <v>128</v>
      </c>
      <c r="E365" s="13">
        <f>Tabelle1[[#This Row],[Energie '[kcal/100g']]]/239</f>
        <v>0.53556485355648531</v>
      </c>
      <c r="F365" s="11">
        <v>20.2</v>
      </c>
      <c r="G365" s="11">
        <f>Tabelle1[[#This Row],[Rohprotein '[g/100g']]]*0.85</f>
        <v>17.169999999999998</v>
      </c>
      <c r="H365" s="11">
        <v>5.3</v>
      </c>
      <c r="I365" s="11">
        <f>Tabelle1[[#This Row],[TS]]-Tabelle1[[#This Row],[Rohprotein '[g/100g']]]-Tabelle1[[#This Row],[Rohfett '[g/100g']]]-Tabelle1[[#This Row],[Rohasche '[g/100g']]]-Tabelle1[[#This Row],[Rohfaser '[g/100g']]]</f>
        <v>0.40000000000000657</v>
      </c>
      <c r="J365" s="11">
        <v>0</v>
      </c>
      <c r="K365" s="11">
        <v>1</v>
      </c>
      <c r="L365" s="11">
        <v>73.099999999999994</v>
      </c>
      <c r="M365" s="11">
        <f>100-Tabelle1[[#This Row],[Wasser '[g/100g']]]</f>
        <v>26.900000000000006</v>
      </c>
      <c r="N365" s="11">
        <v>3.8180000000000001</v>
      </c>
      <c r="O365" s="11">
        <v>165</v>
      </c>
      <c r="P365" s="11">
        <v>19.193000000000001</v>
      </c>
      <c r="Q365" s="11">
        <v>50</v>
      </c>
      <c r="R365" s="11">
        <v>295.964</v>
      </c>
      <c r="S365" s="11"/>
      <c r="T365" s="11">
        <v>2.2890000000000001</v>
      </c>
      <c r="U365" s="11">
        <v>5.1989999999999998</v>
      </c>
      <c r="V365" s="11">
        <v>0</v>
      </c>
      <c r="W365" s="11">
        <v>73</v>
      </c>
      <c r="X365" s="11">
        <v>10</v>
      </c>
      <c r="Y365" s="11">
        <v>2</v>
      </c>
      <c r="Z365" s="11"/>
      <c r="AA365" s="11">
        <v>0.4</v>
      </c>
      <c r="AB365" s="11">
        <v>0.3</v>
      </c>
      <c r="AC365" s="11">
        <v>7</v>
      </c>
      <c r="AD365" s="11">
        <v>0.09</v>
      </c>
      <c r="AE365" s="11">
        <v>0.19</v>
      </c>
      <c r="AF365" s="11">
        <v>5.0999999999999996</v>
      </c>
      <c r="AG365" s="11">
        <v>300</v>
      </c>
      <c r="AH365" s="11">
        <v>1.4</v>
      </c>
      <c r="AI365" s="11">
        <v>0</v>
      </c>
      <c r="AJ365" s="11">
        <v>0</v>
      </c>
      <c r="AK365" s="11">
        <v>4.0999999999999996</v>
      </c>
      <c r="AL365" s="11">
        <v>0</v>
      </c>
      <c r="AM365" s="11">
        <v>0</v>
      </c>
      <c r="AN365" s="11">
        <v>0.06</v>
      </c>
      <c r="AO365" s="11">
        <v>0</v>
      </c>
      <c r="AP365" s="11">
        <v>0</v>
      </c>
      <c r="AQ365" s="11">
        <v>0.222</v>
      </c>
      <c r="AR365" s="11">
        <v>0.18</v>
      </c>
      <c r="AS365" s="11">
        <v>1.38</v>
      </c>
      <c r="AT365" s="11">
        <v>0.26100000000000001</v>
      </c>
      <c r="AU365" s="11">
        <v>0.76200000000000001</v>
      </c>
      <c r="AV365" s="11">
        <v>1.9350000000000001</v>
      </c>
      <c r="AW365" s="11">
        <v>0.57599999999999996</v>
      </c>
      <c r="AX365" s="9">
        <f>Tabelle1[[#This Row],[Vitamin D3 '[µg/100g']]]*40</f>
        <v>16</v>
      </c>
      <c r="AY365" s="9">
        <f>Tabelle1[[#This Row],[Vitamin A '[µg/100g']]]*3.33</f>
        <v>23.310000000000002</v>
      </c>
      <c r="AZ365" s="9">
        <f>Tabelle1[[#This Row],[Vitamin E '[mg/100g']]]*1.49</f>
        <v>0.44700000000000001</v>
      </c>
    </row>
    <row r="366" spans="1:52" hidden="1" x14ac:dyDescent="0.45">
      <c r="A366" t="s">
        <v>58</v>
      </c>
      <c r="B366" s="5" t="s">
        <v>83</v>
      </c>
      <c r="C366" s="6" t="s">
        <v>84</v>
      </c>
      <c r="D366" s="13">
        <v>303</v>
      </c>
      <c r="E366" s="13">
        <f>Tabelle1[[#This Row],[Energie '[kcal/100g']]]/239</f>
        <v>1.2677824267782427</v>
      </c>
      <c r="F366" s="13">
        <v>26.577000000000002</v>
      </c>
      <c r="G366" s="11">
        <f>Tabelle1[[#This Row],[Rohprotein '[g/100g']]]*0.85</f>
        <v>22.590450000000001</v>
      </c>
      <c r="H366" s="13">
        <v>21.853000000000002</v>
      </c>
      <c r="I366" s="11">
        <f>Tabelle1[[#This Row],[TS]]-Tabelle1[[#This Row],[Rohprotein '[g/100g']]]-Tabelle1[[#This Row],[Rohfett '[g/100g']]]-Tabelle1[[#This Row],[Rohasche '[g/100g']]]-Tabelle1[[#This Row],[Rohfaser '[g/100g']]]</f>
        <v>0.56099999999999994</v>
      </c>
      <c r="J366" s="11">
        <v>0</v>
      </c>
      <c r="K366" s="13">
        <v>1.093</v>
      </c>
      <c r="L366" s="13">
        <v>49.915999999999997</v>
      </c>
      <c r="M366" s="13">
        <f>100-Tabelle1[[#This Row],[Wasser '[g/100g']]]</f>
        <v>50.084000000000003</v>
      </c>
      <c r="N366" s="13">
        <v>33.4</v>
      </c>
      <c r="O366" s="13">
        <v>177</v>
      </c>
      <c r="P366" s="13">
        <v>20.399999999999999</v>
      </c>
      <c r="Q366" s="13">
        <v>59</v>
      </c>
      <c r="R366" s="13">
        <v>309</v>
      </c>
      <c r="S366" s="13"/>
      <c r="T366" s="13">
        <v>2.6280000000000001</v>
      </c>
      <c r="U366" s="13">
        <v>6.0389999999999997</v>
      </c>
      <c r="V366" s="11">
        <v>0</v>
      </c>
      <c r="W366" s="13">
        <v>108</v>
      </c>
      <c r="X366" s="13">
        <v>20</v>
      </c>
      <c r="Y366" s="13">
        <v>4.0250000000000004</v>
      </c>
      <c r="Z366" s="13"/>
      <c r="AA366" s="13">
        <v>0.6</v>
      </c>
      <c r="AB366" s="13">
        <v>0.54</v>
      </c>
      <c r="AC366" s="13">
        <v>21</v>
      </c>
      <c r="AD366" s="13">
        <v>4.8000000000000001E-2</v>
      </c>
      <c r="AE366" s="13">
        <v>0.28699999999999998</v>
      </c>
      <c r="AF366" s="13">
        <v>6.4939999999999998</v>
      </c>
      <c r="AG366" s="13">
        <v>140</v>
      </c>
      <c r="AH366" s="13">
        <v>4.4000000000000004</v>
      </c>
      <c r="AI366" s="13">
        <v>0</v>
      </c>
      <c r="AJ366" s="13">
        <v>1.5</v>
      </c>
      <c r="AK366" s="13">
        <v>2</v>
      </c>
      <c r="AL366" s="13">
        <v>3</v>
      </c>
      <c r="AM366" s="13">
        <v>0</v>
      </c>
      <c r="AN366" s="13">
        <v>2.7699999999999999E-2</v>
      </c>
      <c r="AO366" s="11">
        <v>0</v>
      </c>
      <c r="AP366" s="11">
        <v>0</v>
      </c>
      <c r="AQ366" s="13">
        <v>0.501</v>
      </c>
      <c r="AR366" s="13">
        <v>0.48399999999999999</v>
      </c>
      <c r="AS366" s="13">
        <v>1.855</v>
      </c>
      <c r="AT366" s="13">
        <v>0.33900000000000002</v>
      </c>
      <c r="AU366" s="13">
        <v>0.98499999999999999</v>
      </c>
      <c r="AV366" s="13">
        <v>2.7480000000000002</v>
      </c>
      <c r="AW366" s="13">
        <v>0.79300000000000004</v>
      </c>
      <c r="AX366" s="9">
        <f>Tabelle1[[#This Row],[Vitamin D3 '[µg/100g']]]*40</f>
        <v>24</v>
      </c>
      <c r="AY366" s="9">
        <f>Tabelle1[[#This Row],[Vitamin A '[µg/100g']]]*3.33</f>
        <v>69.930000000000007</v>
      </c>
      <c r="AZ366" s="9">
        <f>Tabelle1[[#This Row],[Vitamin E '[mg/100g']]]*1.49</f>
        <v>0.80460000000000009</v>
      </c>
    </row>
    <row r="367" spans="1:52" hidden="1" x14ac:dyDescent="0.45">
      <c r="A367" t="s">
        <v>58</v>
      </c>
      <c r="B367" s="3" t="s">
        <v>85</v>
      </c>
      <c r="C367" s="4" t="s">
        <v>86</v>
      </c>
      <c r="D367" s="11">
        <v>299</v>
      </c>
      <c r="E367" s="13">
        <f>Tabelle1[[#This Row],[Energie '[kcal/100g']]]/239</f>
        <v>1.2510460251046025</v>
      </c>
      <c r="F367" s="11">
        <v>28.652999999999999</v>
      </c>
      <c r="G367" s="11">
        <f>Tabelle1[[#This Row],[Rohprotein '[g/100g']]]*0.85</f>
        <v>24.355049999999999</v>
      </c>
      <c r="H367" s="11">
        <v>20.488</v>
      </c>
      <c r="I367" s="11">
        <f>Tabelle1[[#This Row],[TS]]-Tabelle1[[#This Row],[Rohprotein '[g/100g']]]-Tabelle1[[#This Row],[Rohfett '[g/100g']]]-Tabelle1[[#This Row],[Rohasche '[g/100g']]]-Tabelle1[[#This Row],[Rohfaser '[g/100g']]]</f>
        <v>0.5610000000000035</v>
      </c>
      <c r="J367" s="11">
        <v>0</v>
      </c>
      <c r="K367" s="11">
        <v>0.71799999999999997</v>
      </c>
      <c r="L367" s="11">
        <v>49.58</v>
      </c>
      <c r="M367" s="11">
        <f>100-Tabelle1[[#This Row],[Wasser '[g/100g']]]</f>
        <v>50.42</v>
      </c>
      <c r="N367" s="11">
        <v>34.1</v>
      </c>
      <c r="O367" s="11">
        <v>170</v>
      </c>
      <c r="P367" s="11">
        <v>20.399999999999999</v>
      </c>
      <c r="Q367" s="11">
        <v>53</v>
      </c>
      <c r="R367" s="11">
        <v>280</v>
      </c>
      <c r="S367" s="11"/>
      <c r="T367" s="11">
        <v>3.0830000000000002</v>
      </c>
      <c r="U367" s="11">
        <v>6.9450000000000003</v>
      </c>
      <c r="V367" s="11">
        <v>0</v>
      </c>
      <c r="W367" s="11">
        <v>120</v>
      </c>
      <c r="X367" s="11">
        <v>23</v>
      </c>
      <c r="Y367" s="11">
        <v>3.5609999999999999</v>
      </c>
      <c r="Z367" s="11"/>
      <c r="AA367" s="11">
        <v>0.74</v>
      </c>
      <c r="AB367" s="11">
        <v>0.65</v>
      </c>
      <c r="AC367" s="11">
        <v>24</v>
      </c>
      <c r="AD367" s="11">
        <v>0.04</v>
      </c>
      <c r="AE367" s="11">
        <v>0.312</v>
      </c>
      <c r="AF367" s="11">
        <v>5.7039999999999997</v>
      </c>
      <c r="AG367" s="11">
        <v>117</v>
      </c>
      <c r="AH367" s="11">
        <v>4.3</v>
      </c>
      <c r="AI367" s="11">
        <v>0</v>
      </c>
      <c r="AJ367" s="11">
        <v>1.8</v>
      </c>
      <c r="AK367" s="11">
        <v>2</v>
      </c>
      <c r="AL367" s="11">
        <v>2</v>
      </c>
      <c r="AM367" s="11">
        <v>0</v>
      </c>
      <c r="AN367" s="11">
        <v>2.5999999999999999E-2</v>
      </c>
      <c r="AO367" s="11">
        <v>0</v>
      </c>
      <c r="AP367" s="11">
        <v>0</v>
      </c>
      <c r="AQ367" s="11">
        <v>0.47</v>
      </c>
      <c r="AR367" s="11">
        <v>0.45400000000000001</v>
      </c>
      <c r="AS367" s="11">
        <v>2</v>
      </c>
      <c r="AT367" s="11">
        <v>0.36599999999999999</v>
      </c>
      <c r="AU367" s="11">
        <v>1.0620000000000001</v>
      </c>
      <c r="AV367" s="11">
        <v>2.9620000000000002</v>
      </c>
      <c r="AW367" s="11">
        <v>0.85499999999999998</v>
      </c>
      <c r="AX367" s="9">
        <f>Tabelle1[[#This Row],[Vitamin D3 '[µg/100g']]]*40</f>
        <v>29.6</v>
      </c>
      <c r="AY367" s="9">
        <f>Tabelle1[[#This Row],[Vitamin A '[µg/100g']]]*3.33</f>
        <v>79.92</v>
      </c>
      <c r="AZ367" s="9">
        <f>Tabelle1[[#This Row],[Vitamin E '[mg/100g']]]*1.49</f>
        <v>0.96850000000000003</v>
      </c>
    </row>
    <row r="368" spans="1:52" hidden="1" x14ac:dyDescent="0.45">
      <c r="A368" t="s">
        <v>58</v>
      </c>
      <c r="B368" s="5" t="s">
        <v>87</v>
      </c>
      <c r="C368" s="6" t="s">
        <v>88</v>
      </c>
      <c r="D368" s="13">
        <v>297</v>
      </c>
      <c r="E368" s="13">
        <f>Tabelle1[[#This Row],[Energie '[kcal/100g']]]/239</f>
        <v>1.2426778242677825</v>
      </c>
      <c r="F368" s="13">
        <v>28.056000000000001</v>
      </c>
      <c r="G368" s="11">
        <f>Tabelle1[[#This Row],[Rohprotein '[g/100g']]]*0.85</f>
        <v>23.8476</v>
      </c>
      <c r="H368" s="13">
        <v>20.488</v>
      </c>
      <c r="I368" s="11">
        <f>Tabelle1[[#This Row],[TS]]-Tabelle1[[#This Row],[Rohprotein '[g/100g']]]-Tabelle1[[#This Row],[Rohfett '[g/100g']]]-Tabelle1[[#This Row],[Rohasche '[g/100g']]]-Tabelle1[[#This Row],[Rohfaser '[g/100g']]]</f>
        <v>0.56100000000000194</v>
      </c>
      <c r="J368" s="11">
        <v>0</v>
      </c>
      <c r="K368" s="13">
        <v>1.1439999999999999</v>
      </c>
      <c r="L368" s="13">
        <v>49.750999999999998</v>
      </c>
      <c r="M368" s="13">
        <f>100-Tabelle1[[#This Row],[Wasser '[g/100g']]]</f>
        <v>50.249000000000002</v>
      </c>
      <c r="N368" s="13">
        <v>36.799999999999997</v>
      </c>
      <c r="O368" s="13">
        <v>209</v>
      </c>
      <c r="P368" s="13">
        <v>23.5</v>
      </c>
      <c r="Q368" s="13">
        <v>54</v>
      </c>
      <c r="R368" s="13">
        <v>295</v>
      </c>
      <c r="S368" s="13"/>
      <c r="T368" s="13">
        <v>2.891</v>
      </c>
      <c r="U368" s="13">
        <v>6.5110000000000001</v>
      </c>
      <c r="V368" s="11">
        <v>0</v>
      </c>
      <c r="W368" s="13">
        <v>119</v>
      </c>
      <c r="X368" s="13">
        <v>22</v>
      </c>
      <c r="Y368" s="13">
        <v>3.472</v>
      </c>
      <c r="Z368" s="13"/>
      <c r="AA368" s="13">
        <v>0.74</v>
      </c>
      <c r="AB368" s="13">
        <v>0.65</v>
      </c>
      <c r="AC368" s="13">
        <v>24</v>
      </c>
      <c r="AD368" s="13">
        <v>4.5999999999999999E-2</v>
      </c>
      <c r="AE368" s="13">
        <v>0.29199999999999998</v>
      </c>
      <c r="AF368" s="13">
        <v>7.0010000000000003</v>
      </c>
      <c r="AG368" s="13">
        <v>173</v>
      </c>
      <c r="AH368" s="13">
        <v>4.8</v>
      </c>
      <c r="AI368" s="13">
        <v>0</v>
      </c>
      <c r="AJ368" s="13">
        <v>1.8</v>
      </c>
      <c r="AK368" s="13">
        <v>2</v>
      </c>
      <c r="AL368" s="13">
        <v>2</v>
      </c>
      <c r="AM368" s="13">
        <v>0</v>
      </c>
      <c r="AN368" s="13">
        <v>2.5999999999999999E-2</v>
      </c>
      <c r="AO368" s="11">
        <v>0</v>
      </c>
      <c r="AP368" s="11">
        <v>0</v>
      </c>
      <c r="AQ368" s="13">
        <v>0.47</v>
      </c>
      <c r="AR368" s="13">
        <v>0.45400000000000001</v>
      </c>
      <c r="AS368" s="13">
        <v>1.958</v>
      </c>
      <c r="AT368" s="13">
        <v>0.35799999999999998</v>
      </c>
      <c r="AU368" s="13">
        <v>1.04</v>
      </c>
      <c r="AV368" s="13">
        <v>2.9009999999999998</v>
      </c>
      <c r="AW368" s="13">
        <v>0.83699999999999997</v>
      </c>
      <c r="AX368" s="9">
        <f>Tabelle1[[#This Row],[Vitamin D3 '[µg/100g']]]*40</f>
        <v>29.6</v>
      </c>
      <c r="AY368" s="9">
        <f>Tabelle1[[#This Row],[Vitamin A '[µg/100g']]]*3.33</f>
        <v>79.92</v>
      </c>
      <c r="AZ368" s="9">
        <f>Tabelle1[[#This Row],[Vitamin E '[mg/100g']]]*1.49</f>
        <v>0.96850000000000003</v>
      </c>
    </row>
    <row r="369" spans="1:52" hidden="1" x14ac:dyDescent="0.45">
      <c r="A369" t="s">
        <v>58</v>
      </c>
      <c r="B369" s="5" t="s">
        <v>89</v>
      </c>
      <c r="C369" s="6" t="s">
        <v>90</v>
      </c>
      <c r="D369" s="13">
        <v>224</v>
      </c>
      <c r="E369" s="13">
        <f>Tabelle1[[#This Row],[Energie '[kcal/100g']]]/239</f>
        <v>0.93723849372384938</v>
      </c>
      <c r="F369" s="13">
        <v>19.102</v>
      </c>
      <c r="G369" s="11">
        <f>Tabelle1[[#This Row],[Rohprotein '[g/100g']]]*0.85</f>
        <v>16.236699999999999</v>
      </c>
      <c r="H369" s="13">
        <v>16.39</v>
      </c>
      <c r="I369" s="11">
        <f>Tabelle1[[#This Row],[TS]]-Tabelle1[[#This Row],[Rohprotein '[g/100g']]]-Tabelle1[[#This Row],[Rohfett '[g/100g']]]-Tabelle1[[#This Row],[Rohasche '[g/100g']]]-Tabelle1[[#This Row],[Rohfaser '[g/100g']]]</f>
        <v>0.56100000000000172</v>
      </c>
      <c r="J369" s="11">
        <v>0</v>
      </c>
      <c r="K369" s="13">
        <v>1.077</v>
      </c>
      <c r="L369" s="13">
        <v>62.87</v>
      </c>
      <c r="M369" s="13">
        <f>100-Tabelle1[[#This Row],[Wasser '[g/100g']]]</f>
        <v>37.130000000000003</v>
      </c>
      <c r="N369" s="13">
        <v>25.6</v>
      </c>
      <c r="O369" s="13">
        <v>157</v>
      </c>
      <c r="P369" s="13">
        <v>18.8</v>
      </c>
      <c r="Q369" s="13">
        <v>58</v>
      </c>
      <c r="R369" s="13">
        <v>305</v>
      </c>
      <c r="S369" s="13"/>
      <c r="T369" s="13">
        <v>1.85</v>
      </c>
      <c r="U369" s="13">
        <v>4.1669999999999998</v>
      </c>
      <c r="V369" s="11">
        <v>0</v>
      </c>
      <c r="W369" s="13">
        <v>76</v>
      </c>
      <c r="X369" s="13">
        <v>14</v>
      </c>
      <c r="Y369" s="13">
        <v>4.2729999999999997</v>
      </c>
      <c r="Z369" s="13"/>
      <c r="AA369" s="13">
        <v>0.59</v>
      </c>
      <c r="AB369" s="13">
        <v>0.52</v>
      </c>
      <c r="AC369" s="13">
        <v>8</v>
      </c>
      <c r="AD369" s="13">
        <v>5.2999999999999999E-2</v>
      </c>
      <c r="AE369" s="13">
        <v>0.22</v>
      </c>
      <c r="AF369" s="13">
        <v>6.2229999999999999</v>
      </c>
      <c r="AG369" s="13">
        <v>201</v>
      </c>
      <c r="AH369" s="13">
        <v>4.3</v>
      </c>
      <c r="AI369" s="13">
        <v>0</v>
      </c>
      <c r="AJ369" s="13">
        <v>1.5</v>
      </c>
      <c r="AK369" s="13">
        <v>4.0999999999999996</v>
      </c>
      <c r="AL369" s="13">
        <v>2</v>
      </c>
      <c r="AM369" s="13">
        <v>0</v>
      </c>
      <c r="AN369" s="13">
        <v>2.0799999999999999E-2</v>
      </c>
      <c r="AO369" s="11">
        <v>0</v>
      </c>
      <c r="AP369" s="11">
        <v>0</v>
      </c>
      <c r="AQ369" s="13">
        <v>0.375</v>
      </c>
      <c r="AR369" s="13">
        <v>0.36299999999999999</v>
      </c>
      <c r="AS369" s="13">
        <v>1.333</v>
      </c>
      <c r="AT369" s="13">
        <v>0.24399999999999999</v>
      </c>
      <c r="AU369" s="13">
        <v>0.70799999999999996</v>
      </c>
      <c r="AV369" s="13">
        <v>1.9750000000000001</v>
      </c>
      <c r="AW369" s="13">
        <v>0.56999999999999995</v>
      </c>
      <c r="AX369" s="9">
        <f>Tabelle1[[#This Row],[Vitamin D3 '[µg/100g']]]*40</f>
        <v>23.599999999999998</v>
      </c>
      <c r="AY369" s="9">
        <f>Tabelle1[[#This Row],[Vitamin A '[µg/100g']]]*3.33</f>
        <v>26.64</v>
      </c>
      <c r="AZ369" s="9">
        <f>Tabelle1[[#This Row],[Vitamin E '[mg/100g']]]*1.49</f>
        <v>0.77480000000000004</v>
      </c>
    </row>
    <row r="370" spans="1:52" hidden="1" x14ac:dyDescent="0.45">
      <c r="A370" t="s">
        <v>58</v>
      </c>
      <c r="B370" s="3" t="s">
        <v>91</v>
      </c>
      <c r="C370" s="4" t="s">
        <v>92</v>
      </c>
      <c r="D370" s="11">
        <v>199</v>
      </c>
      <c r="E370" s="13">
        <f>Tabelle1[[#This Row],[Energie '[kcal/100g']]]/239</f>
        <v>0.83263598326359833</v>
      </c>
      <c r="F370" s="11">
        <v>27.943999999999999</v>
      </c>
      <c r="G370" s="11">
        <f>Tabelle1[[#This Row],[Rohprotein '[g/100g']]]*0.85</f>
        <v>23.752399999999998</v>
      </c>
      <c r="H370" s="11">
        <v>9.7379999999999995</v>
      </c>
      <c r="I370" s="11">
        <f>Tabelle1[[#This Row],[TS]]-Tabelle1[[#This Row],[Rohprotein '[g/100g']]]-Tabelle1[[#This Row],[Rohfett '[g/100g']]]-Tabelle1[[#This Row],[Rohasche '[g/100g']]]-Tabelle1[[#This Row],[Rohfaser '[g/100g']]]</f>
        <v>-4.4269999999999925</v>
      </c>
      <c r="J370" s="11">
        <v>0</v>
      </c>
      <c r="K370" s="11">
        <v>0.64500000000000002</v>
      </c>
      <c r="L370" s="11">
        <v>66.099999999999994</v>
      </c>
      <c r="M370" s="11">
        <f>100-Tabelle1[[#This Row],[Wasser '[g/100g']]]</f>
        <v>33.900000000000006</v>
      </c>
      <c r="N370" s="11">
        <v>8.36</v>
      </c>
      <c r="O370" s="11">
        <v>162</v>
      </c>
      <c r="P370" s="11">
        <v>16.957000000000001</v>
      </c>
      <c r="Q370" s="11">
        <v>31</v>
      </c>
      <c r="R370" s="11">
        <v>235.624</v>
      </c>
      <c r="S370" s="11"/>
      <c r="T370" s="11">
        <v>3.282</v>
      </c>
      <c r="U370" s="11">
        <v>9.1579999999999995</v>
      </c>
      <c r="V370" s="11">
        <v>0</v>
      </c>
      <c r="W370" s="11">
        <v>98</v>
      </c>
      <c r="X370" s="11">
        <v>19</v>
      </c>
      <c r="Y370" s="11">
        <v>1.7</v>
      </c>
      <c r="Z370" s="11"/>
      <c r="AA370" s="11">
        <v>0.48399999999999999</v>
      </c>
      <c r="AB370" s="11">
        <v>0.4</v>
      </c>
      <c r="AC370" s="11">
        <v>9</v>
      </c>
      <c r="AD370" s="11">
        <v>5.8000000000000003E-2</v>
      </c>
      <c r="AE370" s="11">
        <v>0.245</v>
      </c>
      <c r="AF370" s="11">
        <v>4.194</v>
      </c>
      <c r="AG370" s="11">
        <v>194</v>
      </c>
      <c r="AH370" s="11">
        <v>3.55</v>
      </c>
      <c r="AI370" s="11">
        <v>0</v>
      </c>
      <c r="AJ370" s="11">
        <v>0</v>
      </c>
      <c r="AK370" s="11">
        <v>4.3</v>
      </c>
      <c r="AL370" s="11">
        <v>0</v>
      </c>
      <c r="AM370" s="11">
        <v>0</v>
      </c>
      <c r="AN370" s="11">
        <v>0.121</v>
      </c>
      <c r="AO370" s="11">
        <v>0</v>
      </c>
      <c r="AP370" s="11">
        <v>0</v>
      </c>
      <c r="AQ370" s="11">
        <v>0.20599999999999999</v>
      </c>
      <c r="AR370" s="11">
        <v>0.20599999999999999</v>
      </c>
      <c r="AS370" s="11">
        <v>1.931</v>
      </c>
      <c r="AT370" s="11">
        <v>0.377</v>
      </c>
      <c r="AU370" s="11">
        <v>1.06</v>
      </c>
      <c r="AV370" s="11">
        <v>2.7</v>
      </c>
      <c r="AW370" s="11">
        <v>0.79800000000000004</v>
      </c>
      <c r="AX370" s="9">
        <f>Tabelle1[[#This Row],[Vitamin D3 '[µg/100g']]]*40</f>
        <v>19.36</v>
      </c>
      <c r="AY370" s="9">
        <f>Tabelle1[[#This Row],[Vitamin A '[µg/100g']]]*3.33</f>
        <v>29.97</v>
      </c>
      <c r="AZ370" s="9">
        <f>Tabelle1[[#This Row],[Vitamin E '[mg/100g']]]*1.49</f>
        <v>0.59599999999999997</v>
      </c>
    </row>
    <row r="371" spans="1:52" hidden="1" x14ac:dyDescent="0.45">
      <c r="A371" t="s">
        <v>58</v>
      </c>
      <c r="B371" s="3" t="s">
        <v>93</v>
      </c>
      <c r="C371" s="4" t="s">
        <v>94</v>
      </c>
      <c r="D371" s="11">
        <v>186</v>
      </c>
      <c r="E371" s="13">
        <f>Tabelle1[[#This Row],[Energie '[kcal/100g']]]/239</f>
        <v>0.77824267782426781</v>
      </c>
      <c r="F371" s="11">
        <v>25.85</v>
      </c>
      <c r="G371" s="11">
        <f>Tabelle1[[#This Row],[Rohprotein '[g/100g']]]*0.85</f>
        <v>21.9725</v>
      </c>
      <c r="H371" s="11">
        <v>9.1999999999999993</v>
      </c>
      <c r="I371" s="11">
        <f>Tabelle1[[#This Row],[TS]]-Tabelle1[[#This Row],[Rohprotein '[g/100g']]]-Tabelle1[[#This Row],[Rohfett '[g/100g']]]-Tabelle1[[#This Row],[Rohasche '[g/100g']]]-Tabelle1[[#This Row],[Rohfaser '[g/100g']]]</f>
        <v>-4.4210000000000065</v>
      </c>
      <c r="J371" s="11">
        <v>0</v>
      </c>
      <c r="K371" s="11">
        <v>0.97099999999999997</v>
      </c>
      <c r="L371" s="11">
        <v>68.400000000000006</v>
      </c>
      <c r="M371" s="11">
        <f>100-Tabelle1[[#This Row],[Wasser '[g/100g']]]</f>
        <v>31.599999999999994</v>
      </c>
      <c r="N371" s="11">
        <v>8.52</v>
      </c>
      <c r="O371" s="11">
        <v>188</v>
      </c>
      <c r="P371" s="11">
        <v>20.024999999999999</v>
      </c>
      <c r="Q371" s="11">
        <v>37</v>
      </c>
      <c r="R371" s="11">
        <v>258.78300000000002</v>
      </c>
      <c r="S371" s="11"/>
      <c r="T371" s="11">
        <v>2.907</v>
      </c>
      <c r="U371" s="11">
        <v>8.1110000000000007</v>
      </c>
      <c r="V371" s="11">
        <v>0</v>
      </c>
      <c r="W371" s="11">
        <v>91</v>
      </c>
      <c r="X371" s="11">
        <v>17</v>
      </c>
      <c r="Y371" s="11">
        <v>1.5</v>
      </c>
      <c r="Z371" s="11"/>
      <c r="AA371" s="11">
        <v>0.45700000000000002</v>
      </c>
      <c r="AB371" s="11">
        <v>0.3</v>
      </c>
      <c r="AC371" s="11">
        <v>7</v>
      </c>
      <c r="AD371" s="11">
        <v>7.0999999999999994E-2</v>
      </c>
      <c r="AE371" s="11">
        <v>0.23100000000000001</v>
      </c>
      <c r="AF371" s="11">
        <v>5.3490000000000002</v>
      </c>
      <c r="AG371" s="11">
        <v>236</v>
      </c>
      <c r="AH371" s="11">
        <v>3.77</v>
      </c>
      <c r="AI371" s="11">
        <v>0</v>
      </c>
      <c r="AJ371" s="11">
        <v>0</v>
      </c>
      <c r="AK371" s="11">
        <v>4.5999999999999996</v>
      </c>
      <c r="AL371" s="11">
        <v>0</v>
      </c>
      <c r="AM371" s="11">
        <v>0</v>
      </c>
      <c r="AN371" s="11">
        <v>0.114</v>
      </c>
      <c r="AO371" s="11">
        <v>0</v>
      </c>
      <c r="AP371" s="11">
        <v>0</v>
      </c>
      <c r="AQ371" s="11">
        <v>0.19400000000000001</v>
      </c>
      <c r="AR371" s="11">
        <v>0.19400000000000001</v>
      </c>
      <c r="AS371" s="11">
        <v>1.786</v>
      </c>
      <c r="AT371" s="11">
        <v>0.34899999999999998</v>
      </c>
      <c r="AU371" s="11">
        <v>0.98</v>
      </c>
      <c r="AV371" s="11">
        <v>2.4980000000000002</v>
      </c>
      <c r="AW371" s="11">
        <v>0.73899999999999999</v>
      </c>
      <c r="AX371" s="9">
        <f>Tabelle1[[#This Row],[Vitamin D3 '[µg/100g']]]*40</f>
        <v>18.28</v>
      </c>
      <c r="AY371" s="9">
        <f>Tabelle1[[#This Row],[Vitamin A '[µg/100g']]]*3.33</f>
        <v>23.310000000000002</v>
      </c>
      <c r="AZ371" s="9">
        <f>Tabelle1[[#This Row],[Vitamin E '[mg/100g']]]*1.49</f>
        <v>0.44700000000000001</v>
      </c>
    </row>
    <row r="372" spans="1:52" hidden="1" x14ac:dyDescent="0.45">
      <c r="A372" t="s">
        <v>58</v>
      </c>
      <c r="B372" s="3" t="s">
        <v>95</v>
      </c>
      <c r="C372" s="4" t="s">
        <v>96</v>
      </c>
      <c r="D372" s="11">
        <v>149</v>
      </c>
      <c r="E372" s="13">
        <f>Tabelle1[[#This Row],[Energie '[kcal/100g']]]/239</f>
        <v>0.62343096234309625</v>
      </c>
      <c r="F372" s="11">
        <v>19.25</v>
      </c>
      <c r="G372" s="11">
        <f>Tabelle1[[#This Row],[Rohprotein '[g/100g']]]*0.85</f>
        <v>16.362500000000001</v>
      </c>
      <c r="H372" s="11">
        <v>8.0500000000000007</v>
      </c>
      <c r="I372" s="11">
        <f>Tabelle1[[#This Row],[TS]]-Tabelle1[[#This Row],[Rohprotein '[g/100g']]]-Tabelle1[[#This Row],[Rohfett '[g/100g']]]-Tabelle1[[#This Row],[Rohasche '[g/100g']]]-Tabelle1[[#This Row],[Rohfaser '[g/100g']]]</f>
        <v>-4.399999999999995</v>
      </c>
      <c r="J372" s="11">
        <v>0</v>
      </c>
      <c r="K372" s="11">
        <v>1</v>
      </c>
      <c r="L372" s="11">
        <v>76.099999999999994</v>
      </c>
      <c r="M372" s="11">
        <f>100-Tabelle1[[#This Row],[Wasser '[g/100g']]]</f>
        <v>23.900000000000006</v>
      </c>
      <c r="N372" s="11">
        <v>6.48</v>
      </c>
      <c r="O372" s="11">
        <v>155</v>
      </c>
      <c r="P372" s="11">
        <v>17.521999999999998</v>
      </c>
      <c r="Q372" s="11">
        <v>43</v>
      </c>
      <c r="R372" s="11">
        <v>292.17399999999998</v>
      </c>
      <c r="S372" s="11"/>
      <c r="T372" s="11">
        <v>2.0350000000000001</v>
      </c>
      <c r="U372" s="11">
        <v>5.6779999999999999</v>
      </c>
      <c r="V372" s="11">
        <v>0</v>
      </c>
      <c r="W372" s="11">
        <v>64</v>
      </c>
      <c r="X372" s="11">
        <v>12</v>
      </c>
      <c r="Y372" s="11">
        <v>2</v>
      </c>
      <c r="Z372" s="11"/>
      <c r="AA372" s="11">
        <v>0.4</v>
      </c>
      <c r="AB372" s="11">
        <v>0.3</v>
      </c>
      <c r="AC372" s="11">
        <v>4</v>
      </c>
      <c r="AD372" s="11">
        <v>0.09</v>
      </c>
      <c r="AE372" s="11">
        <v>0.19</v>
      </c>
      <c r="AF372" s="11">
        <v>5.2</v>
      </c>
      <c r="AG372" s="11">
        <v>300</v>
      </c>
      <c r="AH372" s="11">
        <v>3.67</v>
      </c>
      <c r="AI372" s="11">
        <v>0</v>
      </c>
      <c r="AJ372" s="11">
        <v>0</v>
      </c>
      <c r="AK372" s="11">
        <v>5</v>
      </c>
      <c r="AL372" s="11">
        <v>0</v>
      </c>
      <c r="AM372" s="11">
        <v>0</v>
      </c>
      <c r="AN372" s="11">
        <v>0.1</v>
      </c>
      <c r="AO372" s="11">
        <v>0</v>
      </c>
      <c r="AP372" s="11">
        <v>0</v>
      </c>
      <c r="AQ372" s="11">
        <v>0.17</v>
      </c>
      <c r="AR372" s="11">
        <v>0.17</v>
      </c>
      <c r="AS372" s="11">
        <v>1.33</v>
      </c>
      <c r="AT372" s="11">
        <v>0.26</v>
      </c>
      <c r="AU372" s="11">
        <v>0.73</v>
      </c>
      <c r="AV372" s="11">
        <v>1.86</v>
      </c>
      <c r="AW372" s="11">
        <v>0.55000000000000004</v>
      </c>
      <c r="AX372" s="9">
        <f>Tabelle1[[#This Row],[Vitamin D3 '[µg/100g']]]*40</f>
        <v>16</v>
      </c>
      <c r="AY372" s="9">
        <f>Tabelle1[[#This Row],[Vitamin A '[µg/100g']]]*3.33</f>
        <v>13.32</v>
      </c>
      <c r="AZ372" s="9">
        <f>Tabelle1[[#This Row],[Vitamin E '[mg/100g']]]*1.49</f>
        <v>0.44700000000000001</v>
      </c>
    </row>
    <row r="373" spans="1:52" hidden="1" x14ac:dyDescent="0.45">
      <c r="A373" t="s">
        <v>1151</v>
      </c>
      <c r="B373" s="3" t="s">
        <v>1093</v>
      </c>
      <c r="C373" s="4" t="s">
        <v>1094</v>
      </c>
      <c r="D373" s="11">
        <v>176</v>
      </c>
      <c r="E373" s="11">
        <f>Tabelle1[[#This Row],[Energie '[kcal/100g']]]/239</f>
        <v>0.7364016736401674</v>
      </c>
      <c r="F373" s="11">
        <v>24.812000000000001</v>
      </c>
      <c r="G373" s="11">
        <f>Tabelle1[[#This Row],[Rohprotein '[g/100g']]]*0.85</f>
        <v>21.090199999999999</v>
      </c>
      <c r="H373" s="11">
        <v>8.4920000000000009</v>
      </c>
      <c r="I373" s="11">
        <f>Tabelle1[[#This Row],[TS]]-Tabelle1[[#This Row],[Rohprotein '[g/100g']]]-Tabelle1[[#This Row],[Rohfett '[g/100g']]]-Tabelle1[[#This Row],[Rohasche '[g/100g']]]-Tabelle1[[#This Row],[Rohfaser '[g/100g']]]</f>
        <v>0.59999999999999654</v>
      </c>
      <c r="J373" s="11">
        <v>0</v>
      </c>
      <c r="K373" s="11">
        <v>1.1850000000000001</v>
      </c>
      <c r="L373" s="11">
        <v>64.911000000000001</v>
      </c>
      <c r="M373" s="11">
        <f>100-Tabelle1[[#This Row],[Wasser '[g/100g']]]</f>
        <v>35.088999999999999</v>
      </c>
      <c r="N373" s="11">
        <v>10.220000000000001</v>
      </c>
      <c r="O373" s="11">
        <v>223</v>
      </c>
      <c r="P373" s="11">
        <v>24.2</v>
      </c>
      <c r="Q373" s="11">
        <v>141</v>
      </c>
      <c r="R373" s="11">
        <v>238</v>
      </c>
      <c r="S373" s="11"/>
      <c r="T373" s="11">
        <v>6.0309999999999997</v>
      </c>
      <c r="U373" s="11">
        <v>2.077</v>
      </c>
      <c r="V373" s="11">
        <v>0</v>
      </c>
      <c r="W373" s="11">
        <v>462</v>
      </c>
      <c r="X373" s="11">
        <v>51</v>
      </c>
      <c r="Y373" s="11">
        <v>2.2200000000000002</v>
      </c>
      <c r="Z373" s="11"/>
      <c r="AA373" s="11">
        <v>0</v>
      </c>
      <c r="AB373" s="11">
        <v>0.377</v>
      </c>
      <c r="AC373" s="11">
        <v>7</v>
      </c>
      <c r="AD373" s="11">
        <v>0.45500000000000002</v>
      </c>
      <c r="AE373" s="11">
        <v>1.232</v>
      </c>
      <c r="AF373" s="11">
        <v>9.3889999999999993</v>
      </c>
      <c r="AG373" s="11">
        <v>250</v>
      </c>
      <c r="AH373" s="11">
        <v>12.2</v>
      </c>
      <c r="AI373" s="11">
        <v>6.3460000000000001</v>
      </c>
      <c r="AJ373" s="11">
        <v>0</v>
      </c>
      <c r="AK373" s="11">
        <v>1</v>
      </c>
      <c r="AL373" s="11">
        <v>10</v>
      </c>
      <c r="AM373" s="11">
        <v>0</v>
      </c>
      <c r="AN373" s="11">
        <v>0.23400000000000001</v>
      </c>
      <c r="AO373" s="11">
        <v>1.1000000000000001E-3</v>
      </c>
      <c r="AP373" s="11">
        <v>0</v>
      </c>
      <c r="AQ373" s="11">
        <v>0.21199999999999999</v>
      </c>
      <c r="AR373" s="11">
        <v>0.14399999999999999</v>
      </c>
      <c r="AS373" s="11">
        <v>1.772</v>
      </c>
      <c r="AT373" s="11">
        <v>0.36899999999999999</v>
      </c>
      <c r="AU373" s="11">
        <v>0.73799999999999999</v>
      </c>
      <c r="AV373" s="11">
        <v>2.585</v>
      </c>
      <c r="AW373" s="11">
        <v>0.753</v>
      </c>
      <c r="AX373" s="9">
        <f>Tabelle1[[#This Row],[Vitamin D3 '[µg/100g']]]*40</f>
        <v>0</v>
      </c>
      <c r="AY373" s="9">
        <f>Tabelle1[[#This Row],[Vitamin A '[µg/100g']]]*3.33</f>
        <v>23.310000000000002</v>
      </c>
      <c r="AZ373" s="9">
        <f>Tabelle1[[#This Row],[Vitamin E '[mg/100g']]]*1.49</f>
        <v>0.56172999999999995</v>
      </c>
    </row>
    <row r="374" spans="1:52" hidden="1" x14ac:dyDescent="0.45">
      <c r="A374" t="s">
        <v>1151</v>
      </c>
      <c r="B374" s="5" t="s">
        <v>1095</v>
      </c>
      <c r="C374" s="6" t="s">
        <v>1096</v>
      </c>
      <c r="D374" s="13">
        <v>197</v>
      </c>
      <c r="E374" s="11">
        <f>Tabelle1[[#This Row],[Energie '[kcal/100g']]]/239</f>
        <v>0.82426778242677823</v>
      </c>
      <c r="F374" s="13">
        <v>29.244</v>
      </c>
      <c r="G374" s="11">
        <f>Tabelle1[[#This Row],[Rohprotein '[g/100g']]]*0.85</f>
        <v>24.857399999999998</v>
      </c>
      <c r="H374" s="13">
        <v>8.8889999999999993</v>
      </c>
      <c r="I374" s="11">
        <f>Tabelle1[[#This Row],[TS]]-Tabelle1[[#This Row],[Rohprotein '[g/100g']]]-Tabelle1[[#This Row],[Rohfett '[g/100g']]]-Tabelle1[[#This Row],[Rohasche '[g/100g']]]-Tabelle1[[#This Row],[Rohfaser '[g/100g']]]</f>
        <v>0.60100000000000064</v>
      </c>
      <c r="J374" s="11">
        <v>0</v>
      </c>
      <c r="K374" s="13">
        <v>1.385</v>
      </c>
      <c r="L374" s="13">
        <v>59.881</v>
      </c>
      <c r="M374" s="13">
        <f>100-Tabelle1[[#This Row],[Wasser '[g/100g']]]</f>
        <v>40.119</v>
      </c>
      <c r="N374" s="13">
        <v>11.91</v>
      </c>
      <c r="O374" s="13">
        <v>260</v>
      </c>
      <c r="P374" s="13">
        <v>25.9</v>
      </c>
      <c r="Q374" s="13">
        <v>120</v>
      </c>
      <c r="R374" s="13">
        <v>247</v>
      </c>
      <c r="S374" s="13"/>
      <c r="T374" s="13">
        <v>7.407</v>
      </c>
      <c r="U374" s="13">
        <v>2.5</v>
      </c>
      <c r="V374" s="11">
        <v>0</v>
      </c>
      <c r="W374" s="13">
        <v>556</v>
      </c>
      <c r="X374" s="13">
        <v>61</v>
      </c>
      <c r="Y374" s="13">
        <v>1.73</v>
      </c>
      <c r="Z374" s="13"/>
      <c r="AA374" s="13">
        <v>0</v>
      </c>
      <c r="AB374" s="13">
        <v>0.504</v>
      </c>
      <c r="AC374" s="13">
        <v>136</v>
      </c>
      <c r="AD374" s="13">
        <v>0.51900000000000002</v>
      </c>
      <c r="AE374" s="13">
        <v>1.4319999999999999</v>
      </c>
      <c r="AF374" s="13">
        <v>9.5730000000000004</v>
      </c>
      <c r="AG374" s="13">
        <v>285</v>
      </c>
      <c r="AH374" s="13">
        <v>13.2</v>
      </c>
      <c r="AI374" s="13">
        <v>8.1479999999999997</v>
      </c>
      <c r="AJ374" s="11">
        <v>0</v>
      </c>
      <c r="AK374" s="13">
        <v>29</v>
      </c>
      <c r="AL374" s="13">
        <v>10</v>
      </c>
      <c r="AM374" s="13">
        <v>0</v>
      </c>
      <c r="AN374" s="13">
        <v>0.245</v>
      </c>
      <c r="AO374" s="13">
        <v>0</v>
      </c>
      <c r="AP374" s="13">
        <v>5.0000000000000001E-3</v>
      </c>
      <c r="AQ374" s="13">
        <v>0.222</v>
      </c>
      <c r="AR374" s="13">
        <v>0.151</v>
      </c>
      <c r="AS374" s="13">
        <v>2.089</v>
      </c>
      <c r="AT374" s="13">
        <v>0.435</v>
      </c>
      <c r="AU374" s="13">
        <v>0.87</v>
      </c>
      <c r="AV374" s="13">
        <v>3.0459999999999998</v>
      </c>
      <c r="AW374" s="13">
        <v>0.88800000000000001</v>
      </c>
      <c r="AX374" s="9">
        <f>Tabelle1[[#This Row],[Vitamin D3 '[µg/100g']]]*40</f>
        <v>0</v>
      </c>
      <c r="AY374" s="9">
        <f>Tabelle1[[#This Row],[Vitamin A '[µg/100g']]]*3.33</f>
        <v>452.88</v>
      </c>
      <c r="AZ374" s="9">
        <f>Tabelle1[[#This Row],[Vitamin E '[mg/100g']]]*1.49</f>
        <v>0.75095999999999996</v>
      </c>
    </row>
    <row r="375" spans="1:52" hidden="1" x14ac:dyDescent="0.45">
      <c r="A375" t="s">
        <v>1151</v>
      </c>
      <c r="B375" s="5" t="s">
        <v>1097</v>
      </c>
      <c r="C375" s="6" t="s">
        <v>1098</v>
      </c>
      <c r="D375" s="13">
        <v>121</v>
      </c>
      <c r="E375" s="11">
        <f>Tabelle1[[#This Row],[Energie '[kcal/100g']]]/239</f>
        <v>0.50627615062761511</v>
      </c>
      <c r="F375" s="13">
        <v>16.8</v>
      </c>
      <c r="G375" s="11">
        <f>Tabelle1[[#This Row],[Rohprotein '[g/100g']]]*0.85</f>
        <v>14.28</v>
      </c>
      <c r="H375" s="13">
        <v>6</v>
      </c>
      <c r="I375" s="11">
        <f>Tabelle1[[#This Row],[TS]]-Tabelle1[[#This Row],[Rohprotein '[g/100g']]]-Tabelle1[[#This Row],[Rohfett '[g/100g']]]-Tabelle1[[#This Row],[Rohasche '[g/100g']]]-Tabelle1[[#This Row],[Rohfaser '[g/100g']]]</f>
        <v>0.5999999999999992</v>
      </c>
      <c r="J375" s="11">
        <v>0</v>
      </c>
      <c r="K375" s="13">
        <v>1.1000000000000001</v>
      </c>
      <c r="L375" s="13">
        <v>75.5</v>
      </c>
      <c r="M375" s="13">
        <f>100-Tabelle1[[#This Row],[Wasser '[g/100g']]]</f>
        <v>24.5</v>
      </c>
      <c r="N375" s="13">
        <v>6.99</v>
      </c>
      <c r="O375" s="13">
        <v>165</v>
      </c>
      <c r="P375" s="13">
        <v>17.5</v>
      </c>
      <c r="Q375" s="13">
        <v>108</v>
      </c>
      <c r="R375" s="13">
        <v>215</v>
      </c>
      <c r="S375" s="13"/>
      <c r="T375" s="13">
        <v>4</v>
      </c>
      <c r="U375" s="13">
        <v>1.35</v>
      </c>
      <c r="V375" s="11">
        <v>0</v>
      </c>
      <c r="W375" s="13">
        <v>300</v>
      </c>
      <c r="X375" s="13">
        <v>33</v>
      </c>
      <c r="Y375" s="13">
        <v>1.8</v>
      </c>
      <c r="Z375" s="13"/>
      <c r="AA375" s="13">
        <v>0</v>
      </c>
      <c r="AB375" s="13">
        <v>0.34</v>
      </c>
      <c r="AC375" s="13">
        <v>22247</v>
      </c>
      <c r="AD375" s="13">
        <v>0.51</v>
      </c>
      <c r="AE375" s="13">
        <v>0.91</v>
      </c>
      <c r="AF375" s="13">
        <v>7.18</v>
      </c>
      <c r="AG375" s="13">
        <v>280</v>
      </c>
      <c r="AH375" s="13">
        <v>9.9</v>
      </c>
      <c r="AI375" s="13">
        <v>5.5</v>
      </c>
      <c r="AJ375" s="11">
        <v>0</v>
      </c>
      <c r="AK375" s="13">
        <v>210</v>
      </c>
      <c r="AL375" s="13">
        <v>7</v>
      </c>
      <c r="AM375" s="13">
        <v>0</v>
      </c>
      <c r="AN375" s="13">
        <v>0.16600000000000001</v>
      </c>
      <c r="AO375" s="13">
        <v>1.7999999999999999E-2</v>
      </c>
      <c r="AP375" s="13">
        <v>1E-3</v>
      </c>
      <c r="AQ375" s="13">
        <v>0.15</v>
      </c>
      <c r="AR375" s="13">
        <v>0.10199999999999999</v>
      </c>
      <c r="AS375" s="13">
        <v>1.2</v>
      </c>
      <c r="AT375" s="13">
        <v>0.25</v>
      </c>
      <c r="AU375" s="13">
        <v>0.5</v>
      </c>
      <c r="AV375" s="13">
        <v>1.75</v>
      </c>
      <c r="AW375" s="13">
        <v>0.51</v>
      </c>
      <c r="AX375" s="9">
        <f>Tabelle1[[#This Row],[Vitamin D3 '[µg/100g']]]*40</f>
        <v>0</v>
      </c>
      <c r="AY375" s="9">
        <f>Tabelle1[[#This Row],[Vitamin A '[µg/100g']]]*3.33</f>
        <v>74082.509999999995</v>
      </c>
      <c r="AZ375" s="9">
        <f>Tabelle1[[#This Row],[Vitamin E '[mg/100g']]]*1.49</f>
        <v>0.50660000000000005</v>
      </c>
    </row>
    <row r="376" spans="1:52" hidden="1" x14ac:dyDescent="0.45">
      <c r="A376" t="s">
        <v>58</v>
      </c>
      <c r="B376" s="5" t="s">
        <v>97</v>
      </c>
      <c r="C376" s="6" t="s">
        <v>98</v>
      </c>
      <c r="D376" s="13">
        <v>204</v>
      </c>
      <c r="E376" s="13">
        <f>Tabelle1[[#This Row],[Energie '[kcal/100g']]]/239</f>
        <v>0.85355648535564854</v>
      </c>
      <c r="F376" s="13">
        <v>29.445</v>
      </c>
      <c r="G376" s="11">
        <f>Tabelle1[[#This Row],[Rohprotein '[g/100g']]]*0.85</f>
        <v>25.02825</v>
      </c>
      <c r="H376" s="13">
        <v>9.6120000000000001</v>
      </c>
      <c r="I376" s="11">
        <f>Tabelle1[[#This Row],[TS]]-Tabelle1[[#This Row],[Rohprotein '[g/100g']]]-Tabelle1[[#This Row],[Rohfett '[g/100g']]]-Tabelle1[[#This Row],[Rohasche '[g/100g']]]-Tabelle1[[#This Row],[Rohfaser '[g/100g']]]</f>
        <v>0.55000000000000027</v>
      </c>
      <c r="J376" s="11">
        <v>0</v>
      </c>
      <c r="K376" s="13">
        <v>1.097</v>
      </c>
      <c r="L376" s="13">
        <v>59.295999999999999</v>
      </c>
      <c r="M376" s="13">
        <f>100-Tabelle1[[#This Row],[Wasser '[g/100g']]]</f>
        <v>40.704000000000001</v>
      </c>
      <c r="N376" s="13">
        <v>5.9039999999999999</v>
      </c>
      <c r="O376" s="13">
        <v>189</v>
      </c>
      <c r="P376" s="13">
        <v>24</v>
      </c>
      <c r="Q376" s="13">
        <v>65</v>
      </c>
      <c r="R376" s="13">
        <v>376</v>
      </c>
      <c r="S376" s="13"/>
      <c r="T376" s="13">
        <v>2.7909999999999999</v>
      </c>
      <c r="U376" s="13">
        <v>7.2539999999999996</v>
      </c>
      <c r="V376" s="11">
        <v>0</v>
      </c>
      <c r="W376" s="13">
        <v>84</v>
      </c>
      <c r="X376" s="13">
        <v>45</v>
      </c>
      <c r="Y376" s="13">
        <v>3</v>
      </c>
      <c r="Z376" s="13"/>
      <c r="AA376" s="13">
        <v>0.41799999999999998</v>
      </c>
      <c r="AB376" s="13">
        <v>0.9</v>
      </c>
      <c r="AC376" s="13">
        <v>25</v>
      </c>
      <c r="AD376" s="13">
        <v>5.3999999999999999E-2</v>
      </c>
      <c r="AE376" s="13">
        <v>0.21299999999999999</v>
      </c>
      <c r="AF376" s="13">
        <v>4.8129999999999997</v>
      </c>
      <c r="AG376" s="13">
        <v>220</v>
      </c>
      <c r="AH376" s="13">
        <v>2.97</v>
      </c>
      <c r="AI376" s="13">
        <v>0</v>
      </c>
      <c r="AJ376" s="13">
        <v>3.84</v>
      </c>
      <c r="AK376" s="13">
        <v>1.66</v>
      </c>
      <c r="AL376" s="13">
        <v>7</v>
      </c>
      <c r="AM376" s="13">
        <v>0</v>
      </c>
      <c r="AN376" s="13">
        <v>0.11899999999999999</v>
      </c>
      <c r="AO376" s="11">
        <v>0</v>
      </c>
      <c r="AP376" s="11">
        <v>0</v>
      </c>
      <c r="AQ376" s="13">
        <v>0.20300000000000001</v>
      </c>
      <c r="AR376" s="13">
        <v>0.20300000000000001</v>
      </c>
      <c r="AS376" s="13">
        <v>2.0350000000000001</v>
      </c>
      <c r="AT376" s="13">
        <v>0.38700000000000001</v>
      </c>
      <c r="AU376" s="13">
        <v>1.1180000000000001</v>
      </c>
      <c r="AV376" s="13">
        <v>2.851</v>
      </c>
      <c r="AW376" s="13">
        <v>0.84499999999999997</v>
      </c>
      <c r="AX376" s="9">
        <f>Tabelle1[[#This Row],[Vitamin D3 '[µg/100g']]]*40</f>
        <v>16.72</v>
      </c>
      <c r="AY376" s="9">
        <f>Tabelle1[[#This Row],[Vitamin A '[µg/100g']]]*3.33</f>
        <v>83.25</v>
      </c>
      <c r="AZ376" s="9">
        <f>Tabelle1[[#This Row],[Vitamin E '[mg/100g']]]*1.49</f>
        <v>1.341</v>
      </c>
    </row>
    <row r="377" spans="1:52" hidden="1" x14ac:dyDescent="0.45">
      <c r="A377" t="s">
        <v>58</v>
      </c>
      <c r="B377" s="5" t="s">
        <v>99</v>
      </c>
      <c r="C377" s="6" t="s">
        <v>100</v>
      </c>
      <c r="D377" s="13">
        <v>181</v>
      </c>
      <c r="E377" s="13">
        <f>Tabelle1[[#This Row],[Energie '[kcal/100g']]]/239</f>
        <v>0.75732217573221761</v>
      </c>
      <c r="F377" s="13">
        <v>26.048999999999999</v>
      </c>
      <c r="G377" s="11">
        <f>Tabelle1[[#This Row],[Rohprotein '[g/100g']]]*0.85</f>
        <v>22.141649999999998</v>
      </c>
      <c r="H377" s="13">
        <v>8.5039999999999996</v>
      </c>
      <c r="I377" s="11">
        <f>Tabelle1[[#This Row],[TS]]-Tabelle1[[#This Row],[Rohprotein '[g/100g']]]-Tabelle1[[#This Row],[Rohfett '[g/100g']]]-Tabelle1[[#This Row],[Rohasche '[g/100g']]]-Tabelle1[[#This Row],[Rohfaser '[g/100g']]]</f>
        <v>0.5490000000000036</v>
      </c>
      <c r="J377" s="11">
        <v>0</v>
      </c>
      <c r="K377" s="13">
        <v>0.59199999999999997</v>
      </c>
      <c r="L377" s="13">
        <v>64.305999999999997</v>
      </c>
      <c r="M377" s="13">
        <f>100-Tabelle1[[#This Row],[Wasser '[g/100g']]]</f>
        <v>35.694000000000003</v>
      </c>
      <c r="N377" s="13">
        <v>4.952</v>
      </c>
      <c r="O377" s="13">
        <v>136</v>
      </c>
      <c r="P377" s="13">
        <v>17</v>
      </c>
      <c r="Q377" s="13">
        <v>40</v>
      </c>
      <c r="R377" s="13">
        <v>244</v>
      </c>
      <c r="S377" s="13"/>
      <c r="T377" s="13">
        <v>2.6339999999999999</v>
      </c>
      <c r="U377" s="13">
        <v>6.8449999999999998</v>
      </c>
      <c r="V377" s="11">
        <v>0</v>
      </c>
      <c r="W377" s="13">
        <v>75</v>
      </c>
      <c r="X377" s="13">
        <v>42</v>
      </c>
      <c r="Y377" s="13">
        <v>1.9</v>
      </c>
      <c r="Z377" s="13"/>
      <c r="AA377" s="13">
        <v>0.42299999999999999</v>
      </c>
      <c r="AB377" s="13">
        <v>0.8</v>
      </c>
      <c r="AC377" s="13">
        <v>24</v>
      </c>
      <c r="AD377" s="13">
        <v>4.2000000000000003E-2</v>
      </c>
      <c r="AE377" s="13">
        <v>0.18</v>
      </c>
      <c r="AF377" s="13">
        <v>3.331</v>
      </c>
      <c r="AG377" s="13">
        <v>145</v>
      </c>
      <c r="AH377" s="13">
        <v>2.4</v>
      </c>
      <c r="AI377" s="13">
        <v>0</v>
      </c>
      <c r="AJ377" s="13">
        <v>3.77</v>
      </c>
      <c r="AK377" s="13">
        <v>1.07</v>
      </c>
      <c r="AL377" s="13">
        <v>5</v>
      </c>
      <c r="AM377" s="13">
        <v>0</v>
      </c>
      <c r="AN377" s="13">
        <v>0.106</v>
      </c>
      <c r="AO377" s="11">
        <v>0</v>
      </c>
      <c r="AP377" s="11">
        <v>0</v>
      </c>
      <c r="AQ377" s="13">
        <v>0.18</v>
      </c>
      <c r="AR377" s="13">
        <v>0.18</v>
      </c>
      <c r="AS377" s="13">
        <v>1.8</v>
      </c>
      <c r="AT377" s="13">
        <v>0.34200000000000003</v>
      </c>
      <c r="AU377" s="13">
        <v>0.98899999999999999</v>
      </c>
      <c r="AV377" s="13">
        <v>2.5230000000000001</v>
      </c>
      <c r="AW377" s="13">
        <v>0.748</v>
      </c>
      <c r="AX377" s="9">
        <f>Tabelle1[[#This Row],[Vitamin D3 '[µg/100g']]]*40</f>
        <v>16.919999999999998</v>
      </c>
      <c r="AY377" s="9">
        <f>Tabelle1[[#This Row],[Vitamin A '[µg/100g']]]*3.33</f>
        <v>79.92</v>
      </c>
      <c r="AZ377" s="9">
        <f>Tabelle1[[#This Row],[Vitamin E '[mg/100g']]]*1.49</f>
        <v>1.1919999999999999</v>
      </c>
    </row>
    <row r="378" spans="1:52" hidden="1" x14ac:dyDescent="0.45">
      <c r="A378" t="s">
        <v>58</v>
      </c>
      <c r="B378" s="5" t="s">
        <v>101</v>
      </c>
      <c r="C378" s="6" t="s">
        <v>102</v>
      </c>
      <c r="D378" s="13">
        <v>199</v>
      </c>
      <c r="E378" s="13">
        <f>Tabelle1[[#This Row],[Energie '[kcal/100g']]]/239</f>
        <v>0.83263598326359833</v>
      </c>
      <c r="F378" s="13">
        <v>28.407</v>
      </c>
      <c r="G378" s="11">
        <f>Tabelle1[[#This Row],[Rohprotein '[g/100g']]]*0.85</f>
        <v>24.145949999999999</v>
      </c>
      <c r="H378" s="13">
        <v>9.4710000000000001</v>
      </c>
      <c r="I378" s="11">
        <f>Tabelle1[[#This Row],[TS]]-Tabelle1[[#This Row],[Rohprotein '[g/100g']]]-Tabelle1[[#This Row],[Rohfett '[g/100g']]]-Tabelle1[[#This Row],[Rohasche '[g/100g']]]-Tabelle1[[#This Row],[Rohfaser '[g/100g']]]</f>
        <v>0.55000000000000138</v>
      </c>
      <c r="J378" s="11">
        <v>0</v>
      </c>
      <c r="K378" s="13">
        <v>1.05</v>
      </c>
      <c r="L378" s="13">
        <v>60.521999999999998</v>
      </c>
      <c r="M378" s="13">
        <f>100-Tabelle1[[#This Row],[Wasser '[g/100g']]]</f>
        <v>39.478000000000002</v>
      </c>
      <c r="N378" s="13">
        <v>5.1710000000000003</v>
      </c>
      <c r="O378" s="13">
        <v>142</v>
      </c>
      <c r="P378" s="13">
        <v>18</v>
      </c>
      <c r="Q378" s="13">
        <v>41</v>
      </c>
      <c r="R378" s="13">
        <v>255</v>
      </c>
      <c r="S378" s="13"/>
      <c r="T378" s="13">
        <v>2.75</v>
      </c>
      <c r="U378" s="13">
        <v>7.1470000000000002</v>
      </c>
      <c r="V378" s="11">
        <v>0</v>
      </c>
      <c r="W378" s="13">
        <v>78</v>
      </c>
      <c r="X378" s="13">
        <v>44</v>
      </c>
      <c r="Y378" s="13">
        <v>2</v>
      </c>
      <c r="Z378" s="13"/>
      <c r="AA378" s="13">
        <v>0.47099999999999997</v>
      </c>
      <c r="AB378" s="13">
        <v>0.9</v>
      </c>
      <c r="AC378" s="13">
        <v>25</v>
      </c>
      <c r="AD378" s="13">
        <v>4.3999999999999997E-2</v>
      </c>
      <c r="AE378" s="13">
        <v>0.188</v>
      </c>
      <c r="AF378" s="13">
        <v>3.4780000000000002</v>
      </c>
      <c r="AG378" s="13">
        <v>152</v>
      </c>
      <c r="AH378" s="13">
        <v>2.5099999999999998</v>
      </c>
      <c r="AI378" s="13">
        <v>0</v>
      </c>
      <c r="AJ378" s="13">
        <v>4.2</v>
      </c>
      <c r="AK378" s="13">
        <v>1.1200000000000001</v>
      </c>
      <c r="AL378" s="13">
        <v>6</v>
      </c>
      <c r="AM378" s="13">
        <v>0</v>
      </c>
      <c r="AN378" s="13">
        <v>0.11799999999999999</v>
      </c>
      <c r="AO378" s="11">
        <v>0</v>
      </c>
      <c r="AP378" s="11">
        <v>0</v>
      </c>
      <c r="AQ378" s="13">
        <v>0.2</v>
      </c>
      <c r="AR378" s="13">
        <v>0.2</v>
      </c>
      <c r="AS378" s="13">
        <v>1.9630000000000001</v>
      </c>
      <c r="AT378" s="13">
        <v>0.373</v>
      </c>
      <c r="AU378" s="13">
        <v>1.0780000000000001</v>
      </c>
      <c r="AV378" s="13">
        <v>2.7509999999999999</v>
      </c>
      <c r="AW378" s="13">
        <v>0.81599999999999995</v>
      </c>
      <c r="AX378" s="9">
        <f>Tabelle1[[#This Row],[Vitamin D3 '[µg/100g']]]*40</f>
        <v>18.84</v>
      </c>
      <c r="AY378" s="9">
        <f>Tabelle1[[#This Row],[Vitamin A '[µg/100g']]]*3.33</f>
        <v>83.25</v>
      </c>
      <c r="AZ378" s="9">
        <f>Tabelle1[[#This Row],[Vitamin E '[mg/100g']]]*1.49</f>
        <v>1.341</v>
      </c>
    </row>
    <row r="379" spans="1:52" hidden="1" x14ac:dyDescent="0.45">
      <c r="A379" t="s">
        <v>58</v>
      </c>
      <c r="B379" s="3" t="s">
        <v>103</v>
      </c>
      <c r="C379" s="4" t="s">
        <v>104</v>
      </c>
      <c r="D379" s="11">
        <v>155</v>
      </c>
      <c r="E379" s="13">
        <f>Tabelle1[[#This Row],[Energie '[kcal/100g']]]/239</f>
        <v>0.64853556485355646</v>
      </c>
      <c r="F379" s="11">
        <v>20.55</v>
      </c>
      <c r="G379" s="11">
        <f>Tabelle1[[#This Row],[Rohprotein '[g/100g']]]*0.85</f>
        <v>17.467500000000001</v>
      </c>
      <c r="H379" s="11">
        <v>8.0500000000000007</v>
      </c>
      <c r="I379" s="11">
        <f>Tabelle1[[#This Row],[TS]]-Tabelle1[[#This Row],[Rohprotein '[g/100g']]]-Tabelle1[[#This Row],[Rohfett '[g/100g']]]-Tabelle1[[#This Row],[Rohasche '[g/100g']]]-Tabelle1[[#This Row],[Rohfaser '[g/100g']]]</f>
        <v>0.55000000000000138</v>
      </c>
      <c r="J379" s="11">
        <v>0</v>
      </c>
      <c r="K379" s="11">
        <v>1.05</v>
      </c>
      <c r="L379" s="11">
        <v>69.8</v>
      </c>
      <c r="M379" s="11">
        <f>100-Tabelle1[[#This Row],[Wasser '[g/100g']]]</f>
        <v>30.200000000000003</v>
      </c>
      <c r="N379" s="11">
        <v>4.3949999999999996</v>
      </c>
      <c r="O379" s="11">
        <v>149</v>
      </c>
      <c r="P379" s="11">
        <v>19</v>
      </c>
      <c r="Q379" s="11">
        <v>51</v>
      </c>
      <c r="R379" s="11">
        <v>315</v>
      </c>
      <c r="S379" s="11"/>
      <c r="T379" s="11">
        <v>1.87</v>
      </c>
      <c r="U379" s="11">
        <v>4.8600000000000003</v>
      </c>
      <c r="V379" s="11">
        <v>0</v>
      </c>
      <c r="W379" s="11">
        <v>56</v>
      </c>
      <c r="X379" s="11">
        <v>30</v>
      </c>
      <c r="Y379" s="11">
        <v>2.7</v>
      </c>
      <c r="Z379" s="11"/>
      <c r="AA379" s="11">
        <v>0.4</v>
      </c>
      <c r="AB379" s="11">
        <v>0.8</v>
      </c>
      <c r="AC379" s="11">
        <v>22</v>
      </c>
      <c r="AD379" s="11">
        <v>6.6000000000000003E-2</v>
      </c>
      <c r="AE379" s="11">
        <v>0.15</v>
      </c>
      <c r="AF379" s="11">
        <v>4.3</v>
      </c>
      <c r="AG379" s="11">
        <v>295</v>
      </c>
      <c r="AH379" s="11">
        <v>2.84</v>
      </c>
      <c r="AI379" s="11">
        <v>0</v>
      </c>
      <c r="AJ379" s="11">
        <v>3.57</v>
      </c>
      <c r="AK379" s="11">
        <v>1.17</v>
      </c>
      <c r="AL379" s="11">
        <v>5</v>
      </c>
      <c r="AM379" s="11">
        <v>0</v>
      </c>
      <c r="AN379" s="11">
        <v>0.1</v>
      </c>
      <c r="AO379" s="11">
        <v>0</v>
      </c>
      <c r="AP379" s="11">
        <v>0</v>
      </c>
      <c r="AQ379" s="11">
        <v>0.17</v>
      </c>
      <c r="AR379" s="11">
        <v>0.17</v>
      </c>
      <c r="AS379" s="11">
        <v>1.42</v>
      </c>
      <c r="AT379" s="11">
        <v>0.27</v>
      </c>
      <c r="AU379" s="11">
        <v>0.78</v>
      </c>
      <c r="AV379" s="11">
        <v>1.99</v>
      </c>
      <c r="AW379" s="11">
        <v>0.59</v>
      </c>
      <c r="AX379" s="9">
        <f>Tabelle1[[#This Row],[Vitamin D3 '[µg/100g']]]*40</f>
        <v>16</v>
      </c>
      <c r="AY379" s="9">
        <f>Tabelle1[[#This Row],[Vitamin A '[µg/100g']]]*3.33</f>
        <v>73.260000000000005</v>
      </c>
      <c r="AZ379" s="9">
        <f>Tabelle1[[#This Row],[Vitamin E '[mg/100g']]]*1.49</f>
        <v>1.1919999999999999</v>
      </c>
    </row>
    <row r="380" spans="1:52" hidden="1" x14ac:dyDescent="0.45">
      <c r="A380" t="s">
        <v>58</v>
      </c>
      <c r="B380" s="5" t="s">
        <v>105</v>
      </c>
      <c r="C380" s="6" t="s">
        <v>106</v>
      </c>
      <c r="D380" s="13">
        <v>145</v>
      </c>
      <c r="E380" s="13">
        <f>Tabelle1[[#This Row],[Energie '[kcal/100g']]]/239</f>
        <v>0.60669456066945604</v>
      </c>
      <c r="F380" s="13">
        <v>30.3</v>
      </c>
      <c r="G380" s="11">
        <f>Tabelle1[[#This Row],[Rohprotein '[g/100g']]]*0.85</f>
        <v>25.754999999999999</v>
      </c>
      <c r="H380" s="13">
        <v>2.69</v>
      </c>
      <c r="I380" s="11">
        <f>Tabelle1[[#This Row],[TS]]-Tabelle1[[#This Row],[Rohprotein '[g/100g']]]-Tabelle1[[#This Row],[Rohfett '[g/100g']]]-Tabelle1[[#This Row],[Rohasche '[g/100g']]]-Tabelle1[[#This Row],[Rohfaser '[g/100g']]]</f>
        <v>1.4099999999999966</v>
      </c>
      <c r="J380" s="11">
        <v>0</v>
      </c>
      <c r="K380" s="13">
        <v>0.9</v>
      </c>
      <c r="L380" s="13">
        <v>64.7</v>
      </c>
      <c r="M380" s="13">
        <f>100-Tabelle1[[#This Row],[Wasser '[g/100g']]]</f>
        <v>35.299999999999997</v>
      </c>
      <c r="N380" s="13">
        <v>5</v>
      </c>
      <c r="O380" s="13">
        <v>240</v>
      </c>
      <c r="P380" s="13">
        <v>29</v>
      </c>
      <c r="Q380" s="13">
        <v>69</v>
      </c>
      <c r="R380" s="13">
        <v>395</v>
      </c>
      <c r="S380" s="13"/>
      <c r="T380" s="13">
        <v>3.7</v>
      </c>
      <c r="U380" s="13">
        <v>5.4</v>
      </c>
      <c r="V380" s="11">
        <v>0</v>
      </c>
      <c r="W380" s="13">
        <v>103</v>
      </c>
      <c r="X380" s="13">
        <v>26</v>
      </c>
      <c r="Y380" s="13">
        <v>2.9</v>
      </c>
      <c r="Z380" s="13"/>
      <c r="AA380" s="13">
        <v>0.4</v>
      </c>
      <c r="AB380" s="13">
        <v>0.8</v>
      </c>
      <c r="AC380" s="13">
        <v>16</v>
      </c>
      <c r="AD380" s="13">
        <v>0.08</v>
      </c>
      <c r="AE380" s="13">
        <v>0.27</v>
      </c>
      <c r="AF380" s="13">
        <v>5.6</v>
      </c>
      <c r="AG380" s="13">
        <v>300</v>
      </c>
      <c r="AH380" s="13">
        <v>1.8</v>
      </c>
      <c r="AI380" s="13">
        <v>0</v>
      </c>
      <c r="AJ380" s="13">
        <v>3.67</v>
      </c>
      <c r="AK380" s="13">
        <v>9.5</v>
      </c>
      <c r="AL380" s="13">
        <v>5</v>
      </c>
      <c r="AM380" s="13">
        <v>0</v>
      </c>
      <c r="AN380" s="13">
        <v>3.1E-2</v>
      </c>
      <c r="AO380" s="11">
        <v>0</v>
      </c>
      <c r="AP380" s="11">
        <v>0</v>
      </c>
      <c r="AQ380" s="13">
        <v>0.111</v>
      </c>
      <c r="AR380" s="13">
        <v>8.8999999999999996E-2</v>
      </c>
      <c r="AS380" s="13">
        <v>1.694</v>
      </c>
      <c r="AT380" s="13">
        <v>0.27600000000000002</v>
      </c>
      <c r="AU380" s="13">
        <v>1.111</v>
      </c>
      <c r="AV380" s="13">
        <v>2.8109999999999999</v>
      </c>
      <c r="AW380" s="13">
        <v>0.83699999999999997</v>
      </c>
      <c r="AX380" s="9">
        <f>Tabelle1[[#This Row],[Vitamin D3 '[µg/100g']]]*40</f>
        <v>16</v>
      </c>
      <c r="AY380" s="9">
        <f>Tabelle1[[#This Row],[Vitamin A '[µg/100g']]]*3.33</f>
        <v>53.28</v>
      </c>
      <c r="AZ380" s="9">
        <f>Tabelle1[[#This Row],[Vitamin E '[mg/100g']]]*1.49</f>
        <v>1.1919999999999999</v>
      </c>
    </row>
    <row r="381" spans="1:52" hidden="1" x14ac:dyDescent="0.45">
      <c r="A381" t="s">
        <v>58</v>
      </c>
      <c r="B381" s="5" t="s">
        <v>107</v>
      </c>
      <c r="C381" s="6" t="s">
        <v>108</v>
      </c>
      <c r="D381" s="13">
        <v>174</v>
      </c>
      <c r="E381" s="13">
        <f>Tabelle1[[#This Row],[Energie '[kcal/100g']]]/239</f>
        <v>0.72803347280334729</v>
      </c>
      <c r="F381" s="13">
        <v>36.200000000000003</v>
      </c>
      <c r="G381" s="11">
        <f>Tabelle1[[#This Row],[Rohprotein '[g/100g']]]*0.85</f>
        <v>30.770000000000003</v>
      </c>
      <c r="H381" s="13">
        <v>3.2</v>
      </c>
      <c r="I381" s="11">
        <f>Tabelle1[[#This Row],[TS]]-Tabelle1[[#This Row],[Rohprotein '[g/100g']]]-Tabelle1[[#This Row],[Rohfett '[g/100g']]]-Tabelle1[[#This Row],[Rohasche '[g/100g']]]-Tabelle1[[#This Row],[Rohfaser '[g/100g']]]</f>
        <v>1.399999999999997</v>
      </c>
      <c r="J381" s="11">
        <v>0</v>
      </c>
      <c r="K381" s="13">
        <v>0.7</v>
      </c>
      <c r="L381" s="13">
        <v>58.5</v>
      </c>
      <c r="M381" s="13">
        <f>100-Tabelle1[[#This Row],[Wasser '[g/100g']]]</f>
        <v>41.5</v>
      </c>
      <c r="N381" s="13">
        <v>6</v>
      </c>
      <c r="O381" s="13">
        <v>234</v>
      </c>
      <c r="P381" s="13">
        <v>28</v>
      </c>
      <c r="Q381" s="13">
        <v>57</v>
      </c>
      <c r="R381" s="13">
        <v>346</v>
      </c>
      <c r="S381" s="13"/>
      <c r="T381" s="13">
        <v>4.7</v>
      </c>
      <c r="U381" s="13">
        <v>6.9</v>
      </c>
      <c r="V381" s="11">
        <v>0</v>
      </c>
      <c r="W381" s="13">
        <v>124</v>
      </c>
      <c r="X381" s="13">
        <v>33</v>
      </c>
      <c r="Y381" s="13">
        <v>2.5</v>
      </c>
      <c r="Z381" s="13"/>
      <c r="AA381" s="13">
        <v>0.54500000000000004</v>
      </c>
      <c r="AB381" s="13">
        <v>1.1000000000000001</v>
      </c>
      <c r="AC381" s="13">
        <v>20</v>
      </c>
      <c r="AD381" s="13">
        <v>0.08</v>
      </c>
      <c r="AE381" s="13">
        <v>0.31</v>
      </c>
      <c r="AF381" s="13">
        <v>5.2</v>
      </c>
      <c r="AG381" s="13">
        <v>270</v>
      </c>
      <c r="AH381" s="13">
        <v>2</v>
      </c>
      <c r="AI381" s="13">
        <v>0</v>
      </c>
      <c r="AJ381" s="13">
        <v>4.8600000000000003</v>
      </c>
      <c r="AK381" s="13">
        <v>8.3000000000000007</v>
      </c>
      <c r="AL381" s="13">
        <v>4.8</v>
      </c>
      <c r="AM381" s="13">
        <v>0</v>
      </c>
      <c r="AN381" s="13">
        <v>3.6999999999999998E-2</v>
      </c>
      <c r="AO381" s="11">
        <v>0</v>
      </c>
      <c r="AP381" s="11">
        <v>0</v>
      </c>
      <c r="AQ381" s="13">
        <v>0.13200000000000001</v>
      </c>
      <c r="AR381" s="13">
        <v>0.106</v>
      </c>
      <c r="AS381" s="13">
        <v>2.0209999999999999</v>
      </c>
      <c r="AT381" s="13">
        <v>0.32900000000000001</v>
      </c>
      <c r="AU381" s="13">
        <v>1.325</v>
      </c>
      <c r="AV381" s="13">
        <v>3.355</v>
      </c>
      <c r="AW381" s="13">
        <v>0.998</v>
      </c>
      <c r="AX381" s="9">
        <f>Tabelle1[[#This Row],[Vitamin D3 '[µg/100g']]]*40</f>
        <v>21.8</v>
      </c>
      <c r="AY381" s="9">
        <f>Tabelle1[[#This Row],[Vitamin A '[µg/100g']]]*3.33</f>
        <v>66.599999999999994</v>
      </c>
      <c r="AZ381" s="9">
        <f>Tabelle1[[#This Row],[Vitamin E '[mg/100g']]]*1.49</f>
        <v>1.639</v>
      </c>
    </row>
    <row r="382" spans="1:52" hidden="1" x14ac:dyDescent="0.45">
      <c r="A382" t="s">
        <v>58</v>
      </c>
      <c r="B382" s="5" t="s">
        <v>109</v>
      </c>
      <c r="C382" s="6" t="s">
        <v>110</v>
      </c>
      <c r="D382" s="13">
        <v>152</v>
      </c>
      <c r="E382" s="13">
        <f>Tabelle1[[#This Row],[Energie '[kcal/100g']]]/239</f>
        <v>0.63598326359832635</v>
      </c>
      <c r="F382" s="13">
        <v>31.5</v>
      </c>
      <c r="G382" s="11">
        <f>Tabelle1[[#This Row],[Rohprotein '[g/100g']]]*0.85</f>
        <v>26.774999999999999</v>
      </c>
      <c r="H382" s="13">
        <v>2.85</v>
      </c>
      <c r="I382" s="11">
        <f>Tabelle1[[#This Row],[TS]]-Tabelle1[[#This Row],[Rohprotein '[g/100g']]]-Tabelle1[[#This Row],[Rohfett '[g/100g']]]-Tabelle1[[#This Row],[Rohasche '[g/100g']]]-Tabelle1[[#This Row],[Rohfaser '[g/100g']]]</f>
        <v>1.4500000000000028</v>
      </c>
      <c r="J382" s="11">
        <v>0</v>
      </c>
      <c r="K382" s="13">
        <v>0.9</v>
      </c>
      <c r="L382" s="13">
        <v>63.3</v>
      </c>
      <c r="M382" s="13">
        <f>100-Tabelle1[[#This Row],[Wasser '[g/100g']]]</f>
        <v>36.700000000000003</v>
      </c>
      <c r="N382" s="13">
        <v>5</v>
      </c>
      <c r="O382" s="13">
        <v>195</v>
      </c>
      <c r="P382" s="13">
        <v>24</v>
      </c>
      <c r="Q382" s="13">
        <v>48</v>
      </c>
      <c r="R382" s="13">
        <v>288</v>
      </c>
      <c r="S382" s="13"/>
      <c r="T382" s="13">
        <v>3.9</v>
      </c>
      <c r="U382" s="13">
        <v>5.8</v>
      </c>
      <c r="V382" s="11">
        <v>0</v>
      </c>
      <c r="W382" s="13">
        <v>104</v>
      </c>
      <c r="X382" s="13">
        <v>27</v>
      </c>
      <c r="Y382" s="13">
        <v>2</v>
      </c>
      <c r="Z382" s="13"/>
      <c r="AA382" s="13">
        <v>0.48499999999999999</v>
      </c>
      <c r="AB382" s="13">
        <v>1</v>
      </c>
      <c r="AC382" s="13">
        <v>16</v>
      </c>
      <c r="AD382" s="13">
        <v>7.0000000000000007E-2</v>
      </c>
      <c r="AE382" s="13">
        <v>0.26</v>
      </c>
      <c r="AF382" s="13">
        <v>4.3</v>
      </c>
      <c r="AG382" s="13">
        <v>220</v>
      </c>
      <c r="AH382" s="13">
        <v>1.6</v>
      </c>
      <c r="AI382" s="13">
        <v>0</v>
      </c>
      <c r="AJ382" s="13">
        <v>4.33</v>
      </c>
      <c r="AK382" s="13">
        <v>6.9</v>
      </c>
      <c r="AL382" s="13">
        <v>4.5</v>
      </c>
      <c r="AM382" s="13">
        <v>0</v>
      </c>
      <c r="AN382" s="13">
        <v>3.3000000000000002E-2</v>
      </c>
      <c r="AO382" s="11">
        <v>0</v>
      </c>
      <c r="AP382" s="11">
        <v>0</v>
      </c>
      <c r="AQ382" s="13">
        <v>0.11799999999999999</v>
      </c>
      <c r="AR382" s="13">
        <v>9.5000000000000001E-2</v>
      </c>
      <c r="AS382" s="13">
        <v>1.7589999999999999</v>
      </c>
      <c r="AT382" s="13">
        <v>0.28599999999999998</v>
      </c>
      <c r="AU382" s="13">
        <v>1.1539999999999999</v>
      </c>
      <c r="AV382" s="13">
        <v>2.92</v>
      </c>
      <c r="AW382" s="13">
        <v>0.86899999999999999</v>
      </c>
      <c r="AX382" s="9">
        <f>Tabelle1[[#This Row],[Vitamin D3 '[µg/100g']]]*40</f>
        <v>19.399999999999999</v>
      </c>
      <c r="AY382" s="9">
        <f>Tabelle1[[#This Row],[Vitamin A '[µg/100g']]]*3.33</f>
        <v>53.28</v>
      </c>
      <c r="AZ382" s="9">
        <f>Tabelle1[[#This Row],[Vitamin E '[mg/100g']]]*1.49</f>
        <v>1.49</v>
      </c>
    </row>
    <row r="383" spans="1:52" hidden="1" x14ac:dyDescent="0.45">
      <c r="A383" t="s">
        <v>58</v>
      </c>
      <c r="B383" s="3" t="s">
        <v>111</v>
      </c>
      <c r="C383" s="4" t="s">
        <v>112</v>
      </c>
      <c r="D383" s="11">
        <v>110</v>
      </c>
      <c r="E383" s="13">
        <f>Tabelle1[[#This Row],[Energie '[kcal/100g']]]/239</f>
        <v>0.46025104602510458</v>
      </c>
      <c r="F383" s="11">
        <v>22.1</v>
      </c>
      <c r="G383" s="11">
        <f>Tabelle1[[#This Row],[Rohprotein '[g/100g']]]*0.85</f>
        <v>18.785</v>
      </c>
      <c r="H383" s="11">
        <v>2.35</v>
      </c>
      <c r="I383" s="11">
        <f>Tabelle1[[#This Row],[TS]]-Tabelle1[[#This Row],[Rohprotein '[g/100g']]]-Tabelle1[[#This Row],[Rohfett '[g/100g']]]-Tabelle1[[#This Row],[Rohasche '[g/100g']]]-Tabelle1[[#This Row],[Rohfaser '[g/100g']]]</f>
        <v>1.4499999999999957</v>
      </c>
      <c r="J383" s="11">
        <v>0</v>
      </c>
      <c r="K383" s="11">
        <v>0.9</v>
      </c>
      <c r="L383" s="11">
        <v>73.2</v>
      </c>
      <c r="M383" s="11">
        <f>100-Tabelle1[[#This Row],[Wasser '[g/100g']]]</f>
        <v>26.799999999999997</v>
      </c>
      <c r="N383" s="11">
        <v>4</v>
      </c>
      <c r="O383" s="11">
        <v>198</v>
      </c>
      <c r="P383" s="11">
        <v>24</v>
      </c>
      <c r="Q383" s="11">
        <v>57</v>
      </c>
      <c r="R383" s="11">
        <v>346</v>
      </c>
      <c r="S383" s="11"/>
      <c r="T383" s="11">
        <v>2.6</v>
      </c>
      <c r="U383" s="11">
        <v>3.8</v>
      </c>
      <c r="V383" s="11">
        <v>0</v>
      </c>
      <c r="W383" s="11">
        <v>72</v>
      </c>
      <c r="X383" s="11">
        <v>18</v>
      </c>
      <c r="Y383" s="11">
        <v>2.7</v>
      </c>
      <c r="Z383" s="11"/>
      <c r="AA383" s="11">
        <v>0.4</v>
      </c>
      <c r="AB383" s="11">
        <v>0.8</v>
      </c>
      <c r="AC383" s="11">
        <v>7</v>
      </c>
      <c r="AD383" s="11">
        <v>0.1</v>
      </c>
      <c r="AE383" s="11">
        <v>0.2</v>
      </c>
      <c r="AF383" s="11">
        <v>5.2</v>
      </c>
      <c r="AG383" s="11">
        <v>420</v>
      </c>
      <c r="AH383" s="11">
        <v>1.8</v>
      </c>
      <c r="AI383" s="11">
        <v>0</v>
      </c>
      <c r="AJ383" s="11">
        <v>3.57</v>
      </c>
      <c r="AK383" s="11">
        <v>5</v>
      </c>
      <c r="AL383" s="11">
        <v>3.8</v>
      </c>
      <c r="AM383" s="11">
        <v>0</v>
      </c>
      <c r="AN383" s="11">
        <v>2.7E-2</v>
      </c>
      <c r="AO383" s="11">
        <v>0</v>
      </c>
      <c r="AP383" s="11">
        <v>0</v>
      </c>
      <c r="AQ383" s="11">
        <v>9.7000000000000003E-2</v>
      </c>
      <c r="AR383" s="11">
        <v>7.8E-2</v>
      </c>
      <c r="AS383" s="11">
        <v>1.2350000000000001</v>
      </c>
      <c r="AT383" s="11">
        <v>0.20100000000000001</v>
      </c>
      <c r="AU383" s="11">
        <v>0.81</v>
      </c>
      <c r="AV383" s="11">
        <v>2.0499999999999998</v>
      </c>
      <c r="AW383" s="11">
        <v>0.61</v>
      </c>
      <c r="AX383" s="9">
        <f>Tabelle1[[#This Row],[Vitamin D3 '[µg/100g']]]*40</f>
        <v>16</v>
      </c>
      <c r="AY383" s="9">
        <f>Tabelle1[[#This Row],[Vitamin A '[µg/100g']]]*3.33</f>
        <v>23.310000000000002</v>
      </c>
      <c r="AZ383" s="9">
        <f>Tabelle1[[#This Row],[Vitamin E '[mg/100g']]]*1.49</f>
        <v>1.1919999999999999</v>
      </c>
    </row>
    <row r="384" spans="1:52" hidden="1" x14ac:dyDescent="0.45">
      <c r="A384" t="s">
        <v>58</v>
      </c>
      <c r="B384" s="5" t="s">
        <v>113</v>
      </c>
      <c r="C384" s="6" t="s">
        <v>114</v>
      </c>
      <c r="D384" s="13">
        <v>171</v>
      </c>
      <c r="E384" s="13">
        <f>Tabelle1[[#This Row],[Energie '[kcal/100g']]]/239</f>
        <v>0.71548117154811719</v>
      </c>
      <c r="F384" s="13">
        <v>26.2</v>
      </c>
      <c r="G384" s="11">
        <f>Tabelle1[[#This Row],[Rohprotein '[g/100g']]]*0.85</f>
        <v>22.27</v>
      </c>
      <c r="H384" s="13">
        <v>7.4</v>
      </c>
      <c r="I384" s="11">
        <f>Tabelle1[[#This Row],[TS]]-Tabelle1[[#This Row],[Rohprotein '[g/100g']]]-Tabelle1[[#This Row],[Rohfett '[g/100g']]]-Tabelle1[[#This Row],[Rohasche '[g/100g']]]-Tabelle1[[#This Row],[Rohfaser '[g/100g']]]</f>
        <v>-0.49999999999999967</v>
      </c>
      <c r="J384" s="11">
        <v>0</v>
      </c>
      <c r="K384" s="13">
        <v>0.9</v>
      </c>
      <c r="L384" s="13">
        <v>66</v>
      </c>
      <c r="M384" s="13">
        <f>100-Tabelle1[[#This Row],[Wasser '[g/100g']]]</f>
        <v>34</v>
      </c>
      <c r="N384" s="13">
        <v>7</v>
      </c>
      <c r="O384" s="13">
        <v>210</v>
      </c>
      <c r="P384" s="13">
        <v>25.9</v>
      </c>
      <c r="Q384" s="13">
        <v>66.2</v>
      </c>
      <c r="R384" s="13">
        <v>384</v>
      </c>
      <c r="S384" s="13"/>
      <c r="T384" s="13">
        <v>3.4</v>
      </c>
      <c r="U384" s="13">
        <v>5.5</v>
      </c>
      <c r="V384" s="11">
        <v>0</v>
      </c>
      <c r="W384" s="13">
        <v>103.9</v>
      </c>
      <c r="X384" s="13">
        <v>14.3</v>
      </c>
      <c r="Y384" s="13">
        <v>1.9</v>
      </c>
      <c r="Z384" s="13"/>
      <c r="AA384" s="13">
        <v>0.36399999999999999</v>
      </c>
      <c r="AB384" s="13">
        <v>0.3</v>
      </c>
      <c r="AC384" s="13">
        <v>2.92</v>
      </c>
      <c r="AD384" s="13">
        <v>0.06</v>
      </c>
      <c r="AE384" s="13">
        <v>0.22</v>
      </c>
      <c r="AF384" s="13">
        <v>5.84</v>
      </c>
      <c r="AG384" s="13">
        <v>270</v>
      </c>
      <c r="AH384" s="13">
        <v>1.27</v>
      </c>
      <c r="AI384" s="13">
        <v>0</v>
      </c>
      <c r="AJ384" s="13">
        <v>0</v>
      </c>
      <c r="AK384" s="13">
        <v>5.0999999999999996</v>
      </c>
      <c r="AL384" s="13">
        <v>0</v>
      </c>
      <c r="AM384" s="13">
        <v>0</v>
      </c>
      <c r="AN384" s="13">
        <v>1.2E-2</v>
      </c>
      <c r="AO384" s="11">
        <v>0</v>
      </c>
      <c r="AP384" s="11">
        <v>0</v>
      </c>
      <c r="AQ384" s="13">
        <v>0.157</v>
      </c>
      <c r="AR384" s="13">
        <v>0.127</v>
      </c>
      <c r="AS384" s="13">
        <v>1.621</v>
      </c>
      <c r="AT384" s="13">
        <v>0.183</v>
      </c>
      <c r="AU384" s="13">
        <v>0.89600000000000002</v>
      </c>
      <c r="AV384" s="13">
        <v>2.2189999999999999</v>
      </c>
      <c r="AW384" s="13">
        <v>0.68300000000000005</v>
      </c>
      <c r="AX384" s="9">
        <f>Tabelle1[[#This Row],[Vitamin D3 '[µg/100g']]]*40</f>
        <v>14.559999999999999</v>
      </c>
      <c r="AY384" s="9">
        <f>Tabelle1[[#This Row],[Vitamin A '[µg/100g']]]*3.33</f>
        <v>9.7235999999999994</v>
      </c>
      <c r="AZ384" s="9">
        <f>Tabelle1[[#This Row],[Vitamin E '[mg/100g']]]*1.49</f>
        <v>0.44700000000000001</v>
      </c>
    </row>
    <row r="385" spans="1:52" hidden="1" x14ac:dyDescent="0.45">
      <c r="A385" t="s">
        <v>58</v>
      </c>
      <c r="B385" s="3" t="s">
        <v>115</v>
      </c>
      <c r="C385" s="4" t="s">
        <v>116</v>
      </c>
      <c r="D385" s="11">
        <v>187</v>
      </c>
      <c r="E385" s="13">
        <f>Tabelle1[[#This Row],[Energie '[kcal/100g']]]/239</f>
        <v>0.78242677824267781</v>
      </c>
      <c r="F385" s="11">
        <v>28.6</v>
      </c>
      <c r="G385" s="11">
        <f>Tabelle1[[#This Row],[Rohprotein '[g/100g']]]*0.85</f>
        <v>24.310000000000002</v>
      </c>
      <c r="H385" s="11">
        <v>8.1</v>
      </c>
      <c r="I385" s="11">
        <f>Tabelle1[[#This Row],[TS]]-Tabelle1[[#This Row],[Rohprotein '[g/100g']]]-Tabelle1[[#This Row],[Rohfett '[g/100g']]]-Tabelle1[[#This Row],[Rohasche '[g/100g']]]-Tabelle1[[#This Row],[Rohfaser '[g/100g']]]</f>
        <v>-0.50000000000000389</v>
      </c>
      <c r="J385" s="11">
        <v>0</v>
      </c>
      <c r="K385" s="11">
        <v>0.6</v>
      </c>
      <c r="L385" s="11">
        <v>63.2</v>
      </c>
      <c r="M385" s="11">
        <f>100-Tabelle1[[#This Row],[Wasser '[g/100g']]]</f>
        <v>36.799999999999997</v>
      </c>
      <c r="N385" s="11">
        <v>7.3</v>
      </c>
      <c r="O385" s="11">
        <v>187</v>
      </c>
      <c r="P385" s="11">
        <v>23.1</v>
      </c>
      <c r="Q385" s="11">
        <v>50</v>
      </c>
      <c r="R385" s="11">
        <v>308</v>
      </c>
      <c r="S385" s="11"/>
      <c r="T385" s="11">
        <v>3.9</v>
      </c>
      <c r="U385" s="11">
        <v>6.4</v>
      </c>
      <c r="V385" s="11">
        <v>0</v>
      </c>
      <c r="W385" s="11">
        <v>115.2</v>
      </c>
      <c r="X385" s="11">
        <v>16.7</v>
      </c>
      <c r="Y385" s="11">
        <v>1.5</v>
      </c>
      <c r="Z385" s="11"/>
      <c r="AA385" s="11">
        <v>0.45500000000000002</v>
      </c>
      <c r="AB385" s="11">
        <v>0.3</v>
      </c>
      <c r="AC385" s="11">
        <v>3.41</v>
      </c>
      <c r="AD385" s="11">
        <v>0.06</v>
      </c>
      <c r="AE385" s="11">
        <v>0.23</v>
      </c>
      <c r="AF385" s="11">
        <v>5</v>
      </c>
      <c r="AG385" s="11">
        <v>220</v>
      </c>
      <c r="AH385" s="11">
        <v>1.27</v>
      </c>
      <c r="AI385" s="11">
        <v>0</v>
      </c>
      <c r="AJ385" s="13">
        <v>0</v>
      </c>
      <c r="AK385" s="11">
        <v>4</v>
      </c>
      <c r="AL385" s="13">
        <v>0</v>
      </c>
      <c r="AM385" s="11">
        <v>0</v>
      </c>
      <c r="AN385" s="11">
        <v>1.4E-2</v>
      </c>
      <c r="AO385" s="11">
        <v>0</v>
      </c>
      <c r="AP385" s="11">
        <v>0</v>
      </c>
      <c r="AQ385" s="11">
        <v>0.17199999999999999</v>
      </c>
      <c r="AR385" s="11">
        <v>0.13900000000000001</v>
      </c>
      <c r="AS385" s="11">
        <v>1.7729999999999999</v>
      </c>
      <c r="AT385" s="11">
        <v>0.2</v>
      </c>
      <c r="AU385" s="11">
        <v>0.98</v>
      </c>
      <c r="AV385" s="11">
        <v>2.427</v>
      </c>
      <c r="AW385" s="11">
        <v>0.747</v>
      </c>
      <c r="AX385" s="9">
        <f>Tabelle1[[#This Row],[Vitamin D3 '[µg/100g']]]*40</f>
        <v>18.2</v>
      </c>
      <c r="AY385" s="9">
        <f>Tabelle1[[#This Row],[Vitamin A '[µg/100g']]]*3.33</f>
        <v>11.355300000000002</v>
      </c>
      <c r="AZ385" s="9">
        <f>Tabelle1[[#This Row],[Vitamin E '[mg/100g']]]*1.49</f>
        <v>0.44700000000000001</v>
      </c>
    </row>
    <row r="386" spans="1:52" hidden="1" x14ac:dyDescent="0.45">
      <c r="A386" t="s">
        <v>58</v>
      </c>
      <c r="B386" s="5" t="s">
        <v>117</v>
      </c>
      <c r="C386" s="6" t="s">
        <v>118</v>
      </c>
      <c r="D386" s="13">
        <v>188</v>
      </c>
      <c r="E386" s="13">
        <f>Tabelle1[[#This Row],[Energie '[kcal/100g']]]/239</f>
        <v>0.78661087866108792</v>
      </c>
      <c r="F386" s="13">
        <v>28.6</v>
      </c>
      <c r="G386" s="11">
        <f>Tabelle1[[#This Row],[Rohprotein '[g/100g']]]*0.85</f>
        <v>24.310000000000002</v>
      </c>
      <c r="H386" s="13">
        <v>8.1999999999999993</v>
      </c>
      <c r="I386" s="11">
        <f>Tabelle1[[#This Row],[TS]]-Tabelle1[[#This Row],[Rohprotein '[g/100g']]]-Tabelle1[[#This Row],[Rohfett '[g/100g']]]-Tabelle1[[#This Row],[Rohasche '[g/100g']]]-Tabelle1[[#This Row],[Rohfaser '[g/100g']]]</f>
        <v>-0.50000000000000355</v>
      </c>
      <c r="J386" s="11">
        <v>0</v>
      </c>
      <c r="K386" s="13">
        <v>1</v>
      </c>
      <c r="L386" s="13">
        <v>62.7</v>
      </c>
      <c r="M386" s="13">
        <f>100-Tabelle1[[#This Row],[Wasser '[g/100g']]]</f>
        <v>37.299999999999997</v>
      </c>
      <c r="N386" s="13">
        <v>7</v>
      </c>
      <c r="O386" s="13">
        <v>179</v>
      </c>
      <c r="P386" s="13">
        <v>22.1</v>
      </c>
      <c r="Q386" s="13">
        <v>47.8</v>
      </c>
      <c r="R386" s="13">
        <v>295</v>
      </c>
      <c r="S386" s="13"/>
      <c r="T386" s="13">
        <v>3.8</v>
      </c>
      <c r="U386" s="13">
        <v>6.1</v>
      </c>
      <c r="V386" s="11">
        <v>0</v>
      </c>
      <c r="W386" s="13">
        <v>110.1</v>
      </c>
      <c r="X386" s="13">
        <v>15.9</v>
      </c>
      <c r="Y386" s="13">
        <v>1.4</v>
      </c>
      <c r="Z386" s="13"/>
      <c r="AA386" s="13">
        <v>0.46400000000000002</v>
      </c>
      <c r="AB386" s="13">
        <v>0.3</v>
      </c>
      <c r="AC386" s="13">
        <v>3.26</v>
      </c>
      <c r="AD386" s="13">
        <v>0.06</v>
      </c>
      <c r="AE386" s="13">
        <v>0.22</v>
      </c>
      <c r="AF386" s="13">
        <v>4.78</v>
      </c>
      <c r="AG386" s="13">
        <v>210</v>
      </c>
      <c r="AH386" s="13">
        <v>1.22</v>
      </c>
      <c r="AI386" s="13">
        <v>0</v>
      </c>
      <c r="AJ386" s="13">
        <v>0</v>
      </c>
      <c r="AK386" s="13">
        <v>3.9</v>
      </c>
      <c r="AL386" s="13">
        <v>0</v>
      </c>
      <c r="AM386" s="13">
        <v>0</v>
      </c>
      <c r="AN386" s="13">
        <v>1.4E-2</v>
      </c>
      <c r="AO386" s="11">
        <v>0</v>
      </c>
      <c r="AP386" s="11">
        <v>0</v>
      </c>
      <c r="AQ386" s="13">
        <v>0.17499999999999999</v>
      </c>
      <c r="AR386" s="13">
        <v>0.14099999999999999</v>
      </c>
      <c r="AS386" s="13">
        <v>1.7709999999999999</v>
      </c>
      <c r="AT386" s="13">
        <v>0.2</v>
      </c>
      <c r="AU386" s="13">
        <v>0.98</v>
      </c>
      <c r="AV386" s="13">
        <v>2.4249999999999998</v>
      </c>
      <c r="AW386" s="13">
        <v>0.747</v>
      </c>
      <c r="AX386" s="9">
        <f>Tabelle1[[#This Row],[Vitamin D3 '[µg/100g']]]*40</f>
        <v>18.560000000000002</v>
      </c>
      <c r="AY386" s="9">
        <f>Tabelle1[[#This Row],[Vitamin A '[µg/100g']]]*3.33</f>
        <v>10.8558</v>
      </c>
      <c r="AZ386" s="9">
        <f>Tabelle1[[#This Row],[Vitamin E '[mg/100g']]]*1.49</f>
        <v>0.44700000000000001</v>
      </c>
    </row>
    <row r="387" spans="1:52" hidden="1" x14ac:dyDescent="0.45">
      <c r="A387" t="s">
        <v>58</v>
      </c>
      <c r="B387" s="5" t="s">
        <v>119</v>
      </c>
      <c r="C387" s="6" t="s">
        <v>120</v>
      </c>
      <c r="D387" s="13">
        <v>148</v>
      </c>
      <c r="E387" s="13">
        <f>Tabelle1[[#This Row],[Energie '[kcal/100g']]]/239</f>
        <v>0.61924686192468614</v>
      </c>
      <c r="F387" s="13">
        <v>21</v>
      </c>
      <c r="G387" s="11">
        <f>Tabelle1[[#This Row],[Rohprotein '[g/100g']]]*0.85</f>
        <v>17.849999999999998</v>
      </c>
      <c r="H387" s="13">
        <v>7.1</v>
      </c>
      <c r="I387" s="11">
        <f>Tabelle1[[#This Row],[TS]]-Tabelle1[[#This Row],[Rohprotein '[g/100g']]]-Tabelle1[[#This Row],[Rohfett '[g/100g']]]-Tabelle1[[#This Row],[Rohasche '[g/100g']]]-Tabelle1[[#This Row],[Rohfaser '[g/100g']]]</f>
        <v>-0.50000000000000533</v>
      </c>
      <c r="J387" s="11">
        <v>0</v>
      </c>
      <c r="K387" s="13">
        <v>1</v>
      </c>
      <c r="L387" s="13">
        <v>71.400000000000006</v>
      </c>
      <c r="M387" s="13">
        <f>100-Tabelle1[[#This Row],[Wasser '[g/100g']]]</f>
        <v>28.599999999999994</v>
      </c>
      <c r="N387" s="13">
        <v>6</v>
      </c>
      <c r="O387" s="13">
        <v>190</v>
      </c>
      <c r="P387" s="13">
        <v>23.5</v>
      </c>
      <c r="Q387" s="13">
        <v>60</v>
      </c>
      <c r="R387" s="13">
        <v>370</v>
      </c>
      <c r="S387" s="13"/>
      <c r="T387" s="13">
        <v>2.6</v>
      </c>
      <c r="U387" s="13">
        <v>4.2</v>
      </c>
      <c r="V387" s="11">
        <v>0</v>
      </c>
      <c r="W387" s="13">
        <v>80</v>
      </c>
      <c r="X387" s="13">
        <v>11</v>
      </c>
      <c r="Y387" s="13">
        <v>2</v>
      </c>
      <c r="Z387" s="13"/>
      <c r="AA387" s="13">
        <v>0.4</v>
      </c>
      <c r="AB387" s="13">
        <v>0.3</v>
      </c>
      <c r="AC387" s="13">
        <v>3</v>
      </c>
      <c r="AD387" s="13">
        <v>0.09</v>
      </c>
      <c r="AE387" s="13">
        <v>0.18</v>
      </c>
      <c r="AF387" s="13">
        <v>6</v>
      </c>
      <c r="AG387" s="13">
        <v>420</v>
      </c>
      <c r="AH387" s="13">
        <v>1.4</v>
      </c>
      <c r="AI387" s="13">
        <v>0</v>
      </c>
      <c r="AJ387" s="13">
        <v>0</v>
      </c>
      <c r="AK387" s="13">
        <v>4.0999999999999996</v>
      </c>
      <c r="AL387" s="13">
        <v>0</v>
      </c>
      <c r="AM387" s="13">
        <v>0</v>
      </c>
      <c r="AN387" s="13">
        <v>1.2E-2</v>
      </c>
      <c r="AO387" s="11">
        <v>0</v>
      </c>
      <c r="AP387" s="11">
        <v>0</v>
      </c>
      <c r="AQ387" s="13">
        <v>0.151</v>
      </c>
      <c r="AR387" s="13">
        <v>0.122</v>
      </c>
      <c r="AS387" s="13">
        <v>1.3</v>
      </c>
      <c r="AT387" s="13">
        <v>0.14699999999999999</v>
      </c>
      <c r="AU387" s="13">
        <v>0.71899999999999997</v>
      </c>
      <c r="AV387" s="13">
        <v>1.78</v>
      </c>
      <c r="AW387" s="13">
        <v>0.54800000000000004</v>
      </c>
      <c r="AX387" s="9">
        <f>Tabelle1[[#This Row],[Vitamin D3 '[µg/100g']]]*40</f>
        <v>16</v>
      </c>
      <c r="AY387" s="9">
        <f>Tabelle1[[#This Row],[Vitamin A '[µg/100g']]]*3.33</f>
        <v>9.99</v>
      </c>
      <c r="AZ387" s="9">
        <f>Tabelle1[[#This Row],[Vitamin E '[mg/100g']]]*1.49</f>
        <v>0.44700000000000001</v>
      </c>
    </row>
    <row r="388" spans="1:52" hidden="1" x14ac:dyDescent="0.45">
      <c r="A388" t="s">
        <v>1151</v>
      </c>
      <c r="B388" s="5" t="s">
        <v>1099</v>
      </c>
      <c r="C388" s="6" t="s">
        <v>1100</v>
      </c>
      <c r="D388" s="13">
        <v>159</v>
      </c>
      <c r="E388" s="11">
        <f>Tabelle1[[#This Row],[Energie '[kcal/100g']]]/239</f>
        <v>0.66527196652719667</v>
      </c>
      <c r="F388" s="13">
        <v>22.812000000000001</v>
      </c>
      <c r="G388" s="11">
        <f>Tabelle1[[#This Row],[Rohprotein '[g/100g']]]*0.85</f>
        <v>19.3902</v>
      </c>
      <c r="H388" s="13">
        <v>4.5750000000000002</v>
      </c>
      <c r="I388" s="11">
        <f>Tabelle1[[#This Row],[TS]]-Tabelle1[[#This Row],[Rohprotein '[g/100g']]]-Tabelle1[[#This Row],[Rohfett '[g/100g']]]-Tabelle1[[#This Row],[Rohasche '[g/100g']]]-Tabelle1[[#This Row],[Rohfaser '[g/100g']]]</f>
        <v>7.8949999999999996</v>
      </c>
      <c r="J388" s="11">
        <v>0</v>
      </c>
      <c r="K388" s="13">
        <v>1.462</v>
      </c>
      <c r="L388" s="13">
        <v>63.256</v>
      </c>
      <c r="M388" s="13">
        <f>100-Tabelle1[[#This Row],[Wasser '[g/100g']]]</f>
        <v>36.744</v>
      </c>
      <c r="N388" s="13">
        <v>7.2</v>
      </c>
      <c r="O388" s="13">
        <v>350.8</v>
      </c>
      <c r="P388" s="13">
        <v>22</v>
      </c>
      <c r="Q388" s="13">
        <v>123</v>
      </c>
      <c r="R388" s="13">
        <v>319</v>
      </c>
      <c r="S388" s="13"/>
      <c r="T388" s="13">
        <v>8.1999999999999993</v>
      </c>
      <c r="U388" s="13">
        <v>4.1900000000000004</v>
      </c>
      <c r="V388" s="11">
        <v>0</v>
      </c>
      <c r="W388" s="13">
        <v>5452</v>
      </c>
      <c r="X388" s="13">
        <v>340</v>
      </c>
      <c r="Y388" s="13">
        <v>14</v>
      </c>
      <c r="Z388" s="13"/>
      <c r="AA388" s="13">
        <v>2</v>
      </c>
      <c r="AB388" s="13">
        <v>0.93799999999999994</v>
      </c>
      <c r="AC388" s="13">
        <v>4081</v>
      </c>
      <c r="AD388" s="13">
        <v>0.28299999999999997</v>
      </c>
      <c r="AE388" s="13">
        <v>3.6629999999999998</v>
      </c>
      <c r="AF388" s="13">
        <v>15.619</v>
      </c>
      <c r="AG388" s="13">
        <v>850</v>
      </c>
      <c r="AH388" s="13">
        <v>61</v>
      </c>
      <c r="AI388" s="13">
        <v>30</v>
      </c>
      <c r="AJ388" s="13">
        <v>18.100000000000001</v>
      </c>
      <c r="AK388" s="13">
        <v>60</v>
      </c>
      <c r="AL388" s="13">
        <v>106</v>
      </c>
      <c r="AM388" s="13">
        <v>0</v>
      </c>
      <c r="AN388" s="13">
        <v>0.129</v>
      </c>
      <c r="AO388" s="13">
        <v>7.0000000000000001E-3</v>
      </c>
      <c r="AP388" s="13">
        <v>8.0000000000000002E-3</v>
      </c>
      <c r="AQ388" s="13">
        <v>0.501</v>
      </c>
      <c r="AR388" s="13">
        <v>0.45200000000000001</v>
      </c>
      <c r="AS388" s="13">
        <v>1.544</v>
      </c>
      <c r="AT388" s="13">
        <v>0.33200000000000002</v>
      </c>
      <c r="AU388" s="13">
        <v>0.78400000000000003</v>
      </c>
      <c r="AV388" s="13">
        <v>2.0779999999999998</v>
      </c>
      <c r="AW388" s="13">
        <v>0.71199999999999997</v>
      </c>
      <c r="AX388" s="9">
        <f>Tabelle1[[#This Row],[Vitamin D3 '[µg/100g']]]*40</f>
        <v>80</v>
      </c>
      <c r="AY388" s="9">
        <f>Tabelle1[[#This Row],[Vitamin A '[µg/100g']]]*3.33</f>
        <v>13589.73</v>
      </c>
      <c r="AZ388" s="9">
        <f>Tabelle1[[#This Row],[Vitamin E '[mg/100g']]]*1.49</f>
        <v>1.3976199999999999</v>
      </c>
    </row>
    <row r="389" spans="1:52" hidden="1" x14ac:dyDescent="0.45">
      <c r="A389" t="s">
        <v>1151</v>
      </c>
      <c r="B389" s="3" t="s">
        <v>1101</v>
      </c>
      <c r="C389" s="4" t="s">
        <v>1102</v>
      </c>
      <c r="D389" s="11">
        <v>131</v>
      </c>
      <c r="E389" s="11">
        <f>Tabelle1[[#This Row],[Energie '[kcal/100g']]]/239</f>
        <v>0.54811715481171552</v>
      </c>
      <c r="F389" s="11">
        <v>19.21</v>
      </c>
      <c r="G389" s="11">
        <f>Tabelle1[[#This Row],[Rohprotein '[g/100g']]]*0.85</f>
        <v>16.328500000000002</v>
      </c>
      <c r="H389" s="11">
        <v>3.66</v>
      </c>
      <c r="I389" s="11">
        <f>Tabelle1[[#This Row],[TS]]-Tabelle1[[#This Row],[Rohprotein '[g/100g']]]-Tabelle1[[#This Row],[Rohfett '[g/100g']]]-Tabelle1[[#This Row],[Rohasche '[g/100g']]]-Tabelle1[[#This Row],[Rohfaser '[g/100g']]]</f>
        <v>6.5699999999999985</v>
      </c>
      <c r="J389" s="11">
        <v>0</v>
      </c>
      <c r="K389" s="11">
        <v>1.56</v>
      </c>
      <c r="L389" s="11">
        <v>69</v>
      </c>
      <c r="M389" s="11">
        <f>100-Tabelle1[[#This Row],[Wasser '[g/100g']]]</f>
        <v>31</v>
      </c>
      <c r="N389" s="11">
        <v>5.8</v>
      </c>
      <c r="O389" s="11">
        <v>350.8</v>
      </c>
      <c r="P389" s="11">
        <v>21</v>
      </c>
      <c r="Q389" s="11">
        <v>116</v>
      </c>
      <c r="R389" s="11">
        <v>340</v>
      </c>
      <c r="S389" s="11"/>
      <c r="T389" s="11">
        <v>6.9</v>
      </c>
      <c r="U389" s="11">
        <v>3.94</v>
      </c>
      <c r="V389" s="11">
        <v>0</v>
      </c>
      <c r="W389" s="11">
        <v>5452</v>
      </c>
      <c r="X389" s="11">
        <v>270</v>
      </c>
      <c r="Y389" s="11">
        <v>14</v>
      </c>
      <c r="Z389" s="11"/>
      <c r="AA389" s="11">
        <v>1.7</v>
      </c>
      <c r="AB389" s="11">
        <v>0.75</v>
      </c>
      <c r="AC389" s="11">
        <v>3.2</v>
      </c>
      <c r="AD389" s="11">
        <v>0.26600000000000001</v>
      </c>
      <c r="AE389" s="11">
        <v>3.085</v>
      </c>
      <c r="AF389" s="11">
        <v>14.7</v>
      </c>
      <c r="AG389" s="11">
        <v>850</v>
      </c>
      <c r="AH389" s="11">
        <v>65</v>
      </c>
      <c r="AI389" s="11">
        <v>32</v>
      </c>
      <c r="AJ389" s="11">
        <v>14.5</v>
      </c>
      <c r="AK389" s="11">
        <v>1.7</v>
      </c>
      <c r="AL389" s="11">
        <v>100</v>
      </c>
      <c r="AM389" s="11">
        <v>0</v>
      </c>
      <c r="AN389" s="11">
        <v>0.10299999999999999</v>
      </c>
      <c r="AO389" s="11">
        <v>8.8999999999999995E-4</v>
      </c>
      <c r="AP389" s="11">
        <v>2.9999999999999997E-4</v>
      </c>
      <c r="AQ389" s="11">
        <v>0.40100000000000002</v>
      </c>
      <c r="AR389" s="11">
        <v>0.36199999999999999</v>
      </c>
      <c r="AS389" s="11">
        <v>1.3</v>
      </c>
      <c r="AT389" s="11">
        <v>0.28000000000000003</v>
      </c>
      <c r="AU389" s="11">
        <v>0.66</v>
      </c>
      <c r="AV389" s="11">
        <v>1.75</v>
      </c>
      <c r="AW389" s="11">
        <v>0.6</v>
      </c>
      <c r="AX389" s="9">
        <f>Tabelle1[[#This Row],[Vitamin D3 '[µg/100g']]]*40</f>
        <v>68</v>
      </c>
      <c r="AY389" s="9">
        <f>Tabelle1[[#This Row],[Vitamin A '[µg/100g']]]*3.33</f>
        <v>10.656000000000001</v>
      </c>
      <c r="AZ389" s="9">
        <f>Tabelle1[[#This Row],[Vitamin E '[mg/100g']]]*1.49</f>
        <v>1.1174999999999999</v>
      </c>
    </row>
    <row r="390" spans="1:52" hidden="1" x14ac:dyDescent="0.45">
      <c r="A390" t="s">
        <v>1151</v>
      </c>
      <c r="B390" s="3" t="s">
        <v>1103</v>
      </c>
      <c r="C390" s="4" t="s">
        <v>1104</v>
      </c>
      <c r="D390" s="11">
        <v>96</v>
      </c>
      <c r="E390" s="11">
        <f>Tabelle1[[#This Row],[Energie '[kcal/100g']]]/239</f>
        <v>0.40167364016736401</v>
      </c>
      <c r="F390" s="11">
        <v>18.100000000000001</v>
      </c>
      <c r="G390" s="11">
        <f>Tabelle1[[#This Row],[Rohprotein '[g/100g']]]*0.85</f>
        <v>15.385000000000002</v>
      </c>
      <c r="H390" s="11">
        <v>2.5779999999999998</v>
      </c>
      <c r="I390" s="11">
        <f>Tabelle1[[#This Row],[TS]]-Tabelle1[[#This Row],[Rohprotein '[g/100g']]]-Tabelle1[[#This Row],[Rohfett '[g/100g']]]-Tabelle1[[#This Row],[Rohasche '[g/100g']]]-Tabelle1[[#This Row],[Rohfaser '[g/100g']]]</f>
        <v>0.47999999999999254</v>
      </c>
      <c r="J390" s="11">
        <v>0</v>
      </c>
      <c r="K390" s="11">
        <v>0.68</v>
      </c>
      <c r="L390" s="11">
        <v>78.162000000000006</v>
      </c>
      <c r="M390" s="11">
        <f>100-Tabelle1[[#This Row],[Wasser '[g/100g']]]</f>
        <v>21.837999999999994</v>
      </c>
      <c r="N390" s="11">
        <v>10.032</v>
      </c>
      <c r="O390" s="11">
        <v>194</v>
      </c>
      <c r="P390" s="11">
        <v>12</v>
      </c>
      <c r="Q390" s="11">
        <v>132</v>
      </c>
      <c r="R390" s="11">
        <v>160</v>
      </c>
      <c r="S390" s="11"/>
      <c r="T390" s="11">
        <v>9.2889999999999997</v>
      </c>
      <c r="U390" s="11">
        <v>2.0779999999999998</v>
      </c>
      <c r="V390" s="11">
        <v>0</v>
      </c>
      <c r="W390" s="11">
        <v>231</v>
      </c>
      <c r="X390" s="11">
        <v>21</v>
      </c>
      <c r="Y390" s="11">
        <v>0</v>
      </c>
      <c r="Z390" s="11"/>
      <c r="AA390" s="11">
        <v>0</v>
      </c>
      <c r="AB390" s="11">
        <v>0</v>
      </c>
      <c r="AC390" s="11">
        <v>49</v>
      </c>
      <c r="AD390" s="11">
        <v>7.0000000000000007E-2</v>
      </c>
      <c r="AE390" s="11">
        <v>0.30199999999999999</v>
      </c>
      <c r="AF390" s="11">
        <v>2.3719999999999999</v>
      </c>
      <c r="AG390" s="11">
        <v>35</v>
      </c>
      <c r="AH390" s="11">
        <v>2.2000000000000002</v>
      </c>
      <c r="AI390" s="11">
        <v>30.332999999999998</v>
      </c>
      <c r="AJ390" s="11">
        <v>0</v>
      </c>
      <c r="AK390" s="11">
        <v>8</v>
      </c>
      <c r="AL390" s="11">
        <v>4</v>
      </c>
      <c r="AM390" s="11">
        <v>0</v>
      </c>
      <c r="AN390" s="11">
        <v>0.29499999999999998</v>
      </c>
      <c r="AO390" s="11">
        <v>6.8000000000000005E-2</v>
      </c>
      <c r="AP390" s="11">
        <v>8.5000000000000006E-2</v>
      </c>
      <c r="AQ390" s="11">
        <v>0.122</v>
      </c>
      <c r="AR390" s="11">
        <v>0.08</v>
      </c>
      <c r="AS390" s="11">
        <v>1.01</v>
      </c>
      <c r="AT390" s="11">
        <v>0.16</v>
      </c>
      <c r="AU390" s="11">
        <v>0.47</v>
      </c>
      <c r="AV390" s="11">
        <v>1.35</v>
      </c>
      <c r="AW390" s="11">
        <v>0.37</v>
      </c>
      <c r="AX390" s="9">
        <f>Tabelle1[[#This Row],[Vitamin D3 '[µg/100g']]]*40</f>
        <v>0</v>
      </c>
      <c r="AY390" s="9">
        <f>Tabelle1[[#This Row],[Vitamin A '[µg/100g']]]*3.33</f>
        <v>163.17000000000002</v>
      </c>
      <c r="AZ390" s="9">
        <f>Tabelle1[[#This Row],[Vitamin E '[mg/100g']]]*1.49</f>
        <v>0</v>
      </c>
    </row>
    <row r="391" spans="1:52" hidden="1" x14ac:dyDescent="0.45">
      <c r="A391" t="s">
        <v>1151</v>
      </c>
      <c r="B391" s="5" t="s">
        <v>1105</v>
      </c>
      <c r="C391" s="6" t="s">
        <v>1106</v>
      </c>
      <c r="D391" s="13">
        <v>98</v>
      </c>
      <c r="E391" s="11">
        <f>Tabelle1[[#This Row],[Energie '[kcal/100g']]]/239</f>
        <v>0.41004184100418412</v>
      </c>
      <c r="F391" s="13">
        <v>18.100000000000001</v>
      </c>
      <c r="G391" s="11">
        <f>Tabelle1[[#This Row],[Rohprotein '[g/100g']]]*0.85</f>
        <v>15.385000000000002</v>
      </c>
      <c r="H391" s="13">
        <v>2.9</v>
      </c>
      <c r="I391" s="11">
        <f>Tabelle1[[#This Row],[TS]]-Tabelle1[[#This Row],[Rohprotein '[g/100g']]]-Tabelle1[[#This Row],[Rohfett '[g/100g']]]-Tabelle1[[#This Row],[Rohasche '[g/100g']]]-Tabelle1[[#This Row],[Rohfaser '[g/100g']]]</f>
        <v>0.47999999999999865</v>
      </c>
      <c r="J391" s="11">
        <v>0</v>
      </c>
      <c r="K391" s="13">
        <v>1.02</v>
      </c>
      <c r="L391" s="13">
        <v>77.5</v>
      </c>
      <c r="M391" s="13">
        <f>100-Tabelle1[[#This Row],[Wasser '[g/100g']]]</f>
        <v>22.5</v>
      </c>
      <c r="N391" s="13">
        <v>11.286</v>
      </c>
      <c r="O391" s="13">
        <v>250</v>
      </c>
      <c r="P391" s="13">
        <v>14</v>
      </c>
      <c r="Q391" s="13">
        <v>198</v>
      </c>
      <c r="R391" s="13">
        <v>240</v>
      </c>
      <c r="S391" s="13"/>
      <c r="T391" s="13">
        <v>8.8000000000000007</v>
      </c>
      <c r="U391" s="13">
        <v>2.2000000000000002</v>
      </c>
      <c r="V391" s="11">
        <v>0</v>
      </c>
      <c r="W391" s="13">
        <v>260</v>
      </c>
      <c r="X391" s="13">
        <v>19</v>
      </c>
      <c r="Y391" s="11">
        <v>0</v>
      </c>
      <c r="Z391" s="11"/>
      <c r="AA391" s="11">
        <v>0</v>
      </c>
      <c r="AB391" s="11">
        <v>0</v>
      </c>
      <c r="AC391" s="13">
        <v>23500</v>
      </c>
      <c r="AD391" s="13">
        <v>0.09</v>
      </c>
      <c r="AE391" s="13">
        <v>0.34</v>
      </c>
      <c r="AF391" s="13">
        <v>4.2699999999999996</v>
      </c>
      <c r="AG391" s="13">
        <v>70</v>
      </c>
      <c r="AH391" s="13">
        <v>3.3</v>
      </c>
      <c r="AI391" s="13">
        <v>39</v>
      </c>
      <c r="AJ391" s="11">
        <v>0</v>
      </c>
      <c r="AK391" s="13">
        <v>534</v>
      </c>
      <c r="AL391" s="13">
        <v>6</v>
      </c>
      <c r="AM391" s="13">
        <v>0</v>
      </c>
      <c r="AN391" s="13">
        <v>0.33200000000000002</v>
      </c>
      <c r="AO391" s="13">
        <v>4.0000000000000001E-3</v>
      </c>
      <c r="AP391" s="13">
        <v>0</v>
      </c>
      <c r="AQ391" s="13">
        <v>0.13800000000000001</v>
      </c>
      <c r="AR391" s="13">
        <v>0.09</v>
      </c>
      <c r="AS391" s="13">
        <v>1.01</v>
      </c>
      <c r="AT391" s="13">
        <v>0.16</v>
      </c>
      <c r="AU391" s="13">
        <v>0.47</v>
      </c>
      <c r="AV391" s="13">
        <v>1.35</v>
      </c>
      <c r="AW391" s="13">
        <v>0.37</v>
      </c>
      <c r="AX391" s="9">
        <f>Tabelle1[[#This Row],[Vitamin D3 '[µg/100g']]]*40</f>
        <v>0</v>
      </c>
      <c r="AY391" s="9">
        <f>Tabelle1[[#This Row],[Vitamin A '[µg/100g']]]*3.33</f>
        <v>78255</v>
      </c>
      <c r="AZ391" s="9">
        <f>Tabelle1[[#This Row],[Vitamin E '[mg/100g']]]*1.49</f>
        <v>0</v>
      </c>
    </row>
    <row r="392" spans="1:52" hidden="1" x14ac:dyDescent="0.45">
      <c r="A392" t="s">
        <v>1151</v>
      </c>
      <c r="B392" s="3" t="s">
        <v>1107</v>
      </c>
      <c r="C392" s="4" t="s">
        <v>1108</v>
      </c>
      <c r="D392" s="11">
        <v>100</v>
      </c>
      <c r="E392" s="11">
        <f>Tabelle1[[#This Row],[Energie '[kcal/100g']]]/239</f>
        <v>0.41841004184100417</v>
      </c>
      <c r="F392" s="11">
        <v>18.5</v>
      </c>
      <c r="G392" s="11">
        <f>Tabelle1[[#This Row],[Rohprotein '[g/100g']]]*0.85</f>
        <v>15.725</v>
      </c>
      <c r="H392" s="11">
        <v>2.9</v>
      </c>
      <c r="I392" s="11">
        <f>Tabelle1[[#This Row],[TS]]-Tabelle1[[#This Row],[Rohprotein '[g/100g']]]-Tabelle1[[#This Row],[Rohfett '[g/100g']]]-Tabelle1[[#This Row],[Rohasche '[g/100g']]]-Tabelle1[[#This Row],[Rohfaser '[g/100g']]]</f>
        <v>0.51999999999999735</v>
      </c>
      <c r="J392" s="11">
        <v>0</v>
      </c>
      <c r="K392" s="11">
        <v>1.38</v>
      </c>
      <c r="L392" s="11">
        <v>76.7</v>
      </c>
      <c r="M392" s="11">
        <f>100-Tabelle1[[#This Row],[Wasser '[g/100g']]]</f>
        <v>23.299999999999997</v>
      </c>
      <c r="N392" s="11">
        <v>6.5</v>
      </c>
      <c r="O392" s="11">
        <v>236</v>
      </c>
      <c r="P392" s="11">
        <v>21</v>
      </c>
      <c r="Q392" s="11">
        <v>99</v>
      </c>
      <c r="R392" s="11">
        <v>379</v>
      </c>
      <c r="S392" s="11"/>
      <c r="T392" s="11">
        <v>44.6</v>
      </c>
      <c r="U392" s="11">
        <v>2.84</v>
      </c>
      <c r="V392" s="11">
        <v>0</v>
      </c>
      <c r="W392" s="11">
        <v>121</v>
      </c>
      <c r="X392" s="11">
        <v>51</v>
      </c>
      <c r="Y392" s="11">
        <v>0</v>
      </c>
      <c r="Z392" s="11"/>
      <c r="AA392" s="11">
        <v>0</v>
      </c>
      <c r="AB392" s="11">
        <v>0</v>
      </c>
      <c r="AC392" s="11">
        <v>1.38</v>
      </c>
      <c r="AD392" s="11">
        <v>0.13</v>
      </c>
      <c r="AE392" s="11">
        <v>0.3</v>
      </c>
      <c r="AF392" s="11">
        <v>3.9</v>
      </c>
      <c r="AG392" s="11">
        <v>120</v>
      </c>
      <c r="AH392" s="11">
        <v>5.0999999999999996</v>
      </c>
      <c r="AI392" s="11">
        <v>23</v>
      </c>
      <c r="AJ392" s="11">
        <v>0</v>
      </c>
      <c r="AK392" s="11">
        <v>52</v>
      </c>
      <c r="AL392" s="11">
        <v>6</v>
      </c>
      <c r="AM392" s="11">
        <v>0</v>
      </c>
      <c r="AN392" s="11">
        <v>9.4E-2</v>
      </c>
      <c r="AO392" s="11">
        <v>0</v>
      </c>
      <c r="AP392" s="11">
        <v>0</v>
      </c>
      <c r="AQ392" s="11">
        <v>0.09</v>
      </c>
      <c r="AR392" s="11">
        <v>6.3E-2</v>
      </c>
      <c r="AS392" s="11">
        <v>1.05</v>
      </c>
      <c r="AT392" s="11">
        <v>0</v>
      </c>
      <c r="AU392" s="11">
        <v>0.44</v>
      </c>
      <c r="AV392" s="11">
        <v>1.44</v>
      </c>
      <c r="AW392" s="11">
        <v>0.37</v>
      </c>
      <c r="AX392" s="9">
        <f>Tabelle1[[#This Row],[Vitamin D3 '[µg/100g']]]*40</f>
        <v>0</v>
      </c>
      <c r="AY392" s="9">
        <f>Tabelle1[[#This Row],[Vitamin A '[µg/100g']]]*3.33</f>
        <v>4.5953999999999997</v>
      </c>
      <c r="AZ392" s="9">
        <f>Tabelle1[[#This Row],[Vitamin E '[mg/100g']]]*1.49</f>
        <v>0</v>
      </c>
    </row>
    <row r="393" spans="1:52" hidden="1" x14ac:dyDescent="0.45">
      <c r="A393" t="s">
        <v>58</v>
      </c>
      <c r="B393" s="3" t="s">
        <v>121</v>
      </c>
      <c r="C393" s="4" t="s">
        <v>122</v>
      </c>
      <c r="D393" s="11">
        <v>106</v>
      </c>
      <c r="E393" s="13">
        <f>Tabelle1[[#This Row],[Energie '[kcal/100g']]]/239</f>
        <v>0.44351464435146443</v>
      </c>
      <c r="F393" s="11">
        <v>22</v>
      </c>
      <c r="G393" s="11">
        <f>Tabelle1[[#This Row],[Rohprotein '[g/100g']]]*0.85</f>
        <v>18.7</v>
      </c>
      <c r="H393" s="11">
        <v>1.9</v>
      </c>
      <c r="I393" s="11">
        <f>Tabelle1[[#This Row],[TS]]-Tabelle1[[#This Row],[Rohprotein '[g/100g']]]-Tabelle1[[#This Row],[Rohfett '[g/100g']]]-Tabelle1[[#This Row],[Rohasche '[g/100g']]]-Tabelle1[[#This Row],[Rohfaser '[g/100g']]]</f>
        <v>0.76000000000000068</v>
      </c>
      <c r="J393" s="11">
        <v>0</v>
      </c>
      <c r="K393" s="11">
        <v>1.23</v>
      </c>
      <c r="L393" s="11">
        <v>74.11</v>
      </c>
      <c r="M393" s="11">
        <f>100-Tabelle1[[#This Row],[Wasser '[g/100g']]]</f>
        <v>25.89</v>
      </c>
      <c r="N393" s="11">
        <v>31.7</v>
      </c>
      <c r="O393" s="11">
        <v>189</v>
      </c>
      <c r="P393" s="11">
        <v>22.916</v>
      </c>
      <c r="Q393" s="11">
        <v>66</v>
      </c>
      <c r="R393" s="11">
        <v>358.29700000000003</v>
      </c>
      <c r="S393" s="11"/>
      <c r="T393" s="11">
        <v>2.1429999999999998</v>
      </c>
      <c r="U393" s="11">
        <v>5.0090000000000003</v>
      </c>
      <c r="V393" s="11">
        <v>0</v>
      </c>
      <c r="W393" s="11">
        <v>87</v>
      </c>
      <c r="X393" s="11">
        <v>17</v>
      </c>
      <c r="Y393" s="11">
        <v>5.4089999999999998</v>
      </c>
      <c r="Z393" s="11"/>
      <c r="AA393" s="11">
        <v>0.4</v>
      </c>
      <c r="AB393" s="11">
        <v>0.47</v>
      </c>
      <c r="AC393" s="11">
        <v>7</v>
      </c>
      <c r="AD393" s="11">
        <v>5.7000000000000002E-2</v>
      </c>
      <c r="AE393" s="11">
        <v>0.26</v>
      </c>
      <c r="AF393" s="11">
        <v>7.5</v>
      </c>
      <c r="AG393" s="11">
        <v>241</v>
      </c>
      <c r="AH393" s="11">
        <v>5</v>
      </c>
      <c r="AI393" s="11">
        <v>0</v>
      </c>
      <c r="AJ393" s="11">
        <v>1.7</v>
      </c>
      <c r="AK393" s="11">
        <v>5</v>
      </c>
      <c r="AL393" s="11">
        <v>3</v>
      </c>
      <c r="AM393" s="11">
        <v>0</v>
      </c>
      <c r="AN393" s="11">
        <v>2.64E-2</v>
      </c>
      <c r="AO393" s="11">
        <v>0</v>
      </c>
      <c r="AP393" s="11">
        <v>0</v>
      </c>
      <c r="AQ393" s="11">
        <v>7.9649999999999999E-2</v>
      </c>
      <c r="AR393" s="11">
        <v>6.3896999999999995E-2</v>
      </c>
      <c r="AS393" s="11">
        <v>1.54</v>
      </c>
      <c r="AT393" s="11">
        <v>0.28000000000000003</v>
      </c>
      <c r="AU393" s="11">
        <v>0.85</v>
      </c>
      <c r="AV393" s="11">
        <v>2.31</v>
      </c>
      <c r="AW393" s="11">
        <v>0.65</v>
      </c>
      <c r="AX393" s="9">
        <f>Tabelle1[[#This Row],[Vitamin D3 '[µg/100g']]]*40</f>
        <v>16</v>
      </c>
      <c r="AY393" s="9">
        <f>Tabelle1[[#This Row],[Vitamin A '[µg/100g']]]*3.33</f>
        <v>23.310000000000002</v>
      </c>
      <c r="AZ393" s="9">
        <f>Tabelle1[[#This Row],[Vitamin E '[mg/100g']]]*1.49</f>
        <v>0.70029999999999992</v>
      </c>
    </row>
    <row r="394" spans="1:52" hidden="1" x14ac:dyDescent="0.45">
      <c r="A394" t="s">
        <v>1151</v>
      </c>
      <c r="B394" s="5" t="s">
        <v>1109</v>
      </c>
      <c r="C394" s="6" t="s">
        <v>1110</v>
      </c>
      <c r="D394" s="13">
        <v>111</v>
      </c>
      <c r="E394" s="11">
        <f>Tabelle1[[#This Row],[Energie '[kcal/100g']]]/239</f>
        <v>0.46443514644351463</v>
      </c>
      <c r="F394" s="13">
        <v>16.2</v>
      </c>
      <c r="G394" s="11">
        <f>Tabelle1[[#This Row],[Rohprotein '[g/100g']]]*0.85</f>
        <v>13.77</v>
      </c>
      <c r="H394" s="13">
        <v>5.14</v>
      </c>
      <c r="I394" s="11">
        <f>Tabelle1[[#This Row],[TS]]-Tabelle1[[#This Row],[Rohprotein '[g/100g']]]-Tabelle1[[#This Row],[Rohfett '[g/100g']]]-Tabelle1[[#This Row],[Rohasche '[g/100g']]]-Tabelle1[[#This Row],[Rohfaser '[g/100g']]]</f>
        <v>1.3900000000000068</v>
      </c>
      <c r="J394" s="11">
        <v>0</v>
      </c>
      <c r="K394" s="13">
        <v>1.17</v>
      </c>
      <c r="L394" s="13">
        <v>76.099999999999994</v>
      </c>
      <c r="M394" s="13">
        <f>100-Tabelle1[[#This Row],[Wasser '[g/100g']]]</f>
        <v>23.900000000000006</v>
      </c>
      <c r="N394" s="13">
        <v>11</v>
      </c>
      <c r="O394" s="13">
        <v>270</v>
      </c>
      <c r="P394" s="13">
        <v>19</v>
      </c>
      <c r="Q394" s="13">
        <v>196</v>
      </c>
      <c r="R394" s="13">
        <v>220</v>
      </c>
      <c r="S394" s="13"/>
      <c r="T394" s="13">
        <v>10.75</v>
      </c>
      <c r="U394" s="13">
        <v>1.96</v>
      </c>
      <c r="V394" s="11">
        <v>0</v>
      </c>
      <c r="W394" s="13">
        <v>400</v>
      </c>
      <c r="X394" s="13">
        <v>102</v>
      </c>
      <c r="Y394" s="11">
        <v>0</v>
      </c>
      <c r="Z394" s="11"/>
      <c r="AA394" s="13">
        <v>0.1</v>
      </c>
      <c r="AB394" s="13">
        <v>0.3</v>
      </c>
      <c r="AC394" s="13">
        <v>83</v>
      </c>
      <c r="AD394" s="13">
        <v>0.3</v>
      </c>
      <c r="AE394" s="13">
        <v>2.2599999999999998</v>
      </c>
      <c r="AF394" s="13">
        <v>6.17</v>
      </c>
      <c r="AG394" s="13">
        <v>390</v>
      </c>
      <c r="AH394" s="13">
        <v>33.4</v>
      </c>
      <c r="AI394" s="13">
        <v>11</v>
      </c>
      <c r="AJ394" s="11">
        <v>0</v>
      </c>
      <c r="AK394" s="13">
        <v>8</v>
      </c>
      <c r="AL394" s="13">
        <v>58</v>
      </c>
      <c r="AM394" s="13">
        <v>0</v>
      </c>
      <c r="AN394" s="13">
        <v>3.6999999999999998E-2</v>
      </c>
      <c r="AO394" s="13">
        <v>0.04</v>
      </c>
      <c r="AP394" s="13">
        <v>0.03</v>
      </c>
      <c r="AQ394" s="13">
        <v>6.8000000000000005E-2</v>
      </c>
      <c r="AR394" s="13">
        <v>6.8000000000000005E-2</v>
      </c>
      <c r="AS394" s="13">
        <v>1.06</v>
      </c>
      <c r="AT394" s="13">
        <v>0.27</v>
      </c>
      <c r="AU394" s="13">
        <v>0.55200000000000005</v>
      </c>
      <c r="AV394" s="13">
        <v>1.32</v>
      </c>
      <c r="AW394" s="13">
        <v>0.47799999999999998</v>
      </c>
      <c r="AX394" s="9">
        <f>Tabelle1[[#This Row],[Vitamin D3 '[µg/100g']]]*40</f>
        <v>4</v>
      </c>
      <c r="AY394" s="9">
        <f>Tabelle1[[#This Row],[Vitamin A '[µg/100g']]]*3.33</f>
        <v>276.39</v>
      </c>
      <c r="AZ394" s="9">
        <f>Tabelle1[[#This Row],[Vitamin E '[mg/100g']]]*1.49</f>
        <v>0.44700000000000001</v>
      </c>
    </row>
    <row r="395" spans="1:52" hidden="1" x14ac:dyDescent="0.45">
      <c r="A395" t="s">
        <v>58</v>
      </c>
      <c r="B395" s="5" t="s">
        <v>123</v>
      </c>
      <c r="C395" s="6" t="s">
        <v>124</v>
      </c>
      <c r="D395" s="13">
        <v>159</v>
      </c>
      <c r="E395" s="13">
        <f>Tabelle1[[#This Row],[Energie '[kcal/100g']]]/239</f>
        <v>0.66527196652719667</v>
      </c>
      <c r="F395" s="13">
        <v>28.204999999999998</v>
      </c>
      <c r="G395" s="11">
        <f>Tabelle1[[#This Row],[Rohprotein '[g/100g']]]*0.85</f>
        <v>23.974249999999998</v>
      </c>
      <c r="H395" s="13">
        <v>5.101</v>
      </c>
      <c r="I395" s="11">
        <f>Tabelle1[[#This Row],[TS]]-Tabelle1[[#This Row],[Rohprotein '[g/100g']]]-Tabelle1[[#This Row],[Rohfett '[g/100g']]]-Tabelle1[[#This Row],[Rohasche '[g/100g']]]-Tabelle1[[#This Row],[Rohfaser '[g/100g']]]</f>
        <v>-1.6909999999999954</v>
      </c>
      <c r="J395" s="11">
        <v>0</v>
      </c>
      <c r="K395" s="13">
        <v>1.085</v>
      </c>
      <c r="L395" s="13">
        <v>67.3</v>
      </c>
      <c r="M395" s="13">
        <f>100-Tabelle1[[#This Row],[Wasser '[g/100g']]]</f>
        <v>32.700000000000003</v>
      </c>
      <c r="N395" s="13">
        <v>8</v>
      </c>
      <c r="O395" s="13">
        <v>251</v>
      </c>
      <c r="P395" s="13">
        <v>30</v>
      </c>
      <c r="Q395" s="13">
        <v>56</v>
      </c>
      <c r="R395" s="13">
        <v>410</v>
      </c>
      <c r="S395" s="13"/>
      <c r="T395" s="13">
        <v>3.31</v>
      </c>
      <c r="U395" s="13">
        <v>5.2110000000000003</v>
      </c>
      <c r="V395" s="11">
        <v>0</v>
      </c>
      <c r="W395" s="13">
        <v>121</v>
      </c>
      <c r="X395" s="13">
        <v>15</v>
      </c>
      <c r="Y395" s="13">
        <v>2.1</v>
      </c>
      <c r="Z395" s="13"/>
      <c r="AA395" s="13">
        <v>0.39400000000000002</v>
      </c>
      <c r="AB395" s="13">
        <v>0.3</v>
      </c>
      <c r="AC395" s="13">
        <v>5.6</v>
      </c>
      <c r="AD395" s="13">
        <v>3.9E-2</v>
      </c>
      <c r="AE395" s="13">
        <v>0.127</v>
      </c>
      <c r="AF395" s="13">
        <v>4.9649999999999999</v>
      </c>
      <c r="AG395" s="13">
        <v>235</v>
      </c>
      <c r="AH395" s="13">
        <v>3.21</v>
      </c>
      <c r="AI395" s="13">
        <v>0</v>
      </c>
      <c r="AJ395" s="13">
        <v>4.58</v>
      </c>
      <c r="AK395" s="13">
        <v>12.6</v>
      </c>
      <c r="AL395" s="13">
        <v>6</v>
      </c>
      <c r="AM395" s="13">
        <v>0</v>
      </c>
      <c r="AN395" s="13">
        <v>0</v>
      </c>
      <c r="AO395" s="11">
        <v>0</v>
      </c>
      <c r="AP395" s="11">
        <v>0</v>
      </c>
      <c r="AQ395" s="13">
        <v>0.107</v>
      </c>
      <c r="AR395" s="13">
        <v>0.107</v>
      </c>
      <c r="AS395" s="13">
        <v>1.9470000000000001</v>
      </c>
      <c r="AT395" s="13">
        <v>0.36499999999999999</v>
      </c>
      <c r="AU395" s="13">
        <v>1.0680000000000001</v>
      </c>
      <c r="AV395" s="13">
        <v>2.9209999999999998</v>
      </c>
      <c r="AW395" s="13">
        <v>0.82499999999999996</v>
      </c>
      <c r="AX395" s="9">
        <f>Tabelle1[[#This Row],[Vitamin D3 '[µg/100g']]]*40</f>
        <v>15.760000000000002</v>
      </c>
      <c r="AY395" s="9">
        <f>Tabelle1[[#This Row],[Vitamin A '[µg/100g']]]*3.33</f>
        <v>18.648</v>
      </c>
      <c r="AZ395" s="9">
        <f>Tabelle1[[#This Row],[Vitamin E '[mg/100g']]]*1.49</f>
        <v>0.44700000000000001</v>
      </c>
    </row>
    <row r="396" spans="1:52" hidden="1" x14ac:dyDescent="0.45">
      <c r="A396" t="s">
        <v>58</v>
      </c>
      <c r="B396" s="3" t="s">
        <v>125</v>
      </c>
      <c r="C396" s="4" t="s">
        <v>126</v>
      </c>
      <c r="D396" s="11">
        <v>176</v>
      </c>
      <c r="E396" s="13">
        <f>Tabelle1[[#This Row],[Energie '[kcal/100g']]]/239</f>
        <v>0.7364016736401674</v>
      </c>
      <c r="F396" s="11">
        <v>31.29</v>
      </c>
      <c r="G396" s="11">
        <f>Tabelle1[[#This Row],[Rohprotein '[g/100g']]]*0.85</f>
        <v>26.596499999999999</v>
      </c>
      <c r="H396" s="11">
        <v>5.6589999999999998</v>
      </c>
      <c r="I396" s="11">
        <f>Tabelle1[[#This Row],[TS]]-Tabelle1[[#This Row],[Rohprotein '[g/100g']]]-Tabelle1[[#This Row],[Rohfett '[g/100g']]]-Tabelle1[[#This Row],[Rohasche '[g/100g']]]-Tabelle1[[#This Row],[Rohfaser '[g/100g']]]</f>
        <v>-1.6819999999999991</v>
      </c>
      <c r="J396" s="11">
        <v>0</v>
      </c>
      <c r="K396" s="11">
        <v>0.73299999999999998</v>
      </c>
      <c r="L396" s="11">
        <v>64</v>
      </c>
      <c r="M396" s="11">
        <f>100-Tabelle1[[#This Row],[Wasser '[g/100g']]]</f>
        <v>36</v>
      </c>
      <c r="N396" s="11">
        <v>8.4</v>
      </c>
      <c r="O396" s="11">
        <v>228</v>
      </c>
      <c r="P396" s="11">
        <v>27</v>
      </c>
      <c r="Q396" s="11">
        <v>43</v>
      </c>
      <c r="R396" s="11">
        <v>334</v>
      </c>
      <c r="S396" s="11"/>
      <c r="T396" s="11">
        <v>3.9169999999999998</v>
      </c>
      <c r="U396" s="11">
        <v>6.1669999999999998</v>
      </c>
      <c r="V396" s="11">
        <v>0</v>
      </c>
      <c r="W396" s="11">
        <v>136</v>
      </c>
      <c r="X396" s="11">
        <v>18</v>
      </c>
      <c r="Y396" s="11">
        <v>1.7</v>
      </c>
      <c r="Z396" s="11"/>
      <c r="AA396" s="11">
        <v>0.5</v>
      </c>
      <c r="AB396" s="11">
        <v>0.4</v>
      </c>
      <c r="AC396" s="11">
        <v>6.6</v>
      </c>
      <c r="AD396" s="11">
        <v>3.7999999999999999E-2</v>
      </c>
      <c r="AE396" s="11">
        <v>0.13500000000000001</v>
      </c>
      <c r="AF396" s="11">
        <v>4.3079999999999998</v>
      </c>
      <c r="AG396" s="11">
        <v>194</v>
      </c>
      <c r="AH396" s="11">
        <v>3.26</v>
      </c>
      <c r="AI396" s="11">
        <v>0</v>
      </c>
      <c r="AJ396" s="11">
        <v>5.64</v>
      </c>
      <c r="AK396" s="11">
        <v>10.199999999999999</v>
      </c>
      <c r="AL396" s="11">
        <v>6</v>
      </c>
      <c r="AM396" s="11">
        <v>0</v>
      </c>
      <c r="AN396" s="13">
        <v>0</v>
      </c>
      <c r="AO396" s="11">
        <v>0</v>
      </c>
      <c r="AP396" s="11">
        <v>0</v>
      </c>
      <c r="AQ396" s="11">
        <v>0.11899999999999999</v>
      </c>
      <c r="AR396" s="11">
        <v>0.11899999999999999</v>
      </c>
      <c r="AS396" s="11">
        <v>2.16</v>
      </c>
      <c r="AT396" s="11">
        <v>0.40500000000000003</v>
      </c>
      <c r="AU396" s="11">
        <v>1.1850000000000001</v>
      </c>
      <c r="AV396" s="11">
        <v>3.24</v>
      </c>
      <c r="AW396" s="11">
        <v>0.91500000000000004</v>
      </c>
      <c r="AX396" s="9">
        <f>Tabelle1[[#This Row],[Vitamin D3 '[µg/100g']]]*40</f>
        <v>20</v>
      </c>
      <c r="AY396" s="9">
        <f>Tabelle1[[#This Row],[Vitamin A '[µg/100g']]]*3.33</f>
        <v>21.977999999999998</v>
      </c>
      <c r="AZ396" s="9">
        <f>Tabelle1[[#This Row],[Vitamin E '[mg/100g']]]*1.49</f>
        <v>0.59599999999999997</v>
      </c>
    </row>
    <row r="397" spans="1:52" hidden="1" x14ac:dyDescent="0.45">
      <c r="A397" t="s">
        <v>58</v>
      </c>
      <c r="B397" s="3" t="s">
        <v>127</v>
      </c>
      <c r="C397" s="4" t="s">
        <v>128</v>
      </c>
      <c r="D397" s="11">
        <v>124</v>
      </c>
      <c r="E397" s="13">
        <f>Tabelle1[[#This Row],[Energie '[kcal/100g']]]/239</f>
        <v>0.51882845188284521</v>
      </c>
      <c r="F397" s="11">
        <v>20.86</v>
      </c>
      <c r="G397" s="11">
        <f>Tabelle1[[#This Row],[Rohprotein '[g/100g']]]*0.85</f>
        <v>17.730999999999998</v>
      </c>
      <c r="H397" s="11">
        <v>4.5270000000000001</v>
      </c>
      <c r="I397" s="11">
        <f>Tabelle1[[#This Row],[TS]]-Tabelle1[[#This Row],[Rohprotein '[g/100g']]]-Tabelle1[[#This Row],[Rohfett '[g/100g']]]-Tabelle1[[#This Row],[Rohasche '[g/100g']]]-Tabelle1[[#This Row],[Rohfaser '[g/100g']]]</f>
        <v>-1.6870000000000025</v>
      </c>
      <c r="J397" s="11">
        <v>0</v>
      </c>
      <c r="K397" s="11">
        <v>1.1000000000000001</v>
      </c>
      <c r="L397" s="11">
        <v>75.2</v>
      </c>
      <c r="M397" s="11">
        <f>100-Tabelle1[[#This Row],[Wasser '[g/100g']]]</f>
        <v>24.799999999999997</v>
      </c>
      <c r="N397" s="11">
        <v>6.3</v>
      </c>
      <c r="O397" s="11">
        <v>210</v>
      </c>
      <c r="P397" s="11">
        <v>25</v>
      </c>
      <c r="Q397" s="11">
        <v>47</v>
      </c>
      <c r="R397" s="11">
        <v>364</v>
      </c>
      <c r="S397" s="11"/>
      <c r="T397" s="11">
        <v>2.35</v>
      </c>
      <c r="U397" s="11">
        <v>3.7</v>
      </c>
      <c r="V397" s="11">
        <v>0</v>
      </c>
      <c r="W397" s="11">
        <v>86</v>
      </c>
      <c r="X397" s="11">
        <v>11</v>
      </c>
      <c r="Y397" s="11">
        <v>2</v>
      </c>
      <c r="Z397" s="11"/>
      <c r="AA397" s="11">
        <v>0.4</v>
      </c>
      <c r="AB397" s="11">
        <v>0.3</v>
      </c>
      <c r="AC397" s="11">
        <v>19</v>
      </c>
      <c r="AD397" s="11">
        <v>0.05</v>
      </c>
      <c r="AE397" s="11">
        <v>9.5000000000000001E-2</v>
      </c>
      <c r="AF397" s="11">
        <v>4.7</v>
      </c>
      <c r="AG397" s="11">
        <v>333</v>
      </c>
      <c r="AH397" s="11">
        <v>3.26</v>
      </c>
      <c r="AI397" s="11">
        <v>0</v>
      </c>
      <c r="AJ397" s="11">
        <v>4.5199999999999996</v>
      </c>
      <c r="AK397" s="11">
        <v>2</v>
      </c>
      <c r="AL397" s="11">
        <v>5</v>
      </c>
      <c r="AM397" s="11">
        <v>0</v>
      </c>
      <c r="AN397" s="13">
        <v>0</v>
      </c>
      <c r="AO397" s="11">
        <v>0</v>
      </c>
      <c r="AP397" s="11">
        <v>0</v>
      </c>
      <c r="AQ397" s="11">
        <v>9.5000000000000001E-2</v>
      </c>
      <c r="AR397" s="11">
        <v>9.5000000000000001E-2</v>
      </c>
      <c r="AS397" s="11">
        <v>1.44</v>
      </c>
      <c r="AT397" s="11">
        <v>0.27</v>
      </c>
      <c r="AU397" s="11">
        <v>0.79</v>
      </c>
      <c r="AV397" s="11">
        <v>2.16</v>
      </c>
      <c r="AW397" s="11">
        <v>0.61</v>
      </c>
      <c r="AX397" s="9">
        <f>Tabelle1[[#This Row],[Vitamin D3 '[µg/100g']]]*40</f>
        <v>16</v>
      </c>
      <c r="AY397" s="9">
        <f>Tabelle1[[#This Row],[Vitamin A '[µg/100g']]]*3.33</f>
        <v>63.27</v>
      </c>
      <c r="AZ397" s="9">
        <f>Tabelle1[[#This Row],[Vitamin E '[mg/100g']]]*1.49</f>
        <v>0.44700000000000001</v>
      </c>
    </row>
    <row r="398" spans="1:52" hidden="1" x14ac:dyDescent="0.45">
      <c r="A398" t="s">
        <v>58</v>
      </c>
      <c r="B398" s="3" t="s">
        <v>129</v>
      </c>
      <c r="C398" s="4" t="s">
        <v>130</v>
      </c>
      <c r="D398" s="11">
        <v>241</v>
      </c>
      <c r="E398" s="13">
        <f>Tabelle1[[#This Row],[Energie '[kcal/100g']]]/239</f>
        <v>1.00836820083682</v>
      </c>
      <c r="F398" s="11">
        <v>29.5</v>
      </c>
      <c r="G398" s="11">
        <f>Tabelle1[[#This Row],[Rohprotein '[g/100g']]]*0.85</f>
        <v>25.074999999999999</v>
      </c>
      <c r="H398" s="11">
        <v>13.7</v>
      </c>
      <c r="I398" s="11">
        <f>Tabelle1[[#This Row],[TS]]-Tabelle1[[#This Row],[Rohprotein '[g/100g']]]-Tabelle1[[#This Row],[Rohfett '[g/100g']]]-Tabelle1[[#This Row],[Rohasche '[g/100g']]]-Tabelle1[[#This Row],[Rohfaser '[g/100g']]]</f>
        <v>-0.34000000000000075</v>
      </c>
      <c r="J398" s="11">
        <v>0</v>
      </c>
      <c r="K398" s="11">
        <v>1.04</v>
      </c>
      <c r="L398" s="11">
        <v>56.1</v>
      </c>
      <c r="M398" s="11">
        <f>100-Tabelle1[[#This Row],[Wasser '[g/100g']]]</f>
        <v>43.9</v>
      </c>
      <c r="N398" s="11">
        <v>15</v>
      </c>
      <c r="O398" s="11">
        <v>203</v>
      </c>
      <c r="P398" s="11">
        <v>24</v>
      </c>
      <c r="Q398" s="11">
        <v>98</v>
      </c>
      <c r="R398" s="11">
        <v>245</v>
      </c>
      <c r="S398" s="11"/>
      <c r="T398" s="11">
        <v>3.91</v>
      </c>
      <c r="U398" s="11">
        <v>7</v>
      </c>
      <c r="V398" s="11">
        <v>0</v>
      </c>
      <c r="W398" s="11">
        <v>300</v>
      </c>
      <c r="X398" s="11">
        <v>27</v>
      </c>
      <c r="Y398" s="11">
        <v>0.621</v>
      </c>
      <c r="Z398" s="11"/>
      <c r="AA398" s="11">
        <v>0.47799999999999998</v>
      </c>
      <c r="AB398" s="11">
        <v>0.57299999999999995</v>
      </c>
      <c r="AC398" s="11">
        <v>12</v>
      </c>
      <c r="AD398" s="11">
        <v>0.05</v>
      </c>
      <c r="AE398" s="11">
        <v>0.28999999999999998</v>
      </c>
      <c r="AF398" s="11">
        <v>4.8</v>
      </c>
      <c r="AG398" s="11">
        <v>220</v>
      </c>
      <c r="AH398" s="11">
        <v>2.4</v>
      </c>
      <c r="AI398" s="11">
        <v>0</v>
      </c>
      <c r="AJ398" s="11">
        <v>0</v>
      </c>
      <c r="AK398" s="11">
        <v>9</v>
      </c>
      <c r="AL398" s="11">
        <v>2.8</v>
      </c>
      <c r="AM398" s="11">
        <v>0</v>
      </c>
      <c r="AN398" s="13">
        <v>0</v>
      </c>
      <c r="AO398" s="11">
        <v>0</v>
      </c>
      <c r="AP398" s="11">
        <v>0</v>
      </c>
      <c r="AQ398" s="11">
        <v>0.28899999999999998</v>
      </c>
      <c r="AR398" s="11">
        <v>0.28899999999999998</v>
      </c>
      <c r="AS398" s="11">
        <v>1.978</v>
      </c>
      <c r="AT398" s="11">
        <v>0.36499999999999999</v>
      </c>
      <c r="AU398" s="11">
        <v>1.08</v>
      </c>
      <c r="AV398" s="11">
        <v>2.9740000000000002</v>
      </c>
      <c r="AW398" s="11">
        <v>0.82799999999999996</v>
      </c>
      <c r="AX398" s="9">
        <f>Tabelle1[[#This Row],[Vitamin D3 '[µg/100g']]]*40</f>
        <v>19.119999999999997</v>
      </c>
      <c r="AY398" s="9">
        <f>Tabelle1[[#This Row],[Vitamin A '[µg/100g']]]*3.33</f>
        <v>39.96</v>
      </c>
      <c r="AZ398" s="9">
        <f>Tabelle1[[#This Row],[Vitamin E '[mg/100g']]]*1.49</f>
        <v>0.85376999999999992</v>
      </c>
    </row>
    <row r="399" spans="1:52" hidden="1" x14ac:dyDescent="0.45">
      <c r="A399" t="s">
        <v>58</v>
      </c>
      <c r="B399" s="5" t="s">
        <v>131</v>
      </c>
      <c r="C399" s="6" t="s">
        <v>132</v>
      </c>
      <c r="D399" s="13">
        <v>188</v>
      </c>
      <c r="E399" s="13">
        <f>Tabelle1[[#This Row],[Energie '[kcal/100g']]]/239</f>
        <v>0.78661087866108792</v>
      </c>
      <c r="F399" s="13">
        <v>21</v>
      </c>
      <c r="G399" s="11">
        <f>Tabelle1[[#This Row],[Rohprotein '[g/100g']]]*0.85</f>
        <v>17.849999999999998</v>
      </c>
      <c r="H399" s="13">
        <v>11.5</v>
      </c>
      <c r="I399" s="11">
        <f>Tabelle1[[#This Row],[TS]]-Tabelle1[[#This Row],[Rohprotein '[g/100g']]]-Tabelle1[[#This Row],[Rohfett '[g/100g']]]-Tabelle1[[#This Row],[Rohasche '[g/100g']]]-Tabelle1[[#This Row],[Rohfaser '[g/100g']]]</f>
        <v>-0.31999999999999718</v>
      </c>
      <c r="J399" s="11">
        <v>0</v>
      </c>
      <c r="K399" s="13">
        <v>1.02</v>
      </c>
      <c r="L399" s="13">
        <v>66.8</v>
      </c>
      <c r="M399" s="13">
        <f>100-Tabelle1[[#This Row],[Wasser '[g/100g']]]</f>
        <v>33.200000000000003</v>
      </c>
      <c r="N399" s="13">
        <v>11</v>
      </c>
      <c r="O399" s="13">
        <v>160</v>
      </c>
      <c r="P399" s="13">
        <v>20</v>
      </c>
      <c r="Q399" s="13">
        <v>109</v>
      </c>
      <c r="R399" s="13">
        <v>265</v>
      </c>
      <c r="S399" s="13"/>
      <c r="T399" s="13">
        <v>2.62</v>
      </c>
      <c r="U399" s="13">
        <v>4.7</v>
      </c>
      <c r="V399" s="11">
        <v>0</v>
      </c>
      <c r="W399" s="13">
        <v>200</v>
      </c>
      <c r="X399" s="13">
        <v>18</v>
      </c>
      <c r="Y399" s="13">
        <v>0.8</v>
      </c>
      <c r="Z399" s="13"/>
      <c r="AA399" s="13">
        <v>0.4</v>
      </c>
      <c r="AB399" s="13">
        <v>0.48</v>
      </c>
      <c r="AC399" s="13">
        <v>10</v>
      </c>
      <c r="AD399" s="13">
        <v>0.06</v>
      </c>
      <c r="AE399" s="13">
        <v>0.23</v>
      </c>
      <c r="AF399" s="13">
        <v>4.5</v>
      </c>
      <c r="AG399" s="13">
        <v>270</v>
      </c>
      <c r="AH399" s="13">
        <v>2.2000000000000002</v>
      </c>
      <c r="AI399" s="13">
        <v>0</v>
      </c>
      <c r="AJ399" s="13">
        <v>0</v>
      </c>
      <c r="AK399" s="13">
        <v>8</v>
      </c>
      <c r="AL399" s="13">
        <v>2.4</v>
      </c>
      <c r="AM399" s="13">
        <v>0</v>
      </c>
      <c r="AN399" s="13">
        <v>0</v>
      </c>
      <c r="AO399" s="11">
        <v>0</v>
      </c>
      <c r="AP399" s="11">
        <v>0</v>
      </c>
      <c r="AQ399" s="13">
        <v>0.24199999999999999</v>
      </c>
      <c r="AR399" s="13">
        <v>0.24199999999999999</v>
      </c>
      <c r="AS399" s="13">
        <v>1.41</v>
      </c>
      <c r="AT399" s="13">
        <v>0.26</v>
      </c>
      <c r="AU399" s="13">
        <v>0.77</v>
      </c>
      <c r="AV399" s="13">
        <v>2.12</v>
      </c>
      <c r="AW399" s="13">
        <v>0.59</v>
      </c>
      <c r="AX399" s="9">
        <f>Tabelle1[[#This Row],[Vitamin D3 '[µg/100g']]]*40</f>
        <v>16</v>
      </c>
      <c r="AY399" s="9">
        <f>Tabelle1[[#This Row],[Vitamin A '[µg/100g']]]*3.33</f>
        <v>33.299999999999997</v>
      </c>
      <c r="AZ399" s="9">
        <f>Tabelle1[[#This Row],[Vitamin E '[mg/100g']]]*1.49</f>
        <v>0.71519999999999995</v>
      </c>
    </row>
    <row r="400" spans="1:52" hidden="1" x14ac:dyDescent="0.45">
      <c r="A400" t="s">
        <v>58</v>
      </c>
      <c r="B400" s="5" t="s">
        <v>133</v>
      </c>
      <c r="C400" s="6" t="s">
        <v>134</v>
      </c>
      <c r="D400" s="13">
        <v>162</v>
      </c>
      <c r="E400" s="13">
        <f>Tabelle1[[#This Row],[Energie '[kcal/100g']]]/239</f>
        <v>0.67782426778242677</v>
      </c>
      <c r="F400" s="13">
        <v>29.523</v>
      </c>
      <c r="G400" s="11">
        <f>Tabelle1[[#This Row],[Rohprotein '[g/100g']]]*0.85</f>
        <v>25.094549999999998</v>
      </c>
      <c r="H400" s="13">
        <v>4.8769999999999998</v>
      </c>
      <c r="I400" s="11">
        <f>Tabelle1[[#This Row],[TS]]-Tabelle1[[#This Row],[Rohprotein '[g/100g']]]-Tabelle1[[#This Row],[Rohfett '[g/100g']]]-Tabelle1[[#This Row],[Rohasche '[g/100g']]]-Tabelle1[[#This Row],[Rohfaser '[g/100g']]]</f>
        <v>-4.3070000000000048</v>
      </c>
      <c r="J400" s="11">
        <v>0</v>
      </c>
      <c r="K400" s="13">
        <v>1.0069999999999999</v>
      </c>
      <c r="L400" s="13">
        <v>68.900000000000006</v>
      </c>
      <c r="M400" s="13">
        <f>100-Tabelle1[[#This Row],[Wasser '[g/100g']]]</f>
        <v>31.099999999999994</v>
      </c>
      <c r="N400" s="13">
        <v>3.9340000000000002</v>
      </c>
      <c r="O400" s="13">
        <v>183</v>
      </c>
      <c r="P400" s="13">
        <v>26.82</v>
      </c>
      <c r="Q400" s="13">
        <v>64</v>
      </c>
      <c r="R400" s="13">
        <v>390.27</v>
      </c>
      <c r="S400" s="13"/>
      <c r="T400" s="13">
        <v>2.7290000000000001</v>
      </c>
      <c r="U400" s="13">
        <v>5.59</v>
      </c>
      <c r="V400" s="11">
        <v>0</v>
      </c>
      <c r="W400" s="13">
        <v>108</v>
      </c>
      <c r="X400" s="13">
        <v>27</v>
      </c>
      <c r="Y400" s="13">
        <v>2.8</v>
      </c>
      <c r="Z400" s="13"/>
      <c r="AA400" s="13">
        <v>0.38400000000000001</v>
      </c>
      <c r="AB400" s="13">
        <v>0.8</v>
      </c>
      <c r="AC400" s="13">
        <v>23</v>
      </c>
      <c r="AD400" s="13">
        <v>6.8000000000000005E-2</v>
      </c>
      <c r="AE400" s="13">
        <v>0.20799999999999999</v>
      </c>
      <c r="AF400" s="13">
        <v>5.0339999999999998</v>
      </c>
      <c r="AG400" s="13">
        <v>342</v>
      </c>
      <c r="AH400" s="13">
        <v>2.72</v>
      </c>
      <c r="AI400" s="13">
        <v>0</v>
      </c>
      <c r="AJ400" s="13">
        <v>3.53</v>
      </c>
      <c r="AK400" s="13">
        <v>13</v>
      </c>
      <c r="AL400" s="13">
        <v>6</v>
      </c>
      <c r="AM400" s="13">
        <v>0</v>
      </c>
      <c r="AN400" s="13">
        <v>4.7E-2</v>
      </c>
      <c r="AO400" s="11">
        <v>0</v>
      </c>
      <c r="AP400" s="11">
        <v>0</v>
      </c>
      <c r="AQ400" s="13">
        <v>0.17699999999999999</v>
      </c>
      <c r="AR400" s="13">
        <v>0.13800000000000001</v>
      </c>
      <c r="AS400" s="13">
        <v>2.0369999999999999</v>
      </c>
      <c r="AT400" s="13">
        <v>0.39600000000000002</v>
      </c>
      <c r="AU400" s="13">
        <v>1.131</v>
      </c>
      <c r="AV400" s="13">
        <v>2.855</v>
      </c>
      <c r="AW400" s="13">
        <v>0.84199999999999997</v>
      </c>
      <c r="AX400" s="9">
        <f>Tabelle1[[#This Row],[Vitamin D3 '[µg/100g']]]*40</f>
        <v>15.36</v>
      </c>
      <c r="AY400" s="9">
        <f>Tabelle1[[#This Row],[Vitamin A '[µg/100g']]]*3.33</f>
        <v>76.59</v>
      </c>
      <c r="AZ400" s="9">
        <f>Tabelle1[[#This Row],[Vitamin E '[mg/100g']]]*1.49</f>
        <v>1.1919999999999999</v>
      </c>
    </row>
    <row r="401" spans="1:52" hidden="1" x14ac:dyDescent="0.45">
      <c r="A401" t="s">
        <v>58</v>
      </c>
      <c r="B401" s="3" t="s">
        <v>135</v>
      </c>
      <c r="C401" s="4" t="s">
        <v>136</v>
      </c>
      <c r="D401" s="11">
        <v>166</v>
      </c>
      <c r="E401" s="13">
        <f>Tabelle1[[#This Row],[Energie '[kcal/100g']]]/239</f>
        <v>0.69456066945606698</v>
      </c>
      <c r="F401" s="11">
        <v>29.123999999999999</v>
      </c>
      <c r="G401" s="11">
        <f>Tabelle1[[#This Row],[Rohprotein '[g/100g']]]*0.85</f>
        <v>24.755399999999998</v>
      </c>
      <c r="H401" s="11">
        <v>5.532</v>
      </c>
      <c r="I401" s="11">
        <f>Tabelle1[[#This Row],[TS]]-Tabelle1[[#This Row],[Rohprotein '[g/100g']]]-Tabelle1[[#This Row],[Rohfett '[g/100g']]]-Tabelle1[[#This Row],[Rohasche '[g/100g']]]-Tabelle1[[#This Row],[Rohfaser '[g/100g']]]</f>
        <v>-4.349000000000002</v>
      </c>
      <c r="J401" s="11">
        <v>0</v>
      </c>
      <c r="K401" s="11">
        <v>0.99299999999999999</v>
      </c>
      <c r="L401" s="11">
        <v>68.7</v>
      </c>
      <c r="M401" s="11">
        <f>100-Tabelle1[[#This Row],[Wasser '[g/100g']]]</f>
        <v>31.299999999999997</v>
      </c>
      <c r="N401" s="11">
        <v>4.3120000000000003</v>
      </c>
      <c r="O401" s="11">
        <v>191</v>
      </c>
      <c r="P401" s="11">
        <v>26.45</v>
      </c>
      <c r="Q401" s="11">
        <v>63</v>
      </c>
      <c r="R401" s="11">
        <v>409.06</v>
      </c>
      <c r="S401" s="11"/>
      <c r="T401" s="11">
        <v>2.5569999999999999</v>
      </c>
      <c r="U401" s="11">
        <v>5.5149999999999997</v>
      </c>
      <c r="V401" s="11">
        <v>0</v>
      </c>
      <c r="W401" s="11">
        <v>107</v>
      </c>
      <c r="X401" s="11">
        <v>27</v>
      </c>
      <c r="Y401" s="11">
        <v>2.9</v>
      </c>
      <c r="Z401" s="11"/>
      <c r="AA401" s="11">
        <v>0.378</v>
      </c>
      <c r="AB401" s="11">
        <v>0.8</v>
      </c>
      <c r="AC401" s="11">
        <v>23</v>
      </c>
      <c r="AD401" s="11">
        <v>8.5000000000000006E-2</v>
      </c>
      <c r="AE401" s="11">
        <v>0.19500000000000001</v>
      </c>
      <c r="AF401" s="11">
        <v>5.2969999999999997</v>
      </c>
      <c r="AG401" s="11">
        <v>405</v>
      </c>
      <c r="AH401" s="11">
        <v>3.07</v>
      </c>
      <c r="AI401" s="11">
        <v>0</v>
      </c>
      <c r="AJ401" s="11">
        <v>3.47</v>
      </c>
      <c r="AK401" s="11">
        <v>11</v>
      </c>
      <c r="AL401" s="11">
        <v>6</v>
      </c>
      <c r="AM401" s="11">
        <v>0</v>
      </c>
      <c r="AN401" s="11">
        <v>5.2999999999999999E-2</v>
      </c>
      <c r="AO401" s="11">
        <v>0</v>
      </c>
      <c r="AP401" s="11">
        <v>0</v>
      </c>
      <c r="AQ401" s="11">
        <v>0.20200000000000001</v>
      </c>
      <c r="AR401" s="11">
        <v>0.157</v>
      </c>
      <c r="AS401" s="11">
        <v>2.0099999999999998</v>
      </c>
      <c r="AT401" s="11">
        <v>0.39</v>
      </c>
      <c r="AU401" s="11">
        <v>1.1160000000000001</v>
      </c>
      <c r="AV401" s="11">
        <v>2.8159999999999998</v>
      </c>
      <c r="AW401" s="11">
        <v>0.83</v>
      </c>
      <c r="AX401" s="9">
        <f>Tabelle1[[#This Row],[Vitamin D3 '[µg/100g']]]*40</f>
        <v>15.120000000000001</v>
      </c>
      <c r="AY401" s="9">
        <f>Tabelle1[[#This Row],[Vitamin A '[µg/100g']]]*3.33</f>
        <v>76.59</v>
      </c>
      <c r="AZ401" s="9">
        <f>Tabelle1[[#This Row],[Vitamin E '[mg/100g']]]*1.49</f>
        <v>1.1919999999999999</v>
      </c>
    </row>
    <row r="402" spans="1:52" hidden="1" x14ac:dyDescent="0.45">
      <c r="A402" t="s">
        <v>58</v>
      </c>
      <c r="B402" s="5" t="s">
        <v>137</v>
      </c>
      <c r="C402" s="6" t="s">
        <v>138</v>
      </c>
      <c r="D402" s="13">
        <v>130</v>
      </c>
      <c r="E402" s="13">
        <f>Tabelle1[[#This Row],[Energie '[kcal/100g']]]/239</f>
        <v>0.54393305439330542</v>
      </c>
      <c r="F402" s="13">
        <v>22.45</v>
      </c>
      <c r="G402" s="11">
        <f>Tabelle1[[#This Row],[Rohprotein '[g/100g']]]*0.85</f>
        <v>19.0825</v>
      </c>
      <c r="H402" s="13">
        <v>4.45</v>
      </c>
      <c r="I402" s="11">
        <f>Tabelle1[[#This Row],[TS]]-Tabelle1[[#This Row],[Rohprotein '[g/100g']]]-Tabelle1[[#This Row],[Rohfett '[g/100g']]]-Tabelle1[[#This Row],[Rohasche '[g/100g']]]-Tabelle1[[#This Row],[Rohfaser '[g/100g']]]</f>
        <v>-4.350000000000005</v>
      </c>
      <c r="J402" s="11">
        <v>0</v>
      </c>
      <c r="K402" s="13">
        <v>1.05</v>
      </c>
      <c r="L402" s="13">
        <v>76.400000000000006</v>
      </c>
      <c r="M402" s="13">
        <f>100-Tabelle1[[#This Row],[Wasser '[g/100g']]]</f>
        <v>23.599999999999994</v>
      </c>
      <c r="N402" s="13">
        <v>3.1909999999999998</v>
      </c>
      <c r="O402" s="13">
        <v>157</v>
      </c>
      <c r="P402" s="13">
        <v>23.03</v>
      </c>
      <c r="Q402" s="13">
        <v>55</v>
      </c>
      <c r="R402" s="13">
        <v>356.12</v>
      </c>
      <c r="S402" s="13"/>
      <c r="T402" s="13">
        <v>1.992</v>
      </c>
      <c r="U402" s="13">
        <v>4.0810000000000004</v>
      </c>
      <c r="V402" s="11">
        <v>0</v>
      </c>
      <c r="W402" s="13">
        <v>79</v>
      </c>
      <c r="X402" s="13">
        <v>20</v>
      </c>
      <c r="Y402" s="13">
        <v>2.7</v>
      </c>
      <c r="Z402" s="13"/>
      <c r="AA402" s="13">
        <v>0.4</v>
      </c>
      <c r="AB402" s="13">
        <v>0.8</v>
      </c>
      <c r="AC402" s="13">
        <v>22</v>
      </c>
      <c r="AD402" s="13">
        <v>0.09</v>
      </c>
      <c r="AE402" s="13">
        <v>0.16</v>
      </c>
      <c r="AF402" s="13">
        <v>4.9000000000000004</v>
      </c>
      <c r="AG402" s="13">
        <v>500</v>
      </c>
      <c r="AH402" s="13">
        <v>2.84</v>
      </c>
      <c r="AI402" s="13">
        <v>0</v>
      </c>
      <c r="AJ402" s="13">
        <v>3.57</v>
      </c>
      <c r="AK402" s="13">
        <v>10</v>
      </c>
      <c r="AL402" s="13">
        <v>5</v>
      </c>
      <c r="AM402" s="13">
        <v>0</v>
      </c>
      <c r="AN402" s="13">
        <v>4.2999999999999997E-2</v>
      </c>
      <c r="AO402" s="11">
        <v>0</v>
      </c>
      <c r="AP402" s="11">
        <v>0</v>
      </c>
      <c r="AQ402" s="13">
        <v>0.16200000000000001</v>
      </c>
      <c r="AR402" s="13">
        <v>0.126</v>
      </c>
      <c r="AS402" s="13">
        <v>1.5489999999999999</v>
      </c>
      <c r="AT402" s="13">
        <v>0.30099999999999999</v>
      </c>
      <c r="AU402" s="13">
        <v>0.86</v>
      </c>
      <c r="AV402" s="13">
        <v>2.1709999999999998</v>
      </c>
      <c r="AW402" s="13">
        <v>0.64</v>
      </c>
      <c r="AX402" s="9">
        <f>Tabelle1[[#This Row],[Vitamin D3 '[µg/100g']]]*40</f>
        <v>16</v>
      </c>
      <c r="AY402" s="9">
        <f>Tabelle1[[#This Row],[Vitamin A '[µg/100g']]]*3.33</f>
        <v>73.260000000000005</v>
      </c>
      <c r="AZ402" s="9">
        <f>Tabelle1[[#This Row],[Vitamin E '[mg/100g']]]*1.49</f>
        <v>1.1919999999999999</v>
      </c>
    </row>
    <row r="403" spans="1:52" hidden="1" x14ac:dyDescent="0.45">
      <c r="A403" t="s">
        <v>58</v>
      </c>
      <c r="B403" s="3" t="s">
        <v>139</v>
      </c>
      <c r="C403" s="4" t="s">
        <v>140</v>
      </c>
      <c r="D403" s="11">
        <v>147</v>
      </c>
      <c r="E403" s="13">
        <f>Tabelle1[[#This Row],[Energie '[kcal/100g']]]/239</f>
        <v>0.61506276150627615</v>
      </c>
      <c r="F403" s="11">
        <v>29.332999999999998</v>
      </c>
      <c r="G403" s="11">
        <f>Tabelle1[[#This Row],[Rohprotein '[g/100g']]]*0.85</f>
        <v>24.933049999999998</v>
      </c>
      <c r="H403" s="11">
        <v>3.3330000000000002</v>
      </c>
      <c r="I403" s="11">
        <f>Tabelle1[[#This Row],[TS]]-Tabelle1[[#This Row],[Rohprotein '[g/100g']]]-Tabelle1[[#This Row],[Rohfett '[g/100g']]]-Tabelle1[[#This Row],[Rohasche '[g/100g']]]-Tabelle1[[#This Row],[Rohfaser '[g/100g']]]</f>
        <v>-2.2204460492503131E-16</v>
      </c>
      <c r="J403" s="11">
        <v>0</v>
      </c>
      <c r="K403" s="11">
        <v>1.167</v>
      </c>
      <c r="L403" s="11">
        <v>66.167000000000002</v>
      </c>
      <c r="M403" s="11">
        <f>100-Tabelle1[[#This Row],[Wasser '[g/100g']]]</f>
        <v>33.832999999999998</v>
      </c>
      <c r="N403" s="11">
        <v>8</v>
      </c>
      <c r="O403" s="11">
        <v>206</v>
      </c>
      <c r="P403" s="11">
        <v>23</v>
      </c>
      <c r="Q403" s="11">
        <v>64</v>
      </c>
      <c r="R403" s="11">
        <v>350</v>
      </c>
      <c r="S403" s="11"/>
      <c r="T403" s="11">
        <v>2.94</v>
      </c>
      <c r="U403" s="11">
        <v>5.9580000000000002</v>
      </c>
      <c r="V403" s="11">
        <v>0</v>
      </c>
      <c r="W403" s="11">
        <v>120</v>
      </c>
      <c r="X403" s="11">
        <v>31</v>
      </c>
      <c r="Y403" s="11">
        <v>2.4</v>
      </c>
      <c r="Z403" s="11"/>
      <c r="AA403" s="11">
        <v>0.38900000000000001</v>
      </c>
      <c r="AB403" s="11">
        <v>0.48</v>
      </c>
      <c r="AC403" s="11">
        <v>29</v>
      </c>
      <c r="AD403" s="11">
        <v>0.19800000000000001</v>
      </c>
      <c r="AE403" s="11">
        <v>0.32500000000000001</v>
      </c>
      <c r="AF403" s="11">
        <v>7.5</v>
      </c>
      <c r="AG403" s="11">
        <v>127</v>
      </c>
      <c r="AH403" s="11">
        <v>5</v>
      </c>
      <c r="AI403" s="11">
        <v>0</v>
      </c>
      <c r="AJ403" s="11">
        <v>3.57</v>
      </c>
      <c r="AK403" s="11">
        <v>3</v>
      </c>
      <c r="AL403" s="11">
        <v>4</v>
      </c>
      <c r="AM403" s="11">
        <v>0</v>
      </c>
      <c r="AN403" s="11">
        <v>3.7999999999999999E-2</v>
      </c>
      <c r="AO403" s="11">
        <v>0</v>
      </c>
      <c r="AP403" s="11">
        <v>0</v>
      </c>
      <c r="AQ403" s="11">
        <v>1.0289999999999999</v>
      </c>
      <c r="AR403" s="11">
        <v>0.81100000000000005</v>
      </c>
      <c r="AS403" s="11">
        <v>2.024</v>
      </c>
      <c r="AT403" s="11">
        <v>0.39300000000000002</v>
      </c>
      <c r="AU403" s="11">
        <v>1.1240000000000001</v>
      </c>
      <c r="AV403" s="11">
        <v>2.8359999999999999</v>
      </c>
      <c r="AW403" s="11">
        <v>0.83599999999999997</v>
      </c>
      <c r="AX403" s="9">
        <f>Tabelle1[[#This Row],[Vitamin D3 '[µg/100g']]]*40</f>
        <v>15.56</v>
      </c>
      <c r="AY403" s="9">
        <f>Tabelle1[[#This Row],[Vitamin A '[µg/100g']]]*3.33</f>
        <v>96.570000000000007</v>
      </c>
      <c r="AZ403" s="9">
        <f>Tabelle1[[#This Row],[Vitamin E '[mg/100g']]]*1.49</f>
        <v>0.71519999999999995</v>
      </c>
    </row>
    <row r="404" spans="1:52" hidden="1" x14ac:dyDescent="0.45">
      <c r="A404" t="s">
        <v>58</v>
      </c>
      <c r="B404" s="5" t="s">
        <v>141</v>
      </c>
      <c r="C404" s="6" t="s">
        <v>142</v>
      </c>
      <c r="D404" s="13">
        <v>148</v>
      </c>
      <c r="E404" s="13">
        <f>Tabelle1[[#This Row],[Energie '[kcal/100g']]]/239</f>
        <v>0.61924686192468614</v>
      </c>
      <c r="F404" s="13">
        <v>28.541</v>
      </c>
      <c r="G404" s="11">
        <f>Tabelle1[[#This Row],[Rohprotein '[g/100g']]]*0.85</f>
        <v>24.25985</v>
      </c>
      <c r="H404" s="13">
        <v>3.73</v>
      </c>
      <c r="I404" s="11">
        <f>Tabelle1[[#This Row],[TS]]-Tabelle1[[#This Row],[Rohprotein '[g/100g']]]-Tabelle1[[#This Row],[Rohfett '[g/100g']]]-Tabelle1[[#This Row],[Rohasche '[g/100g']]]-Tabelle1[[#This Row],[Rohfaser '[g/100g']]]</f>
        <v>-9.9999999999922373E-4</v>
      </c>
      <c r="J404" s="11">
        <v>0</v>
      </c>
      <c r="K404" s="13">
        <v>1.135</v>
      </c>
      <c r="L404" s="13">
        <v>66.594999999999999</v>
      </c>
      <c r="M404" s="13">
        <f>100-Tabelle1[[#This Row],[Wasser '[g/100g']]]</f>
        <v>33.405000000000001</v>
      </c>
      <c r="N404" s="13">
        <v>7</v>
      </c>
      <c r="O404" s="13">
        <v>200</v>
      </c>
      <c r="P404" s="13">
        <v>22</v>
      </c>
      <c r="Q404" s="13">
        <v>62</v>
      </c>
      <c r="R404" s="13">
        <v>341</v>
      </c>
      <c r="S404" s="13"/>
      <c r="T404" s="13">
        <v>2.8610000000000002</v>
      </c>
      <c r="U404" s="13">
        <v>5.7969999999999997</v>
      </c>
      <c r="V404" s="11">
        <v>0</v>
      </c>
      <c r="W404" s="13">
        <v>117</v>
      </c>
      <c r="X404" s="13">
        <v>30</v>
      </c>
      <c r="Y404" s="13">
        <v>2.4</v>
      </c>
      <c r="Z404" s="13"/>
      <c r="AA404" s="13">
        <v>0.378</v>
      </c>
      <c r="AB404" s="13">
        <v>0.46700000000000003</v>
      </c>
      <c r="AC404" s="13">
        <v>28</v>
      </c>
      <c r="AD404" s="13">
        <v>0.193</v>
      </c>
      <c r="AE404" s="13">
        <v>0.316</v>
      </c>
      <c r="AF404" s="13">
        <v>7.2969999999999997</v>
      </c>
      <c r="AG404" s="13">
        <v>123</v>
      </c>
      <c r="AH404" s="13">
        <v>5</v>
      </c>
      <c r="AI404" s="13">
        <v>0</v>
      </c>
      <c r="AJ404" s="13">
        <v>3.47</v>
      </c>
      <c r="AK404" s="13">
        <v>3</v>
      </c>
      <c r="AL404" s="13">
        <v>4</v>
      </c>
      <c r="AM404" s="13">
        <v>0</v>
      </c>
      <c r="AN404" s="13">
        <v>4.2000000000000003E-2</v>
      </c>
      <c r="AO404" s="11">
        <v>0</v>
      </c>
      <c r="AP404" s="11">
        <v>0</v>
      </c>
      <c r="AQ404" s="13">
        <v>1.1519999999999999</v>
      </c>
      <c r="AR404" s="13">
        <v>0.90800000000000003</v>
      </c>
      <c r="AS404" s="13">
        <v>1.9690000000000001</v>
      </c>
      <c r="AT404" s="13">
        <v>0.38300000000000001</v>
      </c>
      <c r="AU404" s="13">
        <v>1.0940000000000001</v>
      </c>
      <c r="AV404" s="13">
        <v>2.7589999999999999</v>
      </c>
      <c r="AW404" s="13">
        <v>0.81299999999999994</v>
      </c>
      <c r="AX404" s="9">
        <f>Tabelle1[[#This Row],[Vitamin D3 '[µg/100g']]]*40</f>
        <v>15.120000000000001</v>
      </c>
      <c r="AY404" s="9">
        <f>Tabelle1[[#This Row],[Vitamin A '[µg/100g']]]*3.33</f>
        <v>93.240000000000009</v>
      </c>
      <c r="AZ404" s="9">
        <f>Tabelle1[[#This Row],[Vitamin E '[mg/100g']]]*1.49</f>
        <v>0.69583000000000006</v>
      </c>
    </row>
    <row r="405" spans="1:52" hidden="1" x14ac:dyDescent="0.45">
      <c r="A405" t="s">
        <v>58</v>
      </c>
      <c r="B405" s="3" t="s">
        <v>143</v>
      </c>
      <c r="C405" s="4" t="s">
        <v>144</v>
      </c>
      <c r="D405" s="11">
        <v>115</v>
      </c>
      <c r="E405" s="13">
        <f>Tabelle1[[#This Row],[Energie '[kcal/100g']]]/239</f>
        <v>0.48117154811715479</v>
      </c>
      <c r="F405" s="11">
        <v>22</v>
      </c>
      <c r="G405" s="11">
        <f>Tabelle1[[#This Row],[Rohprotein '[g/100g']]]*0.85</f>
        <v>18.7</v>
      </c>
      <c r="H405" s="11">
        <v>3</v>
      </c>
      <c r="I405" s="11">
        <f>Tabelle1[[#This Row],[TS]]-Tabelle1[[#This Row],[Rohprotein '[g/100g']]]-Tabelle1[[#This Row],[Rohfett '[g/100g']]]-Tabelle1[[#This Row],[Rohasche '[g/100g']]]-Tabelle1[[#This Row],[Rohfaser '[g/100g']]]</f>
        <v>2.886579864025407E-15</v>
      </c>
      <c r="J405" s="11">
        <v>0</v>
      </c>
      <c r="K405" s="11">
        <v>1.2</v>
      </c>
      <c r="L405" s="11">
        <v>73.8</v>
      </c>
      <c r="M405" s="11">
        <f>100-Tabelle1[[#This Row],[Wasser '[g/100g']]]</f>
        <v>26.200000000000003</v>
      </c>
      <c r="N405" s="11">
        <v>6</v>
      </c>
      <c r="O405" s="11">
        <v>190</v>
      </c>
      <c r="P405" s="11">
        <v>22</v>
      </c>
      <c r="Q405" s="11">
        <v>66</v>
      </c>
      <c r="R405" s="11">
        <v>360</v>
      </c>
      <c r="S405" s="11"/>
      <c r="T405" s="11">
        <v>2.16</v>
      </c>
      <c r="U405" s="11">
        <v>4.29</v>
      </c>
      <c r="V405" s="11">
        <v>0</v>
      </c>
      <c r="W405" s="11">
        <v>88</v>
      </c>
      <c r="X405" s="11">
        <v>22</v>
      </c>
      <c r="Y405" s="11">
        <v>2.7</v>
      </c>
      <c r="Z405" s="11"/>
      <c r="AA405" s="11">
        <v>0.4</v>
      </c>
      <c r="AB405" s="11">
        <v>0.48</v>
      </c>
      <c r="AC405" s="11">
        <v>27</v>
      </c>
      <c r="AD405" s="11">
        <v>0.23</v>
      </c>
      <c r="AE405" s="11">
        <v>0.26</v>
      </c>
      <c r="AF405" s="11">
        <v>7.5</v>
      </c>
      <c r="AG405" s="11">
        <v>190</v>
      </c>
      <c r="AH405" s="11">
        <v>5</v>
      </c>
      <c r="AI405" s="11">
        <v>0</v>
      </c>
      <c r="AJ405" s="11">
        <v>3.57</v>
      </c>
      <c r="AK405" s="11">
        <v>3</v>
      </c>
      <c r="AL405" s="11">
        <v>3</v>
      </c>
      <c r="AM405" s="11">
        <v>0</v>
      </c>
      <c r="AN405" s="11">
        <v>3.4000000000000002E-2</v>
      </c>
      <c r="AO405" s="11">
        <v>0</v>
      </c>
      <c r="AP405" s="11">
        <v>0</v>
      </c>
      <c r="AQ405" s="11">
        <v>0.92600000000000005</v>
      </c>
      <c r="AR405" s="11">
        <v>0.73</v>
      </c>
      <c r="AS405" s="11">
        <v>1.518</v>
      </c>
      <c r="AT405" s="11">
        <v>0.29499999999999998</v>
      </c>
      <c r="AU405" s="11">
        <v>0.84299999999999997</v>
      </c>
      <c r="AV405" s="11">
        <v>2.1269999999999998</v>
      </c>
      <c r="AW405" s="11">
        <v>0.627</v>
      </c>
      <c r="AX405" s="9">
        <f>Tabelle1[[#This Row],[Vitamin D3 '[µg/100g']]]*40</f>
        <v>16</v>
      </c>
      <c r="AY405" s="9">
        <f>Tabelle1[[#This Row],[Vitamin A '[µg/100g']]]*3.33</f>
        <v>89.91</v>
      </c>
      <c r="AZ405" s="9">
        <f>Tabelle1[[#This Row],[Vitamin E '[mg/100g']]]*1.49</f>
        <v>0.71519999999999995</v>
      </c>
    </row>
    <row r="406" spans="1:52" hidden="1" x14ac:dyDescent="0.45">
      <c r="A406" t="s">
        <v>58</v>
      </c>
      <c r="B406" s="3" t="s">
        <v>145</v>
      </c>
      <c r="C406" s="4" t="s">
        <v>146</v>
      </c>
      <c r="D406" s="11">
        <v>166</v>
      </c>
      <c r="E406" s="13">
        <f>Tabelle1[[#This Row],[Energie '[kcal/100g']]]/239</f>
        <v>0.69456066945606698</v>
      </c>
      <c r="F406" s="11">
        <v>33</v>
      </c>
      <c r="G406" s="11">
        <f>Tabelle1[[#This Row],[Rohprotein '[g/100g']]]*0.85</f>
        <v>28.05</v>
      </c>
      <c r="H406" s="11">
        <v>3.75</v>
      </c>
      <c r="I406" s="11">
        <f>Tabelle1[[#This Row],[TS]]-Tabelle1[[#This Row],[Rohprotein '[g/100g']]]-Tabelle1[[#This Row],[Rohfett '[g/100g']]]-Tabelle1[[#This Row],[Rohasche '[g/100g']]]-Tabelle1[[#This Row],[Rohfaser '[g/100g']]]</f>
        <v>-2.886579864025407E-15</v>
      </c>
      <c r="J406" s="11">
        <v>0</v>
      </c>
      <c r="K406" s="11">
        <v>0.8</v>
      </c>
      <c r="L406" s="11">
        <v>62.45</v>
      </c>
      <c r="M406" s="11">
        <f>100-Tabelle1[[#This Row],[Wasser '[g/100g']]]</f>
        <v>37.549999999999997</v>
      </c>
      <c r="N406" s="11">
        <v>8</v>
      </c>
      <c r="O406" s="11">
        <v>206</v>
      </c>
      <c r="P406" s="11">
        <v>24</v>
      </c>
      <c r="Q406" s="11">
        <v>60</v>
      </c>
      <c r="R406" s="11">
        <v>330</v>
      </c>
      <c r="S406" s="11"/>
      <c r="T406" s="11">
        <v>3.6</v>
      </c>
      <c r="U406" s="11">
        <v>7.15</v>
      </c>
      <c r="V406" s="11">
        <v>0</v>
      </c>
      <c r="W406" s="11">
        <v>139</v>
      </c>
      <c r="X406" s="11">
        <v>37</v>
      </c>
      <c r="Y406" s="11">
        <v>2.2000000000000002</v>
      </c>
      <c r="Z406" s="11"/>
      <c r="AA406" s="11">
        <v>0.5</v>
      </c>
      <c r="AB406" s="11">
        <v>0.6</v>
      </c>
      <c r="AC406" s="11">
        <v>34</v>
      </c>
      <c r="AD406" s="11">
        <v>0.17199999999999999</v>
      </c>
      <c r="AE406" s="11">
        <v>0.36799999999999999</v>
      </c>
      <c r="AF406" s="11">
        <v>6.875</v>
      </c>
      <c r="AG406" s="11">
        <v>111</v>
      </c>
      <c r="AH406" s="11">
        <v>5</v>
      </c>
      <c r="AI406" s="11">
        <v>0</v>
      </c>
      <c r="AJ406" s="11">
        <v>4.47</v>
      </c>
      <c r="AK406" s="11">
        <v>3</v>
      </c>
      <c r="AL406" s="11">
        <v>4</v>
      </c>
      <c r="AM406" s="11">
        <v>0</v>
      </c>
      <c r="AN406" s="11">
        <v>4.2000000000000003E-2</v>
      </c>
      <c r="AO406" s="11">
        <v>0</v>
      </c>
      <c r="AP406" s="11">
        <v>0</v>
      </c>
      <c r="AQ406" s="11">
        <v>1.157</v>
      </c>
      <c r="AR406" s="11">
        <v>0.91200000000000003</v>
      </c>
      <c r="AS406" s="11">
        <v>2.2770000000000001</v>
      </c>
      <c r="AT406" s="11">
        <v>0.442</v>
      </c>
      <c r="AU406" s="11">
        <v>1.264</v>
      </c>
      <c r="AV406" s="11">
        <v>3.19</v>
      </c>
      <c r="AW406" s="11">
        <v>0.94</v>
      </c>
      <c r="AX406" s="9">
        <f>Tabelle1[[#This Row],[Vitamin D3 '[µg/100g']]]*40</f>
        <v>20</v>
      </c>
      <c r="AY406" s="9">
        <f>Tabelle1[[#This Row],[Vitamin A '[µg/100g']]]*3.33</f>
        <v>113.22</v>
      </c>
      <c r="AZ406" s="9">
        <f>Tabelle1[[#This Row],[Vitamin E '[mg/100g']]]*1.49</f>
        <v>0.89400000000000002</v>
      </c>
    </row>
    <row r="407" spans="1:52" hidden="1" x14ac:dyDescent="0.45">
      <c r="A407" t="s">
        <v>534</v>
      </c>
      <c r="B407" s="3" t="s">
        <v>498</v>
      </c>
      <c r="C407" s="4" t="s">
        <v>499</v>
      </c>
      <c r="D407" s="11">
        <v>319</v>
      </c>
      <c r="E407" s="13">
        <f>Tabelle1[[#This Row],[Energie '[kcal/100g']]]/239</f>
        <v>1.3347280334728033</v>
      </c>
      <c r="F407" s="11">
        <v>8.0299999999999994</v>
      </c>
      <c r="G407" s="13">
        <f>Tabelle1[[#This Row],[Rohprotein '[g/100g']]]*0.85</f>
        <v>6.825499999999999</v>
      </c>
      <c r="H407" s="11">
        <v>1.1399999999999999</v>
      </c>
      <c r="I407" s="11">
        <f>Tabelle1[[#This Row],[TS]]-Tabelle1[[#This Row],[Rohprotein '[g/100g']]]-Tabelle1[[#This Row],[Rohfett '[g/100g']]]-Tabelle1[[#This Row],[Rohasche '[g/100g']]]-Tabelle1[[#This Row],[Rohfaser '[g/100g']]]</f>
        <v>77.91</v>
      </c>
      <c r="J407" s="11">
        <v>0</v>
      </c>
      <c r="K407" s="11">
        <v>1.04</v>
      </c>
      <c r="L407" s="11">
        <v>11.88</v>
      </c>
      <c r="M407" s="11">
        <f>100-Tabelle1[[#This Row],[Wasser '[g/100g']]]</f>
        <v>88.12</v>
      </c>
      <c r="N407" s="11">
        <v>28.2</v>
      </c>
      <c r="O407" s="11">
        <v>182.3</v>
      </c>
      <c r="P407" s="11">
        <v>54</v>
      </c>
      <c r="Q407" s="11">
        <v>0.7</v>
      </c>
      <c r="R407" s="11">
        <v>348.1</v>
      </c>
      <c r="S407" s="11"/>
      <c r="T407" s="11">
        <v>1.6596</v>
      </c>
      <c r="U407" s="11">
        <v>1.8080000000000001</v>
      </c>
      <c r="V407" s="11">
        <v>0</v>
      </c>
      <c r="W407" s="11">
        <v>230.7</v>
      </c>
      <c r="X407" s="11">
        <v>1601.5</v>
      </c>
      <c r="Y407" s="11">
        <v>0</v>
      </c>
      <c r="Z407" s="11"/>
      <c r="AA407" s="11">
        <v>0</v>
      </c>
      <c r="AB407" s="11">
        <v>0.64800000000000002</v>
      </c>
      <c r="AC407" s="11">
        <v>0</v>
      </c>
      <c r="AD407" s="11">
        <v>0.308</v>
      </c>
      <c r="AE407" s="11">
        <v>8.5999999999999993E-2</v>
      </c>
      <c r="AF407" s="11">
        <v>0.77</v>
      </c>
      <c r="AG407" s="11">
        <v>110</v>
      </c>
      <c r="AH407" s="11">
        <v>0</v>
      </c>
      <c r="AI407" s="11">
        <v>0</v>
      </c>
      <c r="AJ407" s="11">
        <v>1.4079999999999999</v>
      </c>
      <c r="AK407" s="11">
        <v>34.4</v>
      </c>
      <c r="AL407" s="11">
        <v>4.6399999999999997</v>
      </c>
      <c r="AM407" s="11">
        <v>0</v>
      </c>
      <c r="AN407" s="11">
        <v>7.0000000000000007E-2</v>
      </c>
      <c r="AO407" s="11">
        <v>0</v>
      </c>
      <c r="AP407" s="11">
        <v>0</v>
      </c>
      <c r="AQ407" s="11">
        <v>0.46</v>
      </c>
      <c r="AR407" s="11">
        <v>0.46</v>
      </c>
      <c r="AS407" s="11">
        <v>0.38</v>
      </c>
      <c r="AT407" s="11">
        <v>0.17399999999999999</v>
      </c>
      <c r="AU407" s="11">
        <v>0.16300000000000001</v>
      </c>
      <c r="AV407" s="11">
        <v>0.29099999999999998</v>
      </c>
      <c r="AW407" s="11">
        <v>0.122</v>
      </c>
      <c r="AX407" s="9">
        <f>Tabelle1[[#This Row],[Vitamin D3 '[µg/100g']]]*40</f>
        <v>0</v>
      </c>
      <c r="AY407" s="9">
        <f>Tabelle1[[#This Row],[Vitamin A '[µg/100g']]]*3.33</f>
        <v>0</v>
      </c>
      <c r="AZ407" s="9">
        <f>Tabelle1[[#This Row],[Vitamin E '[mg/100g']]]*1.49</f>
        <v>0.96552000000000004</v>
      </c>
    </row>
    <row r="408" spans="1:52" hidden="1" x14ac:dyDescent="0.45">
      <c r="A408" t="s">
        <v>534</v>
      </c>
      <c r="B408" s="3" t="s">
        <v>500</v>
      </c>
      <c r="C408" s="4" t="s">
        <v>501</v>
      </c>
      <c r="D408" s="11">
        <v>318</v>
      </c>
      <c r="E408" s="13">
        <f>Tabelle1[[#This Row],[Energie '[kcal/100g']]]/239</f>
        <v>1.3305439330543933</v>
      </c>
      <c r="F408" s="11">
        <v>8.85</v>
      </c>
      <c r="G408" s="13">
        <f>Tabelle1[[#This Row],[Rohprotein '[g/100g']]]*0.85</f>
        <v>7.5224999999999991</v>
      </c>
      <c r="H408" s="11">
        <v>1.22</v>
      </c>
      <c r="I408" s="11">
        <f>Tabelle1[[#This Row],[TS]]-Tabelle1[[#This Row],[Rohprotein '[g/100g']]]-Tabelle1[[#This Row],[Rohfett '[g/100g']]]-Tabelle1[[#This Row],[Rohasche '[g/100g']]]-Tabelle1[[#This Row],[Rohfaser '[g/100g']]]</f>
        <v>77.320000000000007</v>
      </c>
      <c r="J408" s="11">
        <v>0</v>
      </c>
      <c r="K408" s="11">
        <v>1.2</v>
      </c>
      <c r="L408" s="11">
        <v>11.41</v>
      </c>
      <c r="M408" s="11">
        <f>100-Tabelle1[[#This Row],[Wasser '[g/100g']]]</f>
        <v>88.59</v>
      </c>
      <c r="N408" s="11">
        <v>33.200000000000003</v>
      </c>
      <c r="O408" s="11">
        <v>212.9</v>
      </c>
      <c r="P408" s="11">
        <v>66.400000000000006</v>
      </c>
      <c r="Q408" s="11">
        <v>0.7</v>
      </c>
      <c r="R408" s="11">
        <v>403.5</v>
      </c>
      <c r="S408" s="11"/>
      <c r="T408" s="11">
        <v>1.9944999999999999</v>
      </c>
      <c r="U408" s="11">
        <v>1.9827999999999999</v>
      </c>
      <c r="V408" s="11">
        <v>0</v>
      </c>
      <c r="W408" s="11">
        <v>263.5</v>
      </c>
      <c r="X408" s="11">
        <v>1811.4</v>
      </c>
      <c r="Y408" s="11">
        <v>0</v>
      </c>
      <c r="Z408" s="11"/>
      <c r="AA408" s="11">
        <v>0</v>
      </c>
      <c r="AB408" s="11">
        <v>0.74</v>
      </c>
      <c r="AC408" s="11">
        <v>0</v>
      </c>
      <c r="AD408" s="11">
        <v>0.4</v>
      </c>
      <c r="AE408" s="11">
        <v>9.4E-2</v>
      </c>
      <c r="AF408" s="11">
        <v>0.83</v>
      </c>
      <c r="AG408" s="11">
        <v>110</v>
      </c>
      <c r="AH408" s="11">
        <v>0</v>
      </c>
      <c r="AI408" s="11">
        <v>0</v>
      </c>
      <c r="AJ408" s="11">
        <v>1.5649999999999999</v>
      </c>
      <c r="AK408" s="11">
        <v>38.4</v>
      </c>
      <c r="AL408" s="11">
        <v>5.18</v>
      </c>
      <c r="AM408" s="11">
        <v>0</v>
      </c>
      <c r="AN408" s="11">
        <v>7.0000000000000007E-2</v>
      </c>
      <c r="AO408" s="11">
        <v>0</v>
      </c>
      <c r="AP408" s="11">
        <v>0</v>
      </c>
      <c r="AQ408" s="11">
        <v>0.49</v>
      </c>
      <c r="AR408" s="11">
        <v>0.49</v>
      </c>
      <c r="AS408" s="11">
        <v>0.437</v>
      </c>
      <c r="AT408" s="11">
        <v>0.21</v>
      </c>
      <c r="AU408" s="11">
        <v>0.17799999999999999</v>
      </c>
      <c r="AV408" s="11">
        <v>0.32200000000000001</v>
      </c>
      <c r="AW408" s="11">
        <v>0.15</v>
      </c>
      <c r="AX408" s="9">
        <f>Tabelle1[[#This Row],[Vitamin D3 '[µg/100g']]]*40</f>
        <v>0</v>
      </c>
      <c r="AY408" s="9">
        <f>Tabelle1[[#This Row],[Vitamin A '[µg/100g']]]*3.33</f>
        <v>0</v>
      </c>
      <c r="AZ408" s="9">
        <f>Tabelle1[[#This Row],[Vitamin E '[mg/100g']]]*1.49</f>
        <v>1.1026</v>
      </c>
    </row>
    <row r="409" spans="1:52" hidden="1" x14ac:dyDescent="0.45">
      <c r="A409" t="s">
        <v>534</v>
      </c>
      <c r="B409" s="3" t="s">
        <v>502</v>
      </c>
      <c r="C409" s="4" t="s">
        <v>503</v>
      </c>
      <c r="D409" s="11">
        <v>315</v>
      </c>
      <c r="E409" s="13">
        <f>Tabelle1[[#This Row],[Energie '[kcal/100g']]]/239</f>
        <v>1.3179916317991631</v>
      </c>
      <c r="F409" s="11">
        <v>8.98</v>
      </c>
      <c r="G409" s="13">
        <f>Tabelle1[[#This Row],[Rohprotein '[g/100g']]]*0.85</f>
        <v>7.633</v>
      </c>
      <c r="H409" s="11">
        <v>1.27</v>
      </c>
      <c r="I409" s="11">
        <f>Tabelle1[[#This Row],[TS]]-Tabelle1[[#This Row],[Rohprotein '[g/100g']]]-Tabelle1[[#This Row],[Rohfett '[g/100g']]]-Tabelle1[[#This Row],[Rohasche '[g/100g']]]-Tabelle1[[#This Row],[Rohfaser '[g/100g']]]</f>
        <v>77.05</v>
      </c>
      <c r="J409" s="11">
        <v>0</v>
      </c>
      <c r="K409" s="11">
        <v>1.34</v>
      </c>
      <c r="L409" s="11">
        <v>11.36</v>
      </c>
      <c r="M409" s="11">
        <f>100-Tabelle1[[#This Row],[Wasser '[g/100g']]]</f>
        <v>88.64</v>
      </c>
      <c r="N409" s="11">
        <v>35.799999999999997</v>
      </c>
      <c r="O409" s="11">
        <v>238</v>
      </c>
      <c r="P409" s="11">
        <v>77.5</v>
      </c>
      <c r="Q409" s="11">
        <v>0.7</v>
      </c>
      <c r="R409" s="11">
        <v>435.4</v>
      </c>
      <c r="S409" s="11"/>
      <c r="T409" s="11">
        <v>2.1150000000000002</v>
      </c>
      <c r="U409" s="11">
        <v>2.1328</v>
      </c>
      <c r="V409" s="11">
        <v>0</v>
      </c>
      <c r="W409" s="11">
        <v>306.8</v>
      </c>
      <c r="X409" s="11">
        <v>1832</v>
      </c>
      <c r="Y409" s="11">
        <v>0</v>
      </c>
      <c r="Z409" s="11"/>
      <c r="AA409" s="11">
        <v>0</v>
      </c>
      <c r="AB409" s="11">
        <v>0.77800000000000002</v>
      </c>
      <c r="AC409" s="11">
        <v>0</v>
      </c>
      <c r="AD409" s="11">
        <v>0.34</v>
      </c>
      <c r="AE409" s="11">
        <v>9.9000000000000005E-2</v>
      </c>
      <c r="AF409" s="11">
        <v>0.84</v>
      </c>
      <c r="AG409" s="11">
        <v>110</v>
      </c>
      <c r="AH409" s="11">
        <v>0</v>
      </c>
      <c r="AI409" s="11">
        <v>0</v>
      </c>
      <c r="AJ409" s="11">
        <v>1.6020000000000001</v>
      </c>
      <c r="AK409" s="11">
        <v>37.6</v>
      </c>
      <c r="AL409" s="11">
        <v>5.19</v>
      </c>
      <c r="AM409" s="11">
        <v>0</v>
      </c>
      <c r="AN409" s="11">
        <v>7.0000000000000007E-2</v>
      </c>
      <c r="AO409" s="11">
        <v>0</v>
      </c>
      <c r="AP409" s="11">
        <v>0</v>
      </c>
      <c r="AQ409" s="11">
        <v>0.51</v>
      </c>
      <c r="AR409" s="11">
        <v>0.51</v>
      </c>
      <c r="AS409" s="11">
        <v>0.45800000000000002</v>
      </c>
      <c r="AT409" s="11">
        <v>0.20899999999999999</v>
      </c>
      <c r="AU409" s="11">
        <v>0.18099999999999999</v>
      </c>
      <c r="AV409" s="11">
        <v>0.34300000000000003</v>
      </c>
      <c r="AW409" s="11">
        <v>0.14599999999999999</v>
      </c>
      <c r="AX409" s="9">
        <f>Tabelle1[[#This Row],[Vitamin D3 '[µg/100g']]]*40</f>
        <v>0</v>
      </c>
      <c r="AY409" s="9">
        <f>Tabelle1[[#This Row],[Vitamin A '[µg/100g']]]*3.33</f>
        <v>0</v>
      </c>
      <c r="AZ409" s="9">
        <f>Tabelle1[[#This Row],[Vitamin E '[mg/100g']]]*1.49</f>
        <v>1.1592200000000001</v>
      </c>
    </row>
    <row r="410" spans="1:52" hidden="1" x14ac:dyDescent="0.45">
      <c r="A410" t="s">
        <v>534</v>
      </c>
      <c r="B410" s="3" t="s">
        <v>504</v>
      </c>
      <c r="C410" s="4" t="s">
        <v>505</v>
      </c>
      <c r="D410" s="11">
        <v>323</v>
      </c>
      <c r="E410" s="13">
        <f>Tabelle1[[#This Row],[Energie '[kcal/100g']]]/239</f>
        <v>1.3514644351464435</v>
      </c>
      <c r="F410" s="11">
        <v>7.54</v>
      </c>
      <c r="G410" s="13">
        <f>Tabelle1[[#This Row],[Rohprotein '[g/100g']]]*0.85</f>
        <v>6.4089999999999998</v>
      </c>
      <c r="H410" s="11">
        <v>0.92</v>
      </c>
      <c r="I410" s="11">
        <f>Tabelle1[[#This Row],[TS]]-Tabelle1[[#This Row],[Rohprotein '[g/100g']]]-Tabelle1[[#This Row],[Rohfett '[g/100g']]]-Tabelle1[[#This Row],[Rohasche '[g/100g']]]-Tabelle1[[#This Row],[Rohfaser '[g/100g']]]</f>
        <v>79.289999999999992</v>
      </c>
      <c r="J410" s="11">
        <v>0</v>
      </c>
      <c r="K410" s="11">
        <v>0.75</v>
      </c>
      <c r="L410" s="11">
        <v>11.5</v>
      </c>
      <c r="M410" s="11">
        <f>100-Tabelle1[[#This Row],[Wasser '[g/100g']]]</f>
        <v>88.5</v>
      </c>
      <c r="N410" s="11">
        <v>24.7</v>
      </c>
      <c r="O410" s="11">
        <v>126.6</v>
      </c>
      <c r="P410" s="11">
        <v>36</v>
      </c>
      <c r="Q410" s="11">
        <v>0.7</v>
      </c>
      <c r="R410" s="11">
        <v>285.7</v>
      </c>
      <c r="S410" s="11"/>
      <c r="T410" s="11">
        <v>1.2534000000000001</v>
      </c>
      <c r="U410" s="11">
        <v>1.3768</v>
      </c>
      <c r="V410" s="11">
        <v>0</v>
      </c>
      <c r="W410" s="11">
        <v>183.4</v>
      </c>
      <c r="X410" s="11">
        <v>1171.8</v>
      </c>
      <c r="Y410" s="11">
        <v>0</v>
      </c>
      <c r="Z410" s="11"/>
      <c r="AA410" s="11">
        <v>0</v>
      </c>
      <c r="AB410" s="11">
        <v>0.6</v>
      </c>
      <c r="AC410" s="11">
        <v>0</v>
      </c>
      <c r="AD410" s="11">
        <v>0.30399999999999999</v>
      </c>
      <c r="AE410" s="11">
        <v>7.0000000000000007E-2</v>
      </c>
      <c r="AF410" s="11">
        <v>0.7</v>
      </c>
      <c r="AG410" s="11">
        <v>110</v>
      </c>
      <c r="AH410" s="11">
        <v>0</v>
      </c>
      <c r="AI410" s="11">
        <v>0</v>
      </c>
      <c r="AJ410" s="11">
        <v>1.054</v>
      </c>
      <c r="AK410" s="11">
        <v>31.7</v>
      </c>
      <c r="AL410" s="11">
        <v>3.55</v>
      </c>
      <c r="AM410" s="11">
        <v>0</v>
      </c>
      <c r="AN410" s="11">
        <v>0.05</v>
      </c>
      <c r="AO410" s="11">
        <v>0</v>
      </c>
      <c r="AP410" s="11">
        <v>0</v>
      </c>
      <c r="AQ410" s="11">
        <v>0.37</v>
      </c>
      <c r="AR410" s="11">
        <v>0.37</v>
      </c>
      <c r="AS410" s="11">
        <v>0.34899999999999998</v>
      </c>
      <c r="AT410" s="11">
        <v>0.17100000000000001</v>
      </c>
      <c r="AU410" s="11">
        <v>0.14699999999999999</v>
      </c>
      <c r="AV410" s="11">
        <v>0.26700000000000002</v>
      </c>
      <c r="AW410" s="11">
        <v>0.13100000000000001</v>
      </c>
      <c r="AX410" s="9">
        <f>Tabelle1[[#This Row],[Vitamin D3 '[µg/100g']]]*40</f>
        <v>0</v>
      </c>
      <c r="AY410" s="9">
        <f>Tabelle1[[#This Row],[Vitamin A '[µg/100g']]]*3.33</f>
        <v>0</v>
      </c>
      <c r="AZ410" s="9">
        <f>Tabelle1[[#This Row],[Vitamin E '[mg/100g']]]*1.49</f>
        <v>0.89400000000000002</v>
      </c>
    </row>
    <row r="411" spans="1:52" hidden="1" x14ac:dyDescent="0.45">
      <c r="A411" t="s">
        <v>534</v>
      </c>
      <c r="B411" s="3" t="s">
        <v>506</v>
      </c>
      <c r="C411" s="4" t="s">
        <v>507</v>
      </c>
      <c r="D411" s="11">
        <v>321</v>
      </c>
      <c r="E411" s="13">
        <f>Tabelle1[[#This Row],[Energie '[kcal/100g']]]/239</f>
        <v>1.3430962343096233</v>
      </c>
      <c r="F411" s="11">
        <v>7.74</v>
      </c>
      <c r="G411" s="13">
        <f>Tabelle1[[#This Row],[Rohprotein '[g/100g']]]*0.85</f>
        <v>6.5789999999999997</v>
      </c>
      <c r="H411" s="11">
        <v>1.05</v>
      </c>
      <c r="I411" s="11">
        <f>Tabelle1[[#This Row],[TS]]-Tabelle1[[#This Row],[Rohprotein '[g/100g']]]-Tabelle1[[#This Row],[Rohfett '[g/100g']]]-Tabelle1[[#This Row],[Rohasche '[g/100g']]]-Tabelle1[[#This Row],[Rohfaser '[g/100g']]]</f>
        <v>78.470000000000013</v>
      </c>
      <c r="J411" s="11">
        <v>0</v>
      </c>
      <c r="K411" s="11">
        <v>0.88</v>
      </c>
      <c r="L411" s="11">
        <v>11.86</v>
      </c>
      <c r="M411" s="11">
        <f>100-Tabelle1[[#This Row],[Wasser '[g/100g']]]</f>
        <v>88.14</v>
      </c>
      <c r="N411" s="11">
        <v>26.7</v>
      </c>
      <c r="O411" s="11">
        <v>151.69999999999999</v>
      </c>
      <c r="P411" s="11">
        <v>44.6</v>
      </c>
      <c r="Q411" s="11">
        <v>0.7</v>
      </c>
      <c r="R411" s="11">
        <v>315.3</v>
      </c>
      <c r="S411" s="11"/>
      <c r="T411" s="11">
        <v>1.4688000000000001</v>
      </c>
      <c r="U411" s="11">
        <v>1.5648</v>
      </c>
      <c r="V411" s="11">
        <v>0</v>
      </c>
      <c r="W411" s="11">
        <v>208.9</v>
      </c>
      <c r="X411" s="11">
        <v>1300.2</v>
      </c>
      <c r="Y411" s="11">
        <v>0</v>
      </c>
      <c r="Z411" s="11"/>
      <c r="AA411" s="11">
        <v>0</v>
      </c>
      <c r="AB411" s="11">
        <v>0.58099999999999996</v>
      </c>
      <c r="AC411" s="11">
        <v>0</v>
      </c>
      <c r="AD411" s="11">
        <v>0.32100000000000001</v>
      </c>
      <c r="AE411" s="11">
        <v>6.9000000000000006E-2</v>
      </c>
      <c r="AF411" s="11">
        <v>0.71</v>
      </c>
      <c r="AG411" s="11">
        <v>110</v>
      </c>
      <c r="AH411" s="11">
        <v>0</v>
      </c>
      <c r="AI411" s="11">
        <v>0</v>
      </c>
      <c r="AJ411" s="11">
        <v>1.2589999999999999</v>
      </c>
      <c r="AK411" s="11">
        <v>32.4</v>
      </c>
      <c r="AL411" s="11">
        <v>4.07</v>
      </c>
      <c r="AM411" s="11">
        <v>0</v>
      </c>
      <c r="AN411" s="11">
        <v>0.06</v>
      </c>
      <c r="AO411" s="11">
        <v>0</v>
      </c>
      <c r="AP411" s="11">
        <v>0</v>
      </c>
      <c r="AQ411" s="11">
        <v>0.42</v>
      </c>
      <c r="AR411" s="11">
        <v>0.42</v>
      </c>
      <c r="AS411" s="11">
        <v>0.36699999999999999</v>
      </c>
      <c r="AT411" s="11">
        <v>0.17599999999999999</v>
      </c>
      <c r="AU411" s="11">
        <v>0.154</v>
      </c>
      <c r="AV411" s="11">
        <v>0.27600000000000002</v>
      </c>
      <c r="AW411" s="11">
        <v>0.13100000000000001</v>
      </c>
      <c r="AX411" s="9">
        <f>Tabelle1[[#This Row],[Vitamin D3 '[µg/100g']]]*40</f>
        <v>0</v>
      </c>
      <c r="AY411" s="9">
        <f>Tabelle1[[#This Row],[Vitamin A '[µg/100g']]]*3.33</f>
        <v>0</v>
      </c>
      <c r="AZ411" s="9">
        <f>Tabelle1[[#This Row],[Vitamin E '[mg/100g']]]*1.49</f>
        <v>0.86568999999999996</v>
      </c>
    </row>
    <row r="412" spans="1:52" hidden="1" x14ac:dyDescent="0.45">
      <c r="A412" t="s">
        <v>534</v>
      </c>
      <c r="B412" s="3" t="s">
        <v>508</v>
      </c>
      <c r="C412" s="4" t="s">
        <v>509</v>
      </c>
      <c r="D412" s="11">
        <v>312</v>
      </c>
      <c r="E412" s="13">
        <f>Tabelle1[[#This Row],[Energie '[kcal/100g']]]/239</f>
        <v>1.3054393305439331</v>
      </c>
      <c r="F412" s="11">
        <v>9</v>
      </c>
      <c r="G412" s="13">
        <f>Tabelle1[[#This Row],[Rohprotein '[g/100g']]]*0.85</f>
        <v>7.6499999999999995</v>
      </c>
      <c r="H412" s="11">
        <v>1.33</v>
      </c>
      <c r="I412" s="11">
        <f>Tabelle1[[#This Row],[TS]]-Tabelle1[[#This Row],[Rohprotein '[g/100g']]]-Tabelle1[[#This Row],[Rohfett '[g/100g']]]-Tabelle1[[#This Row],[Rohasche '[g/100g']]]-Tabelle1[[#This Row],[Rohfaser '[g/100g']]]</f>
        <v>76.680000000000007</v>
      </c>
      <c r="J412" s="11">
        <v>0</v>
      </c>
      <c r="K412" s="11">
        <v>1.49</v>
      </c>
      <c r="L412" s="11">
        <v>11.5</v>
      </c>
      <c r="M412" s="11">
        <f>100-Tabelle1[[#This Row],[Wasser '[g/100g']]]</f>
        <v>88.5</v>
      </c>
      <c r="N412" s="11">
        <v>35.6</v>
      </c>
      <c r="O412" s="11">
        <v>257.89999999999998</v>
      </c>
      <c r="P412" s="11">
        <v>81.400000000000006</v>
      </c>
      <c r="Q412" s="11">
        <v>0.7</v>
      </c>
      <c r="R412" s="11">
        <v>467.5</v>
      </c>
      <c r="S412" s="11"/>
      <c r="T412" s="11">
        <v>2.3494999999999999</v>
      </c>
      <c r="U412" s="11">
        <v>2.3517000000000001</v>
      </c>
      <c r="V412" s="11">
        <v>0</v>
      </c>
      <c r="W412" s="11">
        <v>293.8</v>
      </c>
      <c r="X412" s="11">
        <v>2127.1999999999998</v>
      </c>
      <c r="Y412" s="11">
        <v>0</v>
      </c>
      <c r="Z412" s="11"/>
      <c r="AA412" s="11">
        <v>0</v>
      </c>
      <c r="AB412" s="11">
        <v>0.72699999999999998</v>
      </c>
      <c r="AC412" s="11">
        <v>0</v>
      </c>
      <c r="AD412" s="11">
        <v>0.35099999999999998</v>
      </c>
      <c r="AE412" s="11">
        <v>0.10100000000000001</v>
      </c>
      <c r="AF412" s="11">
        <v>1.04</v>
      </c>
      <c r="AG412" s="11">
        <v>110</v>
      </c>
      <c r="AH412" s="11">
        <v>0</v>
      </c>
      <c r="AI412" s="11">
        <v>0</v>
      </c>
      <c r="AJ412" s="11">
        <v>1.546</v>
      </c>
      <c r="AK412" s="11">
        <v>38.799999999999997</v>
      </c>
      <c r="AL412" s="11">
        <v>5.34</v>
      </c>
      <c r="AM412" s="11">
        <v>0</v>
      </c>
      <c r="AN412" s="11">
        <v>7.6300000000000007E-2</v>
      </c>
      <c r="AO412" s="11">
        <v>0</v>
      </c>
      <c r="AP412" s="11">
        <v>0</v>
      </c>
      <c r="AQ412" s="11">
        <v>0.53500000000000003</v>
      </c>
      <c r="AR412" s="11">
        <v>0.53500000000000003</v>
      </c>
      <c r="AS412" s="11">
        <v>0.44</v>
      </c>
      <c r="AT412" s="11">
        <v>0.191</v>
      </c>
      <c r="AU412" s="11">
        <v>0.188</v>
      </c>
      <c r="AV412" s="11">
        <v>0.32700000000000001</v>
      </c>
      <c r="AW412" s="11">
        <v>0.13800000000000001</v>
      </c>
      <c r="AX412" s="9">
        <f>Tabelle1[[#This Row],[Vitamin D3 '[µg/100g']]]*40</f>
        <v>0</v>
      </c>
      <c r="AY412" s="9">
        <f>Tabelle1[[#This Row],[Vitamin A '[µg/100g']]]*3.33</f>
        <v>0</v>
      </c>
      <c r="AZ412" s="9">
        <f>Tabelle1[[#This Row],[Vitamin E '[mg/100g']]]*1.49</f>
        <v>1.0832299999999999</v>
      </c>
    </row>
    <row r="413" spans="1:52" hidden="1" x14ac:dyDescent="0.45">
      <c r="A413" t="s">
        <v>877</v>
      </c>
      <c r="B413" s="3" t="s">
        <v>847</v>
      </c>
      <c r="C413" s="4" t="s">
        <v>848</v>
      </c>
      <c r="D413" s="11">
        <v>43</v>
      </c>
      <c r="E413" s="11">
        <f>Tabelle1[[#This Row],[Energie '[kcal/100g']]]/239</f>
        <v>0.1799163179916318</v>
      </c>
      <c r="F413" s="11">
        <v>2.0230000000000001</v>
      </c>
      <c r="G413" s="11">
        <f>Tabelle1[[#This Row],[Rohprotein '[g/100g']]]*0.85</f>
        <v>1.7195500000000001</v>
      </c>
      <c r="H413" s="11">
        <v>9.8000000000000004E-2</v>
      </c>
      <c r="I413" s="11">
        <f>Tabelle1[[#This Row],[TS]]-Tabelle1[[#This Row],[Rohprotein '[g/100g']]]-Tabelle1[[#This Row],[Rohfett '[g/100g']]]-Tabelle1[[#This Row],[Rohasche '[g/100g']]]-Tabelle1[[#This Row],[Rohfaser '[g/100g']]]</f>
        <v>9.8989999999999991</v>
      </c>
      <c r="J413" s="11">
        <v>0</v>
      </c>
      <c r="K413" s="11">
        <v>0.98</v>
      </c>
      <c r="L413" s="11">
        <v>87</v>
      </c>
      <c r="M413" s="11">
        <f>100-Tabelle1[[#This Row],[Wasser '[g/100g']]]</f>
        <v>13</v>
      </c>
      <c r="N413" s="11">
        <v>17</v>
      </c>
      <c r="O413" s="11">
        <v>41</v>
      </c>
      <c r="P413" s="11">
        <v>24</v>
      </c>
      <c r="Q413" s="11">
        <v>56</v>
      </c>
      <c r="R413" s="11">
        <v>342</v>
      </c>
      <c r="S413" s="11"/>
      <c r="T413" s="11">
        <v>0.4</v>
      </c>
      <c r="U413" s="11">
        <v>0.3</v>
      </c>
      <c r="V413" s="11">
        <v>0</v>
      </c>
      <c r="W413" s="11">
        <v>84</v>
      </c>
      <c r="X413" s="11">
        <v>360</v>
      </c>
      <c r="Y413" s="11">
        <v>0.4</v>
      </c>
      <c r="Z413" s="11"/>
      <c r="AA413" s="11">
        <v>0</v>
      </c>
      <c r="AB413" s="11">
        <v>4.2000000000000003E-2</v>
      </c>
      <c r="AC413" s="11">
        <v>2</v>
      </c>
      <c r="AD413" s="11">
        <v>0.04</v>
      </c>
      <c r="AE413" s="11">
        <v>0.05</v>
      </c>
      <c r="AF413" s="11">
        <v>0.2</v>
      </c>
      <c r="AG413" s="11">
        <v>42</v>
      </c>
      <c r="AH413" s="11">
        <v>0</v>
      </c>
      <c r="AI413" s="11">
        <v>5</v>
      </c>
      <c r="AJ413" s="11">
        <v>0.2</v>
      </c>
      <c r="AK413" s="11">
        <v>45</v>
      </c>
      <c r="AL413" s="11">
        <v>0</v>
      </c>
      <c r="AM413" s="11">
        <v>0</v>
      </c>
      <c r="AN413" s="11">
        <v>4.0000000000000001E-3</v>
      </c>
      <c r="AO413" s="11">
        <v>0</v>
      </c>
      <c r="AP413" s="11">
        <v>0</v>
      </c>
      <c r="AQ413" s="11">
        <v>0.04</v>
      </c>
      <c r="AR413" s="11">
        <v>0.04</v>
      </c>
      <c r="AS413" s="11">
        <v>2.5999999999999999E-2</v>
      </c>
      <c r="AT413" s="11">
        <v>0</v>
      </c>
      <c r="AU413" s="11">
        <v>2.1000000000000001E-2</v>
      </c>
      <c r="AV413" s="11">
        <v>0.08</v>
      </c>
      <c r="AW413" s="11">
        <v>5.0000000000000001E-3</v>
      </c>
      <c r="AX413" s="9">
        <f>Tabelle1[[#This Row],[Vitamin D3 '[µg/100g']]]*40</f>
        <v>0</v>
      </c>
      <c r="AY413" s="9">
        <f>Tabelle1[[#This Row],[Vitamin A '[µg/100g']]]*3.33</f>
        <v>6.66</v>
      </c>
      <c r="AZ413" s="9">
        <f>Tabelle1[[#This Row],[Vitamin E '[mg/100g']]]*1.49</f>
        <v>6.2579999999999997E-2</v>
      </c>
    </row>
    <row r="414" spans="1:52" hidden="1" x14ac:dyDescent="0.45">
      <c r="A414" t="s">
        <v>877</v>
      </c>
      <c r="B414" s="3" t="s">
        <v>849</v>
      </c>
      <c r="C414" s="4" t="s">
        <v>850</v>
      </c>
      <c r="D414" s="11">
        <v>58</v>
      </c>
      <c r="E414" s="11">
        <f>Tabelle1[[#This Row],[Energie '[kcal/100g']]]/239</f>
        <v>0.24267782426778242</v>
      </c>
      <c r="F414" s="11">
        <v>1.6</v>
      </c>
      <c r="G414" s="11">
        <f>Tabelle1[[#This Row],[Rohprotein '[g/100g']]]*0.85</f>
        <v>1.36</v>
      </c>
      <c r="H414" s="11">
        <v>0.3</v>
      </c>
      <c r="I414" s="11">
        <f>Tabelle1[[#This Row],[TS]]-Tabelle1[[#This Row],[Rohprotein '[g/100g']]]-Tabelle1[[#This Row],[Rohfett '[g/100g']]]-Tabelle1[[#This Row],[Rohasche '[g/100g']]]-Tabelle1[[#This Row],[Rohfaser '[g/100g']]]</f>
        <v>12.100000000000003</v>
      </c>
      <c r="J414" s="11">
        <v>0</v>
      </c>
      <c r="K414" s="11">
        <v>0.7</v>
      </c>
      <c r="L414" s="11">
        <v>85.3</v>
      </c>
      <c r="M414" s="11">
        <f>100-Tabelle1[[#This Row],[Wasser '[g/100g']]]</f>
        <v>14.700000000000003</v>
      </c>
      <c r="N414" s="11">
        <v>27</v>
      </c>
      <c r="O414" s="11">
        <v>26</v>
      </c>
      <c r="P414" s="11">
        <v>15</v>
      </c>
      <c r="Q414" s="11">
        <v>52</v>
      </c>
      <c r="R414" s="11">
        <v>302</v>
      </c>
      <c r="S414" s="11"/>
      <c r="T414" s="11">
        <v>0.36</v>
      </c>
      <c r="U414" s="11">
        <v>0.3</v>
      </c>
      <c r="V414" s="11">
        <v>0</v>
      </c>
      <c r="W414" s="11">
        <v>90</v>
      </c>
      <c r="X414" s="11">
        <v>290</v>
      </c>
      <c r="Y414" s="11">
        <v>1.8</v>
      </c>
      <c r="Z414" s="11"/>
      <c r="AA414" s="11">
        <v>0</v>
      </c>
      <c r="AB414" s="11">
        <v>4.7E-2</v>
      </c>
      <c r="AC414" s="11">
        <v>7.1</v>
      </c>
      <c r="AD414" s="11">
        <v>7.4999999999999997E-3</v>
      </c>
      <c r="AE414" s="11">
        <v>0</v>
      </c>
      <c r="AF414" s="11">
        <v>0.2</v>
      </c>
      <c r="AG414" s="11">
        <v>50</v>
      </c>
      <c r="AH414" s="11">
        <v>0</v>
      </c>
      <c r="AI414" s="11">
        <v>4</v>
      </c>
      <c r="AJ414" s="11">
        <v>0.2</v>
      </c>
      <c r="AK414" s="11">
        <v>22</v>
      </c>
      <c r="AL414" s="11">
        <v>0</v>
      </c>
      <c r="AM414" s="11">
        <v>0</v>
      </c>
      <c r="AN414" s="11">
        <v>4.0000000000000001E-3</v>
      </c>
      <c r="AO414" s="11">
        <v>0</v>
      </c>
      <c r="AP414" s="11">
        <v>0</v>
      </c>
      <c r="AQ414" s="11">
        <v>0.04</v>
      </c>
      <c r="AR414" s="11">
        <v>0.04</v>
      </c>
      <c r="AS414" s="11">
        <v>2.5999999999999999E-2</v>
      </c>
      <c r="AT414" s="11">
        <v>0</v>
      </c>
      <c r="AU414" s="11">
        <v>2.1000000000000001E-2</v>
      </c>
      <c r="AV414" s="11">
        <v>0.08</v>
      </c>
      <c r="AW414" s="11">
        <v>5.0000000000000001E-3</v>
      </c>
      <c r="AX414" s="9">
        <f>Tabelle1[[#This Row],[Vitamin D3 '[µg/100g']]]*40</f>
        <v>0</v>
      </c>
      <c r="AY414" s="9">
        <f>Tabelle1[[#This Row],[Vitamin A '[µg/100g']]]*3.33</f>
        <v>23.643000000000001</v>
      </c>
      <c r="AZ414" s="9">
        <f>Tabelle1[[#This Row],[Vitamin E '[mg/100g']]]*1.49</f>
        <v>7.0029999999999995E-2</v>
      </c>
    </row>
    <row r="415" spans="1:52" hidden="1" x14ac:dyDescent="0.45">
      <c r="A415" t="s">
        <v>877</v>
      </c>
      <c r="B415" s="3" t="s">
        <v>851</v>
      </c>
      <c r="C415" s="4" t="s">
        <v>852</v>
      </c>
      <c r="D415" s="11">
        <v>43</v>
      </c>
      <c r="E415" s="11">
        <f>Tabelle1[[#This Row],[Energie '[kcal/100g']]]/239</f>
        <v>0.1799163179916318</v>
      </c>
      <c r="F415" s="11">
        <v>2.0630000000000002</v>
      </c>
      <c r="G415" s="11">
        <f>Tabelle1[[#This Row],[Rohprotein '[g/100g']]]*0.85</f>
        <v>1.7535500000000002</v>
      </c>
      <c r="H415" s="11">
        <v>0.1</v>
      </c>
      <c r="I415" s="11">
        <f>Tabelle1[[#This Row],[TS]]-Tabelle1[[#This Row],[Rohprotein '[g/100g']]]-Tabelle1[[#This Row],[Rohfett '[g/100g']]]-Tabelle1[[#This Row],[Rohasche '[g/100g']]]-Tabelle1[[#This Row],[Rohfaser '[g/100g']]]</f>
        <v>10.070000000000004</v>
      </c>
      <c r="J415" s="11">
        <v>0</v>
      </c>
      <c r="K415" s="11">
        <v>1</v>
      </c>
      <c r="L415" s="11">
        <v>86.766999999999996</v>
      </c>
      <c r="M415" s="11">
        <f>100-Tabelle1[[#This Row],[Wasser '[g/100g']]]</f>
        <v>13.233000000000004</v>
      </c>
      <c r="N415" s="11">
        <v>17</v>
      </c>
      <c r="O415" s="11">
        <v>42</v>
      </c>
      <c r="P415" s="11">
        <v>24</v>
      </c>
      <c r="Q415" s="11">
        <v>57</v>
      </c>
      <c r="R415" s="11">
        <v>349</v>
      </c>
      <c r="S415" s="11"/>
      <c r="T415" s="11">
        <v>0.4</v>
      </c>
      <c r="U415" s="11">
        <v>0.31</v>
      </c>
      <c r="V415" s="11">
        <v>0</v>
      </c>
      <c r="W415" s="11">
        <v>86</v>
      </c>
      <c r="X415" s="11">
        <v>370</v>
      </c>
      <c r="Y415" s="11">
        <v>0.4</v>
      </c>
      <c r="Z415" s="11"/>
      <c r="AA415" s="11">
        <v>0</v>
      </c>
      <c r="AB415" s="11">
        <v>4.2999999999999997E-2</v>
      </c>
      <c r="AC415" s="11">
        <v>72</v>
      </c>
      <c r="AD415" s="11">
        <v>0.04</v>
      </c>
      <c r="AE415" s="11">
        <v>0.05</v>
      </c>
      <c r="AF415" s="11">
        <v>0.2</v>
      </c>
      <c r="AG415" s="11">
        <v>48</v>
      </c>
      <c r="AH415" s="11">
        <v>0</v>
      </c>
      <c r="AI415" s="11">
        <v>6</v>
      </c>
      <c r="AJ415" s="11">
        <v>0.2</v>
      </c>
      <c r="AK415" s="11">
        <v>80</v>
      </c>
      <c r="AL415" s="11">
        <v>0</v>
      </c>
      <c r="AM415" s="11">
        <v>0</v>
      </c>
      <c r="AN415" s="11">
        <v>4.1000000000000003E-3</v>
      </c>
      <c r="AO415" s="11">
        <v>0</v>
      </c>
      <c r="AP415" s="11">
        <v>0</v>
      </c>
      <c r="AQ415" s="11">
        <v>0.04</v>
      </c>
      <c r="AR415" s="11">
        <v>0.04</v>
      </c>
      <c r="AS415" s="11">
        <v>2.7E-2</v>
      </c>
      <c r="AT415" s="11">
        <v>0</v>
      </c>
      <c r="AU415" s="11">
        <v>2.1000000000000001E-2</v>
      </c>
      <c r="AV415" s="11">
        <v>8.2000000000000003E-2</v>
      </c>
      <c r="AW415" s="11">
        <v>5.0000000000000001E-3</v>
      </c>
      <c r="AX415" s="9">
        <f>Tabelle1[[#This Row],[Vitamin D3 '[µg/100g']]]*40</f>
        <v>0</v>
      </c>
      <c r="AY415" s="9">
        <f>Tabelle1[[#This Row],[Vitamin A '[µg/100g']]]*3.33</f>
        <v>239.76</v>
      </c>
      <c r="AZ415" s="9">
        <f>Tabelle1[[#This Row],[Vitamin E '[mg/100g']]]*1.49</f>
        <v>6.4069999999999988E-2</v>
      </c>
    </row>
    <row r="416" spans="1:52" hidden="1" x14ac:dyDescent="0.45">
      <c r="A416" t="s">
        <v>877</v>
      </c>
      <c r="B416" s="3" t="s">
        <v>853</v>
      </c>
      <c r="C416" s="4" t="s">
        <v>854</v>
      </c>
      <c r="D416" s="11">
        <v>21</v>
      </c>
      <c r="E416" s="11">
        <f>Tabelle1[[#This Row],[Energie '[kcal/100g']]]/239</f>
        <v>8.7866108786610872E-2</v>
      </c>
      <c r="F416" s="11">
        <v>3.6</v>
      </c>
      <c r="G416" s="11">
        <f>Tabelle1[[#This Row],[Rohprotein '[g/100g']]]*0.85</f>
        <v>3.06</v>
      </c>
      <c r="H416" s="11">
        <v>0.4</v>
      </c>
      <c r="I416" s="11">
        <f>Tabelle1[[#This Row],[TS]]-Tabelle1[[#This Row],[Rohprotein '[g/100g']]]-Tabelle1[[#This Row],[Rohfett '[g/100g']]]-Tabelle1[[#This Row],[Rohasche '[g/100g']]]-Tabelle1[[#This Row],[Rohfaser '[g/100g']]]</f>
        <v>2</v>
      </c>
      <c r="J416" s="11">
        <v>0</v>
      </c>
      <c r="K416" s="11">
        <v>1.5</v>
      </c>
      <c r="L416" s="11">
        <v>92.5</v>
      </c>
      <c r="M416" s="11">
        <f>100-Tabelle1[[#This Row],[Wasser '[g/100g']]]</f>
        <v>7.5</v>
      </c>
      <c r="N416" s="11">
        <v>216</v>
      </c>
      <c r="O416" s="11">
        <v>42</v>
      </c>
      <c r="P416" s="11">
        <v>28</v>
      </c>
      <c r="Q416" s="11">
        <v>30</v>
      </c>
      <c r="R416" s="11">
        <v>326</v>
      </c>
      <c r="S416" s="11"/>
      <c r="T416" s="11">
        <v>1.6</v>
      </c>
      <c r="U416" s="11">
        <v>0.36</v>
      </c>
      <c r="V416" s="11">
        <v>0</v>
      </c>
      <c r="W416" s="11">
        <v>126</v>
      </c>
      <c r="X416" s="11">
        <v>350</v>
      </c>
      <c r="Y416" s="11">
        <v>0</v>
      </c>
      <c r="Z416" s="11"/>
      <c r="AA416" s="11">
        <v>0</v>
      </c>
      <c r="AB416" s="11">
        <v>2.86</v>
      </c>
      <c r="AC416" s="11">
        <v>464</v>
      </c>
      <c r="AD416" s="11">
        <v>0.19</v>
      </c>
      <c r="AE416" s="11">
        <v>0.18</v>
      </c>
      <c r="AF416" s="11">
        <v>0.7</v>
      </c>
      <c r="AG416" s="11">
        <v>80</v>
      </c>
      <c r="AH416" s="11">
        <v>0</v>
      </c>
      <c r="AI416" s="11">
        <v>60</v>
      </c>
      <c r="AJ416" s="11">
        <v>129</v>
      </c>
      <c r="AK416" s="11">
        <v>130</v>
      </c>
      <c r="AL416" s="11">
        <v>1.3</v>
      </c>
      <c r="AM416" s="11">
        <v>0</v>
      </c>
      <c r="AN416" s="11">
        <v>0.13600000000000001</v>
      </c>
      <c r="AO416" s="11">
        <v>0</v>
      </c>
      <c r="AP416" s="11">
        <v>0</v>
      </c>
      <c r="AQ416" s="11">
        <v>2.9700000000000001E-2</v>
      </c>
      <c r="AR416" s="11">
        <v>2.9700000000000001E-2</v>
      </c>
      <c r="AS416" s="11">
        <v>0.16200000000000001</v>
      </c>
      <c r="AT416" s="11">
        <v>3.5999999999999997E-2</v>
      </c>
      <c r="AU416" s="11">
        <v>5.0999999999999997E-2</v>
      </c>
      <c r="AV416" s="11">
        <v>0.217</v>
      </c>
      <c r="AW416" s="11">
        <v>6.0999999999999999E-2</v>
      </c>
      <c r="AX416" s="9">
        <f>Tabelle1[[#This Row],[Vitamin D3 '[µg/100g']]]*40</f>
        <v>0</v>
      </c>
      <c r="AY416" s="9">
        <f>Tabelle1[[#This Row],[Vitamin A '[µg/100g']]]*3.33</f>
        <v>1545.1200000000001</v>
      </c>
      <c r="AZ416" s="9">
        <f>Tabelle1[[#This Row],[Vitamin E '[mg/100g']]]*1.49</f>
        <v>4.2614000000000001</v>
      </c>
    </row>
    <row r="417" spans="1:52" hidden="1" x14ac:dyDescent="0.45">
      <c r="A417" t="s">
        <v>641</v>
      </c>
      <c r="B417" s="5" t="s">
        <v>589</v>
      </c>
      <c r="C417" s="6" t="s">
        <v>590</v>
      </c>
      <c r="D417" s="13">
        <v>124</v>
      </c>
      <c r="E417" s="11">
        <f>Tabelle1[[#This Row],[Energie '[kcal/100g']]]/239</f>
        <v>0.51882845188284521</v>
      </c>
      <c r="F417" s="13">
        <v>3.3</v>
      </c>
      <c r="G417" s="11">
        <f>Tabelle1[[#This Row],[Rohprotein '[g/100g']]]*0.85</f>
        <v>2.8049999999999997</v>
      </c>
      <c r="H417" s="13">
        <v>10</v>
      </c>
      <c r="I417" s="11">
        <f>Tabelle1[[#This Row],[TS]]-Tabelle1[[#This Row],[Rohprotein '[g/100g']]]-Tabelle1[[#This Row],[Rohfett '[g/100g']]]-Tabelle1[[#This Row],[Rohasche '[g/100g']]]-Tabelle1[[#This Row],[Rohfaser '[g/100g']]]</f>
        <v>4.1000000000000023</v>
      </c>
      <c r="J417" s="11">
        <v>0</v>
      </c>
      <c r="K417" s="13">
        <v>0.8</v>
      </c>
      <c r="L417" s="13">
        <v>81.8</v>
      </c>
      <c r="M417" s="13">
        <f>100-Tabelle1[[#This Row],[Wasser '[g/100g']]]</f>
        <v>18.200000000000003</v>
      </c>
      <c r="N417" s="13">
        <v>122</v>
      </c>
      <c r="O417" s="13">
        <v>96</v>
      </c>
      <c r="P417" s="13">
        <v>12</v>
      </c>
      <c r="Q417" s="13">
        <v>46</v>
      </c>
      <c r="R417" s="13">
        <v>148</v>
      </c>
      <c r="S417" s="13"/>
      <c r="T417" s="13">
        <v>2.5000000000000001E-2</v>
      </c>
      <c r="U417" s="13">
        <v>0.8</v>
      </c>
      <c r="V417" s="11">
        <v>0</v>
      </c>
      <c r="W417" s="13">
        <v>11</v>
      </c>
      <c r="X417" s="13">
        <v>5</v>
      </c>
      <c r="Y417" s="13">
        <v>11</v>
      </c>
      <c r="Z417" s="13"/>
      <c r="AA417" s="13">
        <v>0</v>
      </c>
      <c r="AB417" s="13">
        <v>0.2</v>
      </c>
      <c r="AC417" s="13">
        <v>107</v>
      </c>
      <c r="AD417" s="13">
        <v>0.03</v>
      </c>
      <c r="AE417" s="13">
        <v>0.17</v>
      </c>
      <c r="AF417" s="13">
        <v>0.11</v>
      </c>
      <c r="AG417" s="13">
        <v>40</v>
      </c>
      <c r="AH417" s="13">
        <v>0.4</v>
      </c>
      <c r="AI417" s="13">
        <v>1</v>
      </c>
      <c r="AJ417" s="13">
        <v>2.7</v>
      </c>
      <c r="AK417" s="13">
        <v>13.2</v>
      </c>
      <c r="AL417" s="13">
        <v>3.3</v>
      </c>
      <c r="AM417" s="13">
        <v>3.7</v>
      </c>
      <c r="AN417" s="13">
        <v>4.7E-2</v>
      </c>
      <c r="AO417" s="13">
        <v>0</v>
      </c>
      <c r="AP417" s="13">
        <v>0</v>
      </c>
      <c r="AQ417" s="13">
        <v>0.26600000000000001</v>
      </c>
      <c r="AR417" s="13">
        <v>0.24199999999999999</v>
      </c>
      <c r="AS417" s="13">
        <v>0.1</v>
      </c>
      <c r="AT417" s="13">
        <v>0</v>
      </c>
      <c r="AU417" s="13">
        <v>0.1</v>
      </c>
      <c r="AV417" s="13">
        <v>0.25</v>
      </c>
      <c r="AW417" s="13">
        <v>0.1</v>
      </c>
      <c r="AX417" s="9">
        <f>Tabelle1[[#This Row],[Vitamin D3 '[µg/100g']]]*40</f>
        <v>0</v>
      </c>
      <c r="AY417" s="9">
        <f>Tabelle1[[#This Row],[Vitamin A '[µg/100g']]]*3.33</f>
        <v>356.31</v>
      </c>
      <c r="AZ417" s="9">
        <f>Tabelle1[[#This Row],[Vitamin E '[mg/100g']]]*1.49</f>
        <v>0.29799999999999999</v>
      </c>
    </row>
    <row r="418" spans="1:52" hidden="1" x14ac:dyDescent="0.45">
      <c r="A418" t="s">
        <v>972</v>
      </c>
      <c r="B418" s="5" t="s">
        <v>962</v>
      </c>
      <c r="C418" s="6" t="s">
        <v>963</v>
      </c>
      <c r="D418" s="13">
        <v>637</v>
      </c>
      <c r="E418" s="11">
        <f>Tabelle1[[#This Row],[Energie '[kcal/100g']]]/239</f>
        <v>2.6652719665271967</v>
      </c>
      <c r="F418" s="13">
        <v>5.0599999999999996</v>
      </c>
      <c r="G418" s="11">
        <f>Tabelle1[[#This Row],[Rohprotein '[g/100g']]]*0.85</f>
        <v>4.3009999999999993</v>
      </c>
      <c r="H418" s="13">
        <v>68.5</v>
      </c>
      <c r="I418" s="11">
        <f>Tabelle1[[#This Row],[TS]]-Tabelle1[[#This Row],[Rohprotein '[g/100g']]]-Tabelle1[[#This Row],[Rohfett '[g/100g']]]-Tabelle1[[#This Row],[Rohasche '[g/100g']]]-Tabelle1[[#This Row],[Rohfaser '[g/100g']]]</f>
        <v>0.4200000000000006</v>
      </c>
      <c r="J418" s="11">
        <v>0</v>
      </c>
      <c r="K418" s="13">
        <v>0.22</v>
      </c>
      <c r="L418" s="13">
        <v>25.8</v>
      </c>
      <c r="M418" s="13">
        <f>100-Tabelle1[[#This Row],[Wasser '[g/100g']]]</f>
        <v>74.2</v>
      </c>
      <c r="N418" s="13">
        <v>5</v>
      </c>
      <c r="O418" s="13">
        <v>61</v>
      </c>
      <c r="P418" s="13">
        <v>6</v>
      </c>
      <c r="Q418" s="13">
        <v>34</v>
      </c>
      <c r="R418" s="13">
        <v>119</v>
      </c>
      <c r="S418" s="13"/>
      <c r="T418" s="13">
        <v>0.72</v>
      </c>
      <c r="U418" s="13">
        <v>0.87</v>
      </c>
      <c r="V418" s="11">
        <v>0</v>
      </c>
      <c r="W418" s="13">
        <v>23</v>
      </c>
      <c r="X418" s="13">
        <v>2</v>
      </c>
      <c r="Y418" s="11">
        <v>0</v>
      </c>
      <c r="Z418" s="11"/>
      <c r="AA418" s="13">
        <v>0.3</v>
      </c>
      <c r="AB418" s="13">
        <v>0.84</v>
      </c>
      <c r="AC418" s="13">
        <v>46</v>
      </c>
      <c r="AD418" s="13">
        <v>9.4E-2</v>
      </c>
      <c r="AE418" s="13">
        <v>3.4000000000000002E-2</v>
      </c>
      <c r="AF418" s="13">
        <v>1.1299999999999999</v>
      </c>
      <c r="AG418" s="13">
        <v>52</v>
      </c>
      <c r="AH418" s="13">
        <v>0.45</v>
      </c>
      <c r="AI418" s="13">
        <v>0</v>
      </c>
      <c r="AJ418" s="13">
        <v>1.21</v>
      </c>
      <c r="AK418" s="13">
        <v>0.43</v>
      </c>
      <c r="AL418" s="13">
        <v>0.37</v>
      </c>
      <c r="AM418" s="13">
        <v>0</v>
      </c>
      <c r="AN418" s="13">
        <v>0.69599999999999995</v>
      </c>
      <c r="AO418" s="13">
        <v>0</v>
      </c>
      <c r="AP418" s="13">
        <v>0</v>
      </c>
      <c r="AQ418" s="13">
        <v>0.54</v>
      </c>
      <c r="AR418" s="13">
        <v>0.54</v>
      </c>
      <c r="AS418" s="13">
        <v>0.312</v>
      </c>
      <c r="AT418" s="13">
        <v>6.0999999999999999E-2</v>
      </c>
      <c r="AU418" s="13">
        <v>9.8000000000000004E-2</v>
      </c>
      <c r="AV418" s="13">
        <v>0.40400000000000003</v>
      </c>
      <c r="AW418" s="13">
        <v>0.151</v>
      </c>
      <c r="AX418" s="9">
        <f>Tabelle1[[#This Row],[Vitamin D3 '[µg/100g']]]*40</f>
        <v>12</v>
      </c>
      <c r="AY418" s="9">
        <f>Tabelle1[[#This Row],[Vitamin A '[µg/100g']]]*3.33</f>
        <v>153.18</v>
      </c>
      <c r="AZ418" s="9">
        <f>Tabelle1[[#This Row],[Vitamin E '[mg/100g']]]*1.49</f>
        <v>1.2516</v>
      </c>
    </row>
    <row r="419" spans="1:52" hidden="1" x14ac:dyDescent="0.45">
      <c r="A419" t="s">
        <v>1151</v>
      </c>
      <c r="B419" s="3" t="s">
        <v>1111</v>
      </c>
      <c r="C419" s="4" t="s">
        <v>1112</v>
      </c>
      <c r="D419" s="11">
        <v>159</v>
      </c>
      <c r="E419" s="11">
        <f>Tabelle1[[#This Row],[Energie '[kcal/100g']]]/239</f>
        <v>0.66527196652719667</v>
      </c>
      <c r="F419" s="11">
        <v>24.1</v>
      </c>
      <c r="G419" s="11">
        <f>Tabelle1[[#This Row],[Rohprotein '[g/100g']]]*0.85</f>
        <v>20.484999999999999</v>
      </c>
      <c r="H419" s="11">
        <v>6.99</v>
      </c>
      <c r="I419" s="11">
        <f>Tabelle1[[#This Row],[TS]]-Tabelle1[[#This Row],[Rohprotein '[g/100g']]]-Tabelle1[[#This Row],[Rohfett '[g/100g']]]-Tabelle1[[#This Row],[Rohasche '[g/100g']]]-Tabelle1[[#This Row],[Rohfaser '[g/100g']]]</f>
        <v>0.18999999999999839</v>
      </c>
      <c r="J419" s="11">
        <v>0</v>
      </c>
      <c r="K419" s="11">
        <v>1.22</v>
      </c>
      <c r="L419" s="11">
        <v>67.5</v>
      </c>
      <c r="M419" s="11">
        <f>100-Tabelle1[[#This Row],[Wasser '[g/100g']]]</f>
        <v>32.5</v>
      </c>
      <c r="N419" s="11">
        <v>8</v>
      </c>
      <c r="O419" s="11">
        <v>229</v>
      </c>
      <c r="P419" s="11">
        <v>22</v>
      </c>
      <c r="Q419" s="11">
        <v>116</v>
      </c>
      <c r="R419" s="11">
        <v>389</v>
      </c>
      <c r="S419" s="11"/>
      <c r="T419" s="11">
        <v>6.7</v>
      </c>
      <c r="U419" s="11">
        <v>2.88</v>
      </c>
      <c r="V419" s="11">
        <v>0</v>
      </c>
      <c r="W419" s="11">
        <v>580</v>
      </c>
      <c r="X419" s="11">
        <v>71</v>
      </c>
      <c r="Y419" s="11">
        <v>1.3</v>
      </c>
      <c r="Z419" s="11"/>
      <c r="AA419" s="11">
        <v>0</v>
      </c>
      <c r="AB419" s="11">
        <v>0.8</v>
      </c>
      <c r="AC419" s="11">
        <v>6</v>
      </c>
      <c r="AD419" s="11">
        <v>0.34</v>
      </c>
      <c r="AE419" s="11">
        <v>1.22</v>
      </c>
      <c r="AF419" s="11">
        <v>6.61</v>
      </c>
      <c r="AG419" s="11">
        <v>360</v>
      </c>
      <c r="AH419" s="11">
        <v>11</v>
      </c>
      <c r="AI419" s="11">
        <v>6</v>
      </c>
      <c r="AJ419" s="11">
        <v>0</v>
      </c>
      <c r="AK419" s="11">
        <v>4.2</v>
      </c>
      <c r="AL419" s="11">
        <v>6</v>
      </c>
      <c r="AM419" s="11">
        <v>0</v>
      </c>
      <c r="AN419" s="11">
        <v>0.13</v>
      </c>
      <c r="AO419" s="11">
        <v>0.05</v>
      </c>
      <c r="AP419" s="11">
        <v>3.7999999999999999E-2</v>
      </c>
      <c r="AQ419" s="11">
        <v>0</v>
      </c>
      <c r="AR419" s="11">
        <v>0</v>
      </c>
      <c r="AS419" s="11">
        <v>1.58</v>
      </c>
      <c r="AT419" s="11">
        <v>0.20200000000000001</v>
      </c>
      <c r="AU419" s="11">
        <v>0.55100000000000005</v>
      </c>
      <c r="AV419" s="11">
        <v>1.81</v>
      </c>
      <c r="AW419" s="11">
        <v>0.52800000000000002</v>
      </c>
      <c r="AX419" s="9">
        <f>Tabelle1[[#This Row],[Vitamin D3 '[µg/100g']]]*40</f>
        <v>0</v>
      </c>
      <c r="AY419" s="9">
        <f>Tabelle1[[#This Row],[Vitamin A '[µg/100g']]]*3.33</f>
        <v>19.98</v>
      </c>
      <c r="AZ419" s="9">
        <f>Tabelle1[[#This Row],[Vitamin E '[mg/100g']]]*1.49</f>
        <v>1.1919999999999999</v>
      </c>
    </row>
    <row r="420" spans="1:52" hidden="1" x14ac:dyDescent="0.45">
      <c r="A420" t="s">
        <v>1151</v>
      </c>
      <c r="B420" s="3" t="s">
        <v>1113</v>
      </c>
      <c r="C420" s="4" t="s">
        <v>1114</v>
      </c>
      <c r="D420" s="11">
        <v>196</v>
      </c>
      <c r="E420" s="11">
        <f>Tabelle1[[#This Row],[Energie '[kcal/100g']]]/239</f>
        <v>0.82008368200836823</v>
      </c>
      <c r="F420" s="11">
        <v>29.6</v>
      </c>
      <c r="G420" s="11">
        <f>Tabelle1[[#This Row],[Rohprotein '[g/100g']]]*0.85</f>
        <v>25.16</v>
      </c>
      <c r="H420" s="11">
        <v>8.57</v>
      </c>
      <c r="I420" s="11">
        <f>Tabelle1[[#This Row],[TS]]-Tabelle1[[#This Row],[Rohprotein '[g/100g']]]-Tabelle1[[#This Row],[Rohfett '[g/100g']]]-Tabelle1[[#This Row],[Rohasche '[g/100g']]]-Tabelle1[[#This Row],[Rohfaser '[g/100g']]]</f>
        <v>0.19999999999999973</v>
      </c>
      <c r="J420" s="11">
        <v>0</v>
      </c>
      <c r="K420" s="11">
        <v>1.23</v>
      </c>
      <c r="L420" s="11">
        <v>60.4</v>
      </c>
      <c r="M420" s="11">
        <f>100-Tabelle1[[#This Row],[Wasser '[g/100g']]]</f>
        <v>39.6</v>
      </c>
      <c r="N420" s="11">
        <v>9</v>
      </c>
      <c r="O420" s="11">
        <v>264</v>
      </c>
      <c r="P420" s="11">
        <v>21</v>
      </c>
      <c r="Q420" s="11">
        <v>101</v>
      </c>
      <c r="R420" s="11">
        <v>328</v>
      </c>
      <c r="S420" s="11"/>
      <c r="T420" s="11">
        <v>8.6999999999999993</v>
      </c>
      <c r="U420" s="11">
        <v>3.53</v>
      </c>
      <c r="V420" s="11">
        <v>0</v>
      </c>
      <c r="W420" s="11">
        <v>712</v>
      </c>
      <c r="X420" s="11">
        <v>87</v>
      </c>
      <c r="Y420" s="11">
        <v>1.2</v>
      </c>
      <c r="Z420" s="11"/>
      <c r="AA420" s="11">
        <v>0</v>
      </c>
      <c r="AB420" s="11">
        <v>0.98</v>
      </c>
      <c r="AC420" s="11">
        <v>33.700000000000003</v>
      </c>
      <c r="AD420" s="11">
        <v>0.28000000000000003</v>
      </c>
      <c r="AE420" s="11">
        <v>1.21</v>
      </c>
      <c r="AF420" s="11">
        <v>6.37</v>
      </c>
      <c r="AG420" s="11">
        <v>330</v>
      </c>
      <c r="AH420" s="11">
        <v>11.5</v>
      </c>
      <c r="AI420" s="11">
        <v>7</v>
      </c>
      <c r="AJ420" s="11">
        <v>0</v>
      </c>
      <c r="AK420" s="11">
        <v>26.1</v>
      </c>
      <c r="AL420" s="11">
        <v>5</v>
      </c>
      <c r="AM420" s="11">
        <v>0</v>
      </c>
      <c r="AN420" s="11">
        <v>0.16</v>
      </c>
      <c r="AO420" s="11">
        <v>4.5999999999999999E-3</v>
      </c>
      <c r="AP420" s="11">
        <v>1.6000000000000001E-3</v>
      </c>
      <c r="AQ420" s="11">
        <v>0</v>
      </c>
      <c r="AR420" s="11">
        <v>0</v>
      </c>
      <c r="AS420" s="11">
        <v>1.94</v>
      </c>
      <c r="AT420" s="11">
        <v>0.247</v>
      </c>
      <c r="AU420" s="11">
        <v>0.67600000000000005</v>
      </c>
      <c r="AV420" s="11">
        <v>2.2200000000000002</v>
      </c>
      <c r="AW420" s="11">
        <v>0.64700000000000002</v>
      </c>
      <c r="AX420" s="9">
        <f>Tabelle1[[#This Row],[Vitamin D3 '[µg/100g']]]*40</f>
        <v>0</v>
      </c>
      <c r="AY420" s="9">
        <f>Tabelle1[[#This Row],[Vitamin A '[µg/100g']]]*3.33</f>
        <v>112.22100000000002</v>
      </c>
      <c r="AZ420" s="9">
        <f>Tabelle1[[#This Row],[Vitamin E '[mg/100g']]]*1.49</f>
        <v>1.4601999999999999</v>
      </c>
    </row>
    <row r="421" spans="1:52" hidden="1" x14ac:dyDescent="0.45">
      <c r="A421" t="s">
        <v>1151</v>
      </c>
      <c r="B421" s="3" t="s">
        <v>1115</v>
      </c>
      <c r="C421" s="4" t="s">
        <v>1116</v>
      </c>
      <c r="D421" s="11">
        <v>117</v>
      </c>
      <c r="E421" s="11">
        <f>Tabelle1[[#This Row],[Energie '[kcal/100g']]]/239</f>
        <v>0.4895397489539749</v>
      </c>
      <c r="F421" s="11">
        <v>16.5</v>
      </c>
      <c r="G421" s="11">
        <f>Tabelle1[[#This Row],[Rohprotein '[g/100g']]]*0.85</f>
        <v>14.025</v>
      </c>
      <c r="H421" s="11">
        <v>5.68</v>
      </c>
      <c r="I421" s="11">
        <f>Tabelle1[[#This Row],[TS]]-Tabelle1[[#This Row],[Rohprotein '[g/100g']]]-Tabelle1[[#This Row],[Rohfett '[g/100g']]]-Tabelle1[[#This Row],[Rohasche '[g/100g']]]-Tabelle1[[#This Row],[Rohfaser '[g/100g']]]</f>
        <v>0.18999999999999739</v>
      </c>
      <c r="J421" s="11">
        <v>0</v>
      </c>
      <c r="K421" s="11">
        <v>0.93</v>
      </c>
      <c r="L421" s="11">
        <v>76.7</v>
      </c>
      <c r="M421" s="11">
        <f>100-Tabelle1[[#This Row],[Wasser '[g/100g']]]</f>
        <v>23.299999999999997</v>
      </c>
      <c r="N421" s="11">
        <v>6</v>
      </c>
      <c r="O421" s="11">
        <v>175</v>
      </c>
      <c r="P421" s="11">
        <v>17</v>
      </c>
      <c r="Q421" s="11">
        <v>89</v>
      </c>
      <c r="R421" s="11">
        <v>316</v>
      </c>
      <c r="S421" s="11"/>
      <c r="T421" s="11">
        <v>4.5999999999999996</v>
      </c>
      <c r="U421" s="11">
        <v>1.87</v>
      </c>
      <c r="V421" s="11">
        <v>0</v>
      </c>
      <c r="W421" s="11">
        <v>397</v>
      </c>
      <c r="X421" s="11">
        <v>46</v>
      </c>
      <c r="Y421" s="11">
        <v>1.1000000000000001</v>
      </c>
      <c r="Z421" s="11"/>
      <c r="AA421" s="11">
        <v>0</v>
      </c>
      <c r="AB421" s="11">
        <v>0.65</v>
      </c>
      <c r="AC421" s="11">
        <v>3671.2</v>
      </c>
      <c r="AD421" s="11">
        <v>0.37</v>
      </c>
      <c r="AE421" s="11">
        <v>0.99</v>
      </c>
      <c r="AF421" s="11">
        <v>6.14</v>
      </c>
      <c r="AG421" s="11">
        <v>390</v>
      </c>
      <c r="AH421" s="11">
        <v>10.199999999999999</v>
      </c>
      <c r="AI421" s="11">
        <v>5</v>
      </c>
      <c r="AJ421" s="11">
        <v>0</v>
      </c>
      <c r="AK421" s="11">
        <v>21</v>
      </c>
      <c r="AL421" s="11">
        <v>4</v>
      </c>
      <c r="AM421" s="11">
        <v>0</v>
      </c>
      <c r="AN421" s="11">
        <v>0.1</v>
      </c>
      <c r="AO421" s="11">
        <v>1.2999999999999999E-2</v>
      </c>
      <c r="AP421" s="11">
        <v>3.4000000000000002E-2</v>
      </c>
      <c r="AQ421" s="11">
        <v>0</v>
      </c>
      <c r="AR421" s="11">
        <v>0</v>
      </c>
      <c r="AS421" s="11">
        <v>1.08</v>
      </c>
      <c r="AT421" s="11">
        <v>0.13800000000000001</v>
      </c>
      <c r="AU421" s="11">
        <v>0.377</v>
      </c>
      <c r="AV421" s="11">
        <v>1.24</v>
      </c>
      <c r="AW421" s="11">
        <v>0.36099999999999999</v>
      </c>
      <c r="AX421" s="9">
        <f>Tabelle1[[#This Row],[Vitamin D3 '[µg/100g']]]*40</f>
        <v>0</v>
      </c>
      <c r="AY421" s="9">
        <f>Tabelle1[[#This Row],[Vitamin A '[µg/100g']]]*3.33</f>
        <v>12225.096</v>
      </c>
      <c r="AZ421" s="9">
        <f>Tabelle1[[#This Row],[Vitamin E '[mg/100g']]]*1.49</f>
        <v>0.96850000000000003</v>
      </c>
    </row>
    <row r="422" spans="1:52" hidden="1" x14ac:dyDescent="0.45">
      <c r="A422" t="s">
        <v>1151</v>
      </c>
      <c r="B422" s="5" t="s">
        <v>1117</v>
      </c>
      <c r="C422" s="6" t="s">
        <v>1118</v>
      </c>
      <c r="D422" s="13">
        <v>144</v>
      </c>
      <c r="E422" s="11">
        <f>Tabelle1[[#This Row],[Energie '[kcal/100g']]]/239</f>
        <v>0.60251046025104604</v>
      </c>
      <c r="F422" s="13">
        <v>22</v>
      </c>
      <c r="G422" s="11">
        <f>Tabelle1[[#This Row],[Rohprotein '[g/100g']]]*0.85</f>
        <v>18.7</v>
      </c>
      <c r="H422" s="13">
        <v>5.7</v>
      </c>
      <c r="I422" s="11">
        <f>Tabelle1[[#This Row],[TS]]-Tabelle1[[#This Row],[Rohprotein '[g/100g']]]-Tabelle1[[#This Row],[Rohfett '[g/100g']]]-Tabelle1[[#This Row],[Rohasche '[g/100g']]]-Tabelle1[[#This Row],[Rohfaser '[g/100g']]]</f>
        <v>1.869999999999997</v>
      </c>
      <c r="J422" s="11">
        <v>0</v>
      </c>
      <c r="K422" s="13">
        <v>1.23</v>
      </c>
      <c r="L422" s="13">
        <v>69.2</v>
      </c>
      <c r="M422" s="13">
        <f>100-Tabelle1[[#This Row],[Wasser '[g/100g']]]</f>
        <v>30.799999999999997</v>
      </c>
      <c r="N422" s="13">
        <v>8</v>
      </c>
      <c r="O422" s="13">
        <v>331</v>
      </c>
      <c r="P422" s="13">
        <v>18</v>
      </c>
      <c r="Q422" s="13">
        <v>68</v>
      </c>
      <c r="R422" s="13">
        <v>267</v>
      </c>
      <c r="S422" s="13"/>
      <c r="T422" s="13">
        <v>7.96</v>
      </c>
      <c r="U422" s="13">
        <v>4.5</v>
      </c>
      <c r="V422" s="11">
        <v>0</v>
      </c>
      <c r="W422" s="13">
        <v>8400</v>
      </c>
      <c r="X422" s="13">
        <v>300</v>
      </c>
      <c r="Y422" s="13">
        <v>4</v>
      </c>
      <c r="Z422" s="13"/>
      <c r="AA422" s="13">
        <v>0</v>
      </c>
      <c r="AB422" s="13">
        <v>1.4</v>
      </c>
      <c r="AC422" s="13">
        <v>47</v>
      </c>
      <c r="AD422" s="13">
        <v>0.33</v>
      </c>
      <c r="AE422" s="13">
        <v>3.92</v>
      </c>
      <c r="AF422" s="13">
        <v>15.6</v>
      </c>
      <c r="AG422" s="13">
        <v>800</v>
      </c>
      <c r="AH422" s="13">
        <v>77</v>
      </c>
      <c r="AI422" s="13">
        <v>3</v>
      </c>
      <c r="AJ422" s="13">
        <v>0.5</v>
      </c>
      <c r="AK422" s="13">
        <v>9</v>
      </c>
      <c r="AL422" s="13">
        <v>40</v>
      </c>
      <c r="AM422" s="13">
        <v>0</v>
      </c>
      <c r="AN422" s="13">
        <v>0.15</v>
      </c>
      <c r="AO422" s="13">
        <v>5.1000000000000004E-3</v>
      </c>
      <c r="AP422" s="13">
        <v>3.0000000000000001E-3</v>
      </c>
      <c r="AQ422" s="13">
        <v>0.62</v>
      </c>
      <c r="AR422" s="13">
        <v>0.56999999999999995</v>
      </c>
      <c r="AS422" s="13">
        <v>1.23</v>
      </c>
      <c r="AT422" s="13">
        <v>0.23100000000000001</v>
      </c>
      <c r="AU422" s="13">
        <v>0.51700000000000002</v>
      </c>
      <c r="AV422" s="13">
        <v>1.2</v>
      </c>
      <c r="AW422" s="13">
        <v>0.47699999999999998</v>
      </c>
      <c r="AX422" s="9">
        <f>Tabelle1[[#This Row],[Vitamin D3 '[µg/100g']]]*40</f>
        <v>0</v>
      </c>
      <c r="AY422" s="9">
        <f>Tabelle1[[#This Row],[Vitamin A '[µg/100g']]]*3.33</f>
        <v>156.51</v>
      </c>
      <c r="AZ422" s="9">
        <f>Tabelle1[[#This Row],[Vitamin E '[mg/100g']]]*1.49</f>
        <v>2.0859999999999999</v>
      </c>
    </row>
    <row r="423" spans="1:52" hidden="1" x14ac:dyDescent="0.45">
      <c r="A423" t="s">
        <v>1151</v>
      </c>
      <c r="B423" s="3" t="s">
        <v>1119</v>
      </c>
      <c r="C423" s="4" t="s">
        <v>1120</v>
      </c>
      <c r="D423" s="11">
        <v>131</v>
      </c>
      <c r="E423" s="11">
        <f>Tabelle1[[#This Row],[Energie '[kcal/100g']]]/239</f>
        <v>0.54811715481171552</v>
      </c>
      <c r="F423" s="11">
        <v>20.399999999999999</v>
      </c>
      <c r="G423" s="11">
        <f>Tabelle1[[#This Row],[Rohprotein '[g/100g']]]*0.85</f>
        <v>17.34</v>
      </c>
      <c r="H423" s="11">
        <v>5.0199999999999996</v>
      </c>
      <c r="I423" s="11">
        <f>Tabelle1[[#This Row],[TS]]-Tabelle1[[#This Row],[Rohprotein '[g/100g']]]-Tabelle1[[#This Row],[Rohfett '[g/100g']]]-Tabelle1[[#This Row],[Rohasche '[g/100g']]]-Tabelle1[[#This Row],[Rohfaser '[g/100g']]]</f>
        <v>1.7399999999999962</v>
      </c>
      <c r="J423" s="11">
        <v>0</v>
      </c>
      <c r="K423" s="11">
        <v>1.44</v>
      </c>
      <c r="L423" s="11">
        <v>71.400000000000006</v>
      </c>
      <c r="M423" s="11">
        <f>100-Tabelle1[[#This Row],[Wasser '[g/100g']]]</f>
        <v>28.599999999999994</v>
      </c>
      <c r="N423" s="11">
        <v>7</v>
      </c>
      <c r="O423" s="11">
        <v>364</v>
      </c>
      <c r="P423" s="11">
        <v>19</v>
      </c>
      <c r="Q423" s="11">
        <v>70</v>
      </c>
      <c r="R423" s="11">
        <v>313</v>
      </c>
      <c r="S423" s="11"/>
      <c r="T423" s="11">
        <v>7.37</v>
      </c>
      <c r="U423" s="11">
        <v>4.66</v>
      </c>
      <c r="V423" s="11">
        <v>0</v>
      </c>
      <c r="W423" s="11">
        <v>9200</v>
      </c>
      <c r="X423" s="11">
        <v>260</v>
      </c>
      <c r="Y423" s="11">
        <v>4</v>
      </c>
      <c r="Z423" s="11"/>
      <c r="AA423" s="11">
        <v>0</v>
      </c>
      <c r="AB423" s="11">
        <v>1.2</v>
      </c>
      <c r="AC423" s="11">
        <v>33</v>
      </c>
      <c r="AD423" s="11">
        <v>0.34</v>
      </c>
      <c r="AE423" s="11">
        <v>3.63</v>
      </c>
      <c r="AF423" s="11">
        <v>16.100000000000001</v>
      </c>
      <c r="AG423" s="11">
        <v>900</v>
      </c>
      <c r="AH423" s="11">
        <v>90</v>
      </c>
      <c r="AI423" s="11">
        <v>4</v>
      </c>
      <c r="AJ423" s="11">
        <v>0.5</v>
      </c>
      <c r="AK423" s="11">
        <v>17</v>
      </c>
      <c r="AL423" s="11">
        <v>41</v>
      </c>
      <c r="AM423" s="11">
        <v>0</v>
      </c>
      <c r="AN423" s="11">
        <v>0.14000000000000001</v>
      </c>
      <c r="AO423" s="11">
        <v>0</v>
      </c>
      <c r="AP423" s="11">
        <v>8.0000000000000002E-3</v>
      </c>
      <c r="AQ423" s="11">
        <v>0.55000000000000004</v>
      </c>
      <c r="AR423" s="11">
        <v>0.5</v>
      </c>
      <c r="AS423" s="11">
        <v>1.1399999999999999</v>
      </c>
      <c r="AT423" s="11">
        <v>0.214</v>
      </c>
      <c r="AU423" s="11">
        <v>0.47899999999999998</v>
      </c>
      <c r="AV423" s="11">
        <v>1.1000000000000001</v>
      </c>
      <c r="AW423" s="11">
        <v>0.442</v>
      </c>
      <c r="AX423" s="9">
        <f>Tabelle1[[#This Row],[Vitamin D3 '[µg/100g']]]*40</f>
        <v>0</v>
      </c>
      <c r="AY423" s="9">
        <f>Tabelle1[[#This Row],[Vitamin A '[µg/100g']]]*3.33</f>
        <v>109.89</v>
      </c>
      <c r="AZ423" s="9">
        <f>Tabelle1[[#This Row],[Vitamin E '[mg/100g']]]*1.49</f>
        <v>1.788</v>
      </c>
    </row>
    <row r="424" spans="1:52" hidden="1" x14ac:dyDescent="0.45">
      <c r="A424" t="s">
        <v>1151</v>
      </c>
      <c r="B424" s="5" t="s">
        <v>1121</v>
      </c>
      <c r="C424" s="6" t="s">
        <v>1122</v>
      </c>
      <c r="D424" s="13">
        <v>88</v>
      </c>
      <c r="E424" s="11">
        <f>Tabelle1[[#This Row],[Energie '[kcal/100g']]]/239</f>
        <v>0.3682008368200837</v>
      </c>
      <c r="F424" s="13">
        <v>16.7</v>
      </c>
      <c r="G424" s="11">
        <f>Tabelle1[[#This Row],[Rohprotein '[g/100g']]]*0.85</f>
        <v>14.194999999999999</v>
      </c>
      <c r="H424" s="13">
        <v>2.2999999999999998</v>
      </c>
      <c r="I424" s="11">
        <f>Tabelle1[[#This Row],[TS]]-Tabelle1[[#This Row],[Rohprotein '[g/100g']]]-Tabelle1[[#This Row],[Rohfett '[g/100g']]]-Tabelle1[[#This Row],[Rohasche '[g/100g']]]-Tabelle1[[#This Row],[Rohfaser '[g/100g']]]</f>
        <v>-0.13000000000000478</v>
      </c>
      <c r="J424" s="11">
        <v>0</v>
      </c>
      <c r="K424" s="13">
        <v>0.73</v>
      </c>
      <c r="L424" s="13">
        <v>80.400000000000006</v>
      </c>
      <c r="M424" s="13">
        <f>100-Tabelle1[[#This Row],[Wasser '[g/100g']]]</f>
        <v>19.599999999999994</v>
      </c>
      <c r="N424" s="13">
        <v>9</v>
      </c>
      <c r="O424" s="13">
        <v>170</v>
      </c>
      <c r="P424" s="13">
        <v>12</v>
      </c>
      <c r="Q424" s="13">
        <v>105</v>
      </c>
      <c r="R424" s="13">
        <v>159</v>
      </c>
      <c r="S424" s="13"/>
      <c r="T424" s="13">
        <v>6.8</v>
      </c>
      <c r="U424" s="13">
        <v>1.7</v>
      </c>
      <c r="V424" s="11">
        <v>0</v>
      </c>
      <c r="W424" s="13">
        <v>226</v>
      </c>
      <c r="X424" s="13">
        <v>21</v>
      </c>
      <c r="Y424" s="13">
        <v>0</v>
      </c>
      <c r="Z424" s="13"/>
      <c r="AA424" s="13">
        <v>0</v>
      </c>
      <c r="AB424" s="13">
        <v>0</v>
      </c>
      <c r="AC424" s="13">
        <v>24</v>
      </c>
      <c r="AD424" s="13">
        <v>3.6999999999999998E-2</v>
      </c>
      <c r="AE424" s="13">
        <v>0.21099999999999999</v>
      </c>
      <c r="AF424" s="13">
        <v>2.29</v>
      </c>
      <c r="AG424" s="13">
        <v>60</v>
      </c>
      <c r="AH424" s="13">
        <v>2.62</v>
      </c>
      <c r="AI424" s="13">
        <v>24</v>
      </c>
      <c r="AJ424" s="13">
        <v>0</v>
      </c>
      <c r="AK424" s="13">
        <v>9</v>
      </c>
      <c r="AL424" s="13">
        <v>0</v>
      </c>
      <c r="AM424" s="13">
        <v>0</v>
      </c>
      <c r="AN424" s="13">
        <v>0.4</v>
      </c>
      <c r="AO424" s="13">
        <v>0.1</v>
      </c>
      <c r="AP424" s="13">
        <v>0.1</v>
      </c>
      <c r="AQ424" s="13">
        <v>0.1</v>
      </c>
      <c r="AR424" s="13">
        <v>0.1</v>
      </c>
      <c r="AS424" s="13">
        <v>1</v>
      </c>
      <c r="AT424" s="13">
        <v>0.26200000000000001</v>
      </c>
      <c r="AU424" s="13">
        <v>0.42</v>
      </c>
      <c r="AV424" s="13">
        <v>1.08</v>
      </c>
      <c r="AW424" s="13">
        <v>0.30099999999999999</v>
      </c>
      <c r="AX424" s="9">
        <f>Tabelle1[[#This Row],[Vitamin D3 '[µg/100g']]]*40</f>
        <v>0</v>
      </c>
      <c r="AY424" s="9">
        <f>Tabelle1[[#This Row],[Vitamin A '[µg/100g']]]*3.33</f>
        <v>79.92</v>
      </c>
      <c r="AZ424" s="9">
        <f>Tabelle1[[#This Row],[Vitamin E '[mg/100g']]]*1.49</f>
        <v>0</v>
      </c>
    </row>
    <row r="425" spans="1:52" hidden="1" x14ac:dyDescent="0.45">
      <c r="A425" t="s">
        <v>1151</v>
      </c>
      <c r="B425" s="5" t="s">
        <v>1123</v>
      </c>
      <c r="C425" s="6" t="s">
        <v>1124</v>
      </c>
      <c r="D425" s="13">
        <v>90</v>
      </c>
      <c r="E425" s="11">
        <f>Tabelle1[[#This Row],[Energie '[kcal/100g']]]/239</f>
        <v>0.37656903765690375</v>
      </c>
      <c r="F425" s="13">
        <v>16.7</v>
      </c>
      <c r="G425" s="11">
        <f>Tabelle1[[#This Row],[Rohprotein '[g/100g']]]*0.85</f>
        <v>14.194999999999999</v>
      </c>
      <c r="H425" s="13">
        <v>2.6</v>
      </c>
      <c r="I425" s="11">
        <f>Tabelle1[[#This Row],[TS]]-Tabelle1[[#This Row],[Rohprotein '[g/100g']]]-Tabelle1[[#This Row],[Rohfett '[g/100g']]]-Tabelle1[[#This Row],[Rohasche '[g/100g']]]-Tabelle1[[#This Row],[Rohfaser '[g/100g']]]</f>
        <v>-0.10000000000000231</v>
      </c>
      <c r="J425" s="11">
        <v>0</v>
      </c>
      <c r="K425" s="13">
        <v>1.1000000000000001</v>
      </c>
      <c r="L425" s="13">
        <v>79.7</v>
      </c>
      <c r="M425" s="13">
        <f>100-Tabelle1[[#This Row],[Wasser '[g/100g']]]</f>
        <v>20.299999999999997</v>
      </c>
      <c r="N425" s="13">
        <v>10</v>
      </c>
      <c r="O425" s="13">
        <v>219</v>
      </c>
      <c r="P425" s="13">
        <v>14</v>
      </c>
      <c r="Q425" s="13">
        <v>157</v>
      </c>
      <c r="R425" s="13">
        <v>238</v>
      </c>
      <c r="S425" s="13"/>
      <c r="T425" s="13">
        <v>6.4</v>
      </c>
      <c r="U425" s="13">
        <v>1.8</v>
      </c>
      <c r="V425" s="11">
        <v>0</v>
      </c>
      <c r="W425" s="13">
        <v>254</v>
      </c>
      <c r="X425" s="13">
        <v>19</v>
      </c>
      <c r="Y425" s="13">
        <v>0</v>
      </c>
      <c r="Z425" s="13"/>
      <c r="AA425" s="13">
        <v>0</v>
      </c>
      <c r="AB425" s="13">
        <v>0</v>
      </c>
      <c r="AC425" s="13">
        <v>9</v>
      </c>
      <c r="AD425" s="13">
        <v>4.8000000000000001E-2</v>
      </c>
      <c r="AE425" s="13">
        <v>0.23699999999999999</v>
      </c>
      <c r="AF425" s="13">
        <v>4.12</v>
      </c>
      <c r="AG425" s="13">
        <v>110</v>
      </c>
      <c r="AH425" s="13">
        <v>3.93</v>
      </c>
      <c r="AI425" s="13">
        <v>31</v>
      </c>
      <c r="AJ425" s="13">
        <v>0</v>
      </c>
      <c r="AK425" s="13">
        <v>4</v>
      </c>
      <c r="AL425" s="13">
        <v>0</v>
      </c>
      <c r="AM425" s="13">
        <v>0</v>
      </c>
      <c r="AN425" s="13">
        <v>0.4</v>
      </c>
      <c r="AO425" s="13">
        <v>0</v>
      </c>
      <c r="AP425" s="13">
        <v>0</v>
      </c>
      <c r="AQ425" s="13">
        <v>0.1</v>
      </c>
      <c r="AR425" s="13">
        <v>0.1</v>
      </c>
      <c r="AS425" s="13">
        <v>1</v>
      </c>
      <c r="AT425" s="13">
        <v>0.26200000000000001</v>
      </c>
      <c r="AU425" s="13">
        <v>0.42</v>
      </c>
      <c r="AV425" s="13">
        <v>1.08</v>
      </c>
      <c r="AW425" s="13">
        <v>0.30099999999999999</v>
      </c>
      <c r="AX425" s="9">
        <f>Tabelle1[[#This Row],[Vitamin D3 '[µg/100g']]]*40</f>
        <v>0</v>
      </c>
      <c r="AY425" s="9">
        <f>Tabelle1[[#This Row],[Vitamin A '[µg/100g']]]*3.33</f>
        <v>29.97</v>
      </c>
      <c r="AZ425" s="9">
        <f>Tabelle1[[#This Row],[Vitamin E '[mg/100g']]]*1.49</f>
        <v>0</v>
      </c>
    </row>
    <row r="426" spans="1:52" hidden="1" x14ac:dyDescent="0.45">
      <c r="A426" t="s">
        <v>1151</v>
      </c>
      <c r="B426" s="3" t="s">
        <v>1125</v>
      </c>
      <c r="C426" s="4" t="s">
        <v>1126</v>
      </c>
      <c r="D426" s="11">
        <v>97</v>
      </c>
      <c r="E426" s="11">
        <f>Tabelle1[[#This Row],[Energie '[kcal/100g']]]/239</f>
        <v>0.40585774058577406</v>
      </c>
      <c r="F426" s="11">
        <v>17.2</v>
      </c>
      <c r="G426" s="11">
        <f>Tabelle1[[#This Row],[Rohprotein '[g/100g']]]*0.85</f>
        <v>14.62</v>
      </c>
      <c r="H426" s="11">
        <v>3.1</v>
      </c>
      <c r="I426" s="11">
        <f>Tabelle1[[#This Row],[TS]]-Tabelle1[[#This Row],[Rohprotein '[g/100g']]]-Tabelle1[[#This Row],[Rohfett '[g/100g']]]-Tabelle1[[#This Row],[Rohasche '[g/100g']]]-Tabelle1[[#This Row],[Rohfaser '[g/100g']]]</f>
        <v>0.19999999999999774</v>
      </c>
      <c r="J426" s="11">
        <v>0</v>
      </c>
      <c r="K426" s="11">
        <v>1.3</v>
      </c>
      <c r="L426" s="11">
        <v>78.2</v>
      </c>
      <c r="M426" s="11">
        <f>100-Tabelle1[[#This Row],[Wasser '[g/100g']]]</f>
        <v>21.799999999999997</v>
      </c>
      <c r="N426" s="11">
        <v>9</v>
      </c>
      <c r="O426" s="11">
        <v>280</v>
      </c>
      <c r="P426" s="11">
        <v>21</v>
      </c>
      <c r="Q426" s="11">
        <v>84</v>
      </c>
      <c r="R426" s="11">
        <v>358</v>
      </c>
      <c r="S426" s="11"/>
      <c r="T426" s="11">
        <v>41.9</v>
      </c>
      <c r="U426" s="11">
        <v>2.84</v>
      </c>
      <c r="V426" s="11">
        <v>0</v>
      </c>
      <c r="W426" s="11">
        <v>121</v>
      </c>
      <c r="X426" s="11">
        <v>51</v>
      </c>
      <c r="Y426" s="13">
        <v>0</v>
      </c>
      <c r="Z426" s="13"/>
      <c r="AA426" s="13">
        <v>0</v>
      </c>
      <c r="AB426" s="13">
        <v>0</v>
      </c>
      <c r="AC426" s="11">
        <v>17</v>
      </c>
      <c r="AD426" s="11">
        <v>4.7E-2</v>
      </c>
      <c r="AE426" s="11">
        <v>0.34799999999999998</v>
      </c>
      <c r="AF426" s="11">
        <v>7.9</v>
      </c>
      <c r="AG426" s="11">
        <v>110</v>
      </c>
      <c r="AH426" s="11">
        <v>5.34</v>
      </c>
      <c r="AI426" s="11">
        <v>23</v>
      </c>
      <c r="AJ426" s="13">
        <v>0</v>
      </c>
      <c r="AK426" s="11">
        <v>3</v>
      </c>
      <c r="AL426" s="13">
        <v>0</v>
      </c>
      <c r="AM426" s="11">
        <v>0</v>
      </c>
      <c r="AN426" s="11">
        <v>0</v>
      </c>
      <c r="AO426" s="11">
        <v>7.4999999999999997E-3</v>
      </c>
      <c r="AP426" s="11">
        <v>0.02</v>
      </c>
      <c r="AQ426" s="11">
        <v>0.1</v>
      </c>
      <c r="AR426" s="11">
        <v>0.1</v>
      </c>
      <c r="AS426" s="11">
        <v>1.0900000000000001</v>
      </c>
      <c r="AT426" s="11">
        <v>0.22</v>
      </c>
      <c r="AU426" s="11">
        <v>0.57199999999999995</v>
      </c>
      <c r="AV426" s="11">
        <v>1.33</v>
      </c>
      <c r="AW426" s="11">
        <v>0.32700000000000001</v>
      </c>
      <c r="AX426" s="9">
        <f>Tabelle1[[#This Row],[Vitamin D3 '[µg/100g']]]*40</f>
        <v>0</v>
      </c>
      <c r="AY426" s="9">
        <f>Tabelle1[[#This Row],[Vitamin A '[µg/100g']]]*3.33</f>
        <v>56.61</v>
      </c>
      <c r="AZ426" s="9">
        <f>Tabelle1[[#This Row],[Vitamin E '[mg/100g']]]*1.49</f>
        <v>0</v>
      </c>
    </row>
    <row r="427" spans="1:52" hidden="1" x14ac:dyDescent="0.45">
      <c r="A427" t="s">
        <v>1151</v>
      </c>
      <c r="B427" s="3" t="s">
        <v>1127</v>
      </c>
      <c r="C427" s="4" t="s">
        <v>1128</v>
      </c>
      <c r="D427" s="11">
        <v>162</v>
      </c>
      <c r="E427" s="11">
        <f>Tabelle1[[#This Row],[Energie '[kcal/100g']]]/239</f>
        <v>0.67782426778242677</v>
      </c>
      <c r="F427" s="11">
        <v>29.8</v>
      </c>
      <c r="G427" s="11">
        <f>Tabelle1[[#This Row],[Rohprotein '[g/100g']]]*0.85</f>
        <v>25.33</v>
      </c>
      <c r="H427" s="11">
        <v>4.72</v>
      </c>
      <c r="I427" s="11">
        <f>Tabelle1[[#This Row],[TS]]-Tabelle1[[#This Row],[Rohprotein '[g/100g']]]-Tabelle1[[#This Row],[Rohfett '[g/100g']]]-Tabelle1[[#This Row],[Rohasche '[g/100g']]]-Tabelle1[[#This Row],[Rohfaser '[g/100g']]]</f>
        <v>0.92000000000000237</v>
      </c>
      <c r="J427" s="11">
        <v>0</v>
      </c>
      <c r="K427" s="11">
        <v>1.76</v>
      </c>
      <c r="L427" s="11">
        <v>62.8</v>
      </c>
      <c r="M427" s="11">
        <f>100-Tabelle1[[#This Row],[Wasser '[g/100g']]]</f>
        <v>37.200000000000003</v>
      </c>
      <c r="N427" s="11">
        <v>26</v>
      </c>
      <c r="O427" s="11">
        <v>394</v>
      </c>
      <c r="P427" s="11">
        <v>29</v>
      </c>
      <c r="Q427" s="11">
        <v>218</v>
      </c>
      <c r="R427" s="11">
        <v>388</v>
      </c>
      <c r="S427" s="11"/>
      <c r="T427" s="11">
        <v>12.12</v>
      </c>
      <c r="U427" s="11">
        <v>3.81</v>
      </c>
      <c r="V427" s="11">
        <v>0</v>
      </c>
      <c r="W427" s="11">
        <v>714</v>
      </c>
      <c r="X427" s="11">
        <v>236</v>
      </c>
      <c r="Y427" s="13">
        <v>0</v>
      </c>
      <c r="Z427" s="13"/>
      <c r="AA427" s="11">
        <v>0.2</v>
      </c>
      <c r="AB427" s="11">
        <v>0.76</v>
      </c>
      <c r="AC427" s="11">
        <v>152</v>
      </c>
      <c r="AD427" s="11">
        <v>1.05</v>
      </c>
      <c r="AE427" s="11">
        <v>4.26</v>
      </c>
      <c r="AF427" s="11">
        <v>12.77</v>
      </c>
      <c r="AG427" s="11">
        <v>350</v>
      </c>
      <c r="AH427" s="11">
        <v>73.400000000000006</v>
      </c>
      <c r="AI427" s="11">
        <v>16</v>
      </c>
      <c r="AJ427" s="13">
        <v>0</v>
      </c>
      <c r="AK427" s="11">
        <v>36</v>
      </c>
      <c r="AL427" s="11">
        <v>52</v>
      </c>
      <c r="AM427" s="11">
        <v>0</v>
      </c>
      <c r="AN427" s="11">
        <v>0.19</v>
      </c>
      <c r="AO427" s="11">
        <v>0.08</v>
      </c>
      <c r="AP427" s="11">
        <v>0.05</v>
      </c>
      <c r="AQ427" s="11">
        <v>0</v>
      </c>
      <c r="AR427" s="11">
        <v>0</v>
      </c>
      <c r="AS427" s="11">
        <v>1.7250000000000001</v>
      </c>
      <c r="AT427" s="11">
        <v>0.34</v>
      </c>
      <c r="AU427" s="11">
        <v>0.752</v>
      </c>
      <c r="AV427" s="11">
        <v>1.94</v>
      </c>
      <c r="AW427" s="11">
        <v>0.60599999999999998</v>
      </c>
      <c r="AX427" s="9">
        <f>Tabelle1[[#This Row],[Vitamin D3 '[µg/100g']]]*40</f>
        <v>8</v>
      </c>
      <c r="AY427" s="9">
        <f>Tabelle1[[#This Row],[Vitamin A '[µg/100g']]]*3.33</f>
        <v>506.16</v>
      </c>
      <c r="AZ427" s="9">
        <f>Tabelle1[[#This Row],[Vitamin E '[mg/100g']]]*1.49</f>
        <v>1.1324000000000001</v>
      </c>
    </row>
    <row r="428" spans="1:52" hidden="1" x14ac:dyDescent="0.45">
      <c r="A428" t="s">
        <v>1151</v>
      </c>
      <c r="B428" s="3" t="s">
        <v>1129</v>
      </c>
      <c r="C428" s="4" t="s">
        <v>1130</v>
      </c>
      <c r="D428" s="11">
        <v>89</v>
      </c>
      <c r="E428" s="11">
        <f>Tabelle1[[#This Row],[Energie '[kcal/100g']]]/239</f>
        <v>0.3723849372384937</v>
      </c>
      <c r="F428" s="11">
        <v>15.7</v>
      </c>
      <c r="G428" s="11">
        <f>Tabelle1[[#This Row],[Rohprotein '[g/100g']]]*0.85</f>
        <v>13.344999999999999</v>
      </c>
      <c r="H428" s="11">
        <v>2.95</v>
      </c>
      <c r="I428" s="11">
        <f>Tabelle1[[#This Row],[TS]]-Tabelle1[[#This Row],[Rohprotein '[g/100g']]]-Tabelle1[[#This Row],[Rohfett '[g/100g']]]-Tabelle1[[#This Row],[Rohasche '[g/100g']]]-Tabelle1[[#This Row],[Rohfaser '[g/100g']]]</f>
        <v>0.88999999999999768</v>
      </c>
      <c r="J428" s="11">
        <v>0</v>
      </c>
      <c r="K428" s="11">
        <v>1.26</v>
      </c>
      <c r="L428" s="11">
        <v>79.2</v>
      </c>
      <c r="M428" s="11">
        <f>100-Tabelle1[[#This Row],[Wasser '[g/100g']]]</f>
        <v>20.799999999999997</v>
      </c>
      <c r="N428" s="11">
        <v>13</v>
      </c>
      <c r="O428" s="11">
        <v>246</v>
      </c>
      <c r="P428" s="11">
        <v>17</v>
      </c>
      <c r="Q428" s="11">
        <v>156</v>
      </c>
      <c r="R428" s="11">
        <v>277</v>
      </c>
      <c r="S428" s="11"/>
      <c r="T428" s="11">
        <v>6.38</v>
      </c>
      <c r="U428" s="11">
        <v>2.2400000000000002</v>
      </c>
      <c r="V428" s="11">
        <v>0</v>
      </c>
      <c r="W428" s="11">
        <v>446</v>
      </c>
      <c r="X428" s="11">
        <v>118</v>
      </c>
      <c r="Y428" s="13">
        <v>0</v>
      </c>
      <c r="Z428" s="13"/>
      <c r="AA428" s="11">
        <v>0.1</v>
      </c>
      <c r="AB428" s="11">
        <v>0.42</v>
      </c>
      <c r="AC428" s="11">
        <v>23970</v>
      </c>
      <c r="AD428" s="11">
        <v>0.62</v>
      </c>
      <c r="AE428" s="11">
        <v>2.2400000000000002</v>
      </c>
      <c r="AF428" s="11">
        <v>7.51</v>
      </c>
      <c r="AG428" s="11">
        <v>220</v>
      </c>
      <c r="AH428" s="11">
        <v>52.4</v>
      </c>
      <c r="AI428" s="11">
        <v>11</v>
      </c>
      <c r="AJ428" s="13">
        <v>0</v>
      </c>
      <c r="AK428" s="11">
        <v>195</v>
      </c>
      <c r="AL428" s="11">
        <v>37</v>
      </c>
      <c r="AM428" s="11">
        <v>0</v>
      </c>
      <c r="AN428" s="11">
        <v>0.12</v>
      </c>
      <c r="AO428" s="11">
        <v>1.7000000000000001E-2</v>
      </c>
      <c r="AP428" s="11">
        <v>1E-3</v>
      </c>
      <c r="AQ428" s="11">
        <v>0</v>
      </c>
      <c r="AR428" s="11">
        <v>0</v>
      </c>
      <c r="AS428" s="11">
        <v>0.90800000000000003</v>
      </c>
      <c r="AT428" s="11">
        <v>0.17899999999999999</v>
      </c>
      <c r="AU428" s="11">
        <v>0.39600000000000002</v>
      </c>
      <c r="AV428" s="11">
        <v>1.02</v>
      </c>
      <c r="AW428" s="11">
        <v>0.31900000000000001</v>
      </c>
      <c r="AX428" s="9">
        <f>Tabelle1[[#This Row],[Vitamin D3 '[µg/100g']]]*40</f>
        <v>4</v>
      </c>
      <c r="AY428" s="9">
        <f>Tabelle1[[#This Row],[Vitamin A '[µg/100g']]]*3.33</f>
        <v>79820.100000000006</v>
      </c>
      <c r="AZ428" s="9">
        <f>Tabelle1[[#This Row],[Vitamin E '[mg/100g']]]*1.49</f>
        <v>0.62580000000000002</v>
      </c>
    </row>
    <row r="429" spans="1:52" hidden="1" x14ac:dyDescent="0.45">
      <c r="A429" t="s">
        <v>641</v>
      </c>
      <c r="B429" s="5" t="s">
        <v>591</v>
      </c>
      <c r="C429" s="6" t="s">
        <v>592</v>
      </c>
      <c r="D429" s="13">
        <v>90</v>
      </c>
      <c r="E429" s="11">
        <f>Tabelle1[[#This Row],[Energie '[kcal/100g']]]/239</f>
        <v>0.37656903765690375</v>
      </c>
      <c r="F429" s="13">
        <v>3.87</v>
      </c>
      <c r="G429" s="11">
        <f>Tabelle1[[#This Row],[Rohprotein '[g/100g']]]*0.85</f>
        <v>3.2894999999999999</v>
      </c>
      <c r="H429" s="13">
        <v>6.2</v>
      </c>
      <c r="I429" s="11">
        <f>Tabelle1[[#This Row],[TS]]-Tabelle1[[#This Row],[Rohprotein '[g/100g']]]-Tabelle1[[#This Row],[Rohfett '[g/100g']]]-Tabelle1[[#This Row],[Rohasche '[g/100g']]]-Tabelle1[[#This Row],[Rohfaser '[g/100g']]]</f>
        <v>5.0100000000000042</v>
      </c>
      <c r="J429" s="11">
        <v>0</v>
      </c>
      <c r="K429" s="13">
        <v>0.82</v>
      </c>
      <c r="L429" s="13">
        <v>84.1</v>
      </c>
      <c r="M429" s="13">
        <f>100-Tabelle1[[#This Row],[Wasser '[g/100g']]]</f>
        <v>15.900000000000006</v>
      </c>
      <c r="N429" s="13">
        <v>107.4</v>
      </c>
      <c r="O429" s="13">
        <v>103.4</v>
      </c>
      <c r="P429" s="13">
        <v>10.9</v>
      </c>
      <c r="Q429" s="13">
        <v>38.9</v>
      </c>
      <c r="R429" s="13">
        <v>167.6</v>
      </c>
      <c r="S429" s="13"/>
      <c r="T429" s="13">
        <v>2.1000000000000001E-2</v>
      </c>
      <c r="U429" s="13">
        <v>0.38</v>
      </c>
      <c r="V429" s="11">
        <v>0</v>
      </c>
      <c r="W429" s="13">
        <v>12</v>
      </c>
      <c r="X429" s="13">
        <v>2.6</v>
      </c>
      <c r="Y429" s="13">
        <v>3.4</v>
      </c>
      <c r="Z429" s="13"/>
      <c r="AA429" s="13">
        <v>0</v>
      </c>
      <c r="AB429" s="13">
        <v>0.16300000000000001</v>
      </c>
      <c r="AC429" s="13">
        <v>74</v>
      </c>
      <c r="AD429" s="13">
        <v>0</v>
      </c>
      <c r="AE429" s="13">
        <v>0.18099999999999999</v>
      </c>
      <c r="AF429" s="13">
        <v>0.41599999999999998</v>
      </c>
      <c r="AG429" s="13">
        <v>70</v>
      </c>
      <c r="AH429" s="13">
        <v>0.20200000000000001</v>
      </c>
      <c r="AI429" s="13">
        <v>0</v>
      </c>
      <c r="AJ429" s="13">
        <v>1.9</v>
      </c>
      <c r="AK429" s="13">
        <v>6.22</v>
      </c>
      <c r="AL429" s="13">
        <v>1.637</v>
      </c>
      <c r="AM429" s="13">
        <v>3.25</v>
      </c>
      <c r="AN429" s="13">
        <v>0.1</v>
      </c>
      <c r="AO429" s="13">
        <v>0</v>
      </c>
      <c r="AP429" s="13">
        <v>0</v>
      </c>
      <c r="AQ429" s="13">
        <v>0.1</v>
      </c>
      <c r="AR429" s="13">
        <v>0.1</v>
      </c>
      <c r="AS429" s="13">
        <v>0.13</v>
      </c>
      <c r="AT429" s="13">
        <v>0.04</v>
      </c>
      <c r="AU429" s="13">
        <v>0.1</v>
      </c>
      <c r="AV429" s="13">
        <v>0.34</v>
      </c>
      <c r="AW429" s="13">
        <v>0.1</v>
      </c>
      <c r="AX429" s="9">
        <f>Tabelle1[[#This Row],[Vitamin D3 '[µg/100g']]]*40</f>
        <v>0</v>
      </c>
      <c r="AY429" s="9">
        <f>Tabelle1[[#This Row],[Vitamin A '[µg/100g']]]*3.33</f>
        <v>246.42000000000002</v>
      </c>
      <c r="AZ429" s="9">
        <f>Tabelle1[[#This Row],[Vitamin E '[mg/100g']]]*1.49</f>
        <v>0.24287</v>
      </c>
    </row>
    <row r="430" spans="1:52" hidden="1" x14ac:dyDescent="0.45">
      <c r="A430" t="s">
        <v>641</v>
      </c>
      <c r="B430" s="5" t="s">
        <v>593</v>
      </c>
      <c r="C430" s="6" t="s">
        <v>594</v>
      </c>
      <c r="D430" s="13">
        <v>383</v>
      </c>
      <c r="E430" s="11">
        <f>Tabelle1[[#This Row],[Energie '[kcal/100g']]]/239</f>
        <v>1.602510460251046</v>
      </c>
      <c r="F430" s="13">
        <v>19.16</v>
      </c>
      <c r="G430" s="11">
        <f>Tabelle1[[#This Row],[Rohprotein '[g/100g']]]*0.85</f>
        <v>16.286000000000001</v>
      </c>
      <c r="H430" s="13">
        <v>33.630000000000003</v>
      </c>
      <c r="I430" s="11">
        <f>Tabelle1[[#This Row],[TS]]-Tabelle1[[#This Row],[Rohprotein '[g/100g']]]-Tabelle1[[#This Row],[Rohfett '[g/100g']]]-Tabelle1[[#This Row],[Rohasche '[g/100g']]]-Tabelle1[[#This Row],[Rohfaser '[g/100g']]]</f>
        <v>0.38000000000000078</v>
      </c>
      <c r="J430" s="11">
        <v>0</v>
      </c>
      <c r="K430" s="13">
        <v>3.83</v>
      </c>
      <c r="L430" s="13">
        <v>43</v>
      </c>
      <c r="M430" s="13">
        <f>100-Tabelle1[[#This Row],[Wasser '[g/100g']]]</f>
        <v>57</v>
      </c>
      <c r="N430" s="13">
        <v>719.5</v>
      </c>
      <c r="O430" s="13">
        <v>457.5</v>
      </c>
      <c r="P430" s="13">
        <v>36.799999999999997</v>
      </c>
      <c r="Q430" s="13">
        <v>516.5</v>
      </c>
      <c r="R430" s="13">
        <v>70.2</v>
      </c>
      <c r="S430" s="13"/>
      <c r="T430" s="13">
        <v>0.18</v>
      </c>
      <c r="U430" s="13">
        <v>2.68</v>
      </c>
      <c r="V430" s="11">
        <v>0</v>
      </c>
      <c r="W430" s="13">
        <v>69.5</v>
      </c>
      <c r="X430" s="13">
        <v>37.5</v>
      </c>
      <c r="Y430" s="13">
        <v>24</v>
      </c>
      <c r="Z430" s="13"/>
      <c r="AA430" s="13">
        <v>0</v>
      </c>
      <c r="AB430" s="13">
        <v>0.55000000000000004</v>
      </c>
      <c r="AC430" s="13">
        <v>300</v>
      </c>
      <c r="AD430" s="13">
        <v>0</v>
      </c>
      <c r="AE430" s="13">
        <v>0.18</v>
      </c>
      <c r="AF430" s="13">
        <v>0.06</v>
      </c>
      <c r="AG430" s="13">
        <v>54</v>
      </c>
      <c r="AH430" s="13">
        <v>0</v>
      </c>
      <c r="AI430" s="13">
        <v>1</v>
      </c>
      <c r="AJ430" s="13">
        <v>10.18</v>
      </c>
      <c r="AK430" s="13">
        <v>12.8</v>
      </c>
      <c r="AL430" s="13">
        <v>1.6</v>
      </c>
      <c r="AM430" s="13">
        <v>0</v>
      </c>
      <c r="AN430" s="13">
        <v>0.16400000000000001</v>
      </c>
      <c r="AO430" s="13">
        <v>1.2999999999999999E-2</v>
      </c>
      <c r="AP430" s="13">
        <v>3.0000000000000001E-3</v>
      </c>
      <c r="AQ430" s="13">
        <v>0.80400000000000005</v>
      </c>
      <c r="AR430" s="13">
        <v>0.74</v>
      </c>
      <c r="AS430" s="13">
        <v>0.59</v>
      </c>
      <c r="AT430" s="13">
        <v>0.11</v>
      </c>
      <c r="AU430" s="13">
        <v>0.6</v>
      </c>
      <c r="AV430" s="13">
        <v>1.66</v>
      </c>
      <c r="AW430" s="13">
        <v>0.49</v>
      </c>
      <c r="AX430" s="9">
        <f>Tabelle1[[#This Row],[Vitamin D3 '[µg/100g']]]*40</f>
        <v>0</v>
      </c>
      <c r="AY430" s="9">
        <f>Tabelle1[[#This Row],[Vitamin A '[µg/100g']]]*3.33</f>
        <v>999</v>
      </c>
      <c r="AZ430" s="9">
        <f>Tabelle1[[#This Row],[Vitamin E '[mg/100g']]]*1.49</f>
        <v>0.81950000000000001</v>
      </c>
    </row>
    <row r="431" spans="1:52" hidden="1" x14ac:dyDescent="0.45">
      <c r="A431" t="s">
        <v>641</v>
      </c>
      <c r="B431" s="3" t="s">
        <v>595</v>
      </c>
      <c r="C431" s="4" t="s">
        <v>596</v>
      </c>
      <c r="D431" s="11">
        <v>384</v>
      </c>
      <c r="E431" s="11">
        <f>Tabelle1[[#This Row],[Energie '[kcal/100g']]]/239</f>
        <v>1.606694560669456</v>
      </c>
      <c r="F431" s="11">
        <v>19.16</v>
      </c>
      <c r="G431" s="11">
        <f>Tabelle1[[#This Row],[Rohprotein '[g/100g']]]*0.85</f>
        <v>16.286000000000001</v>
      </c>
      <c r="H431" s="11">
        <v>33.630000000000003</v>
      </c>
      <c r="I431" s="11">
        <f>Tabelle1[[#This Row],[TS]]-Tabelle1[[#This Row],[Rohprotein '[g/100g']]]-Tabelle1[[#This Row],[Rohfett '[g/100g']]]-Tabelle1[[#This Row],[Rohasche '[g/100g']]]-Tabelle1[[#This Row],[Rohfaser '[g/100g']]]</f>
        <v>0.38000000000000078</v>
      </c>
      <c r="J431" s="11">
        <v>0</v>
      </c>
      <c r="K431" s="11">
        <v>3.83</v>
      </c>
      <c r="L431" s="11">
        <v>43</v>
      </c>
      <c r="M431" s="11">
        <f>100-Tabelle1[[#This Row],[Wasser '[g/100g']]]</f>
        <v>57</v>
      </c>
      <c r="N431" s="11">
        <v>719.5</v>
      </c>
      <c r="O431" s="11">
        <v>457.5</v>
      </c>
      <c r="P431" s="11">
        <v>36.799999999999997</v>
      </c>
      <c r="Q431" s="11">
        <v>516.5</v>
      </c>
      <c r="R431" s="11">
        <v>70.2</v>
      </c>
      <c r="S431" s="11"/>
      <c r="T431" s="11">
        <v>0.18</v>
      </c>
      <c r="U431" s="11">
        <v>2.68</v>
      </c>
      <c r="V431" s="11">
        <v>0</v>
      </c>
      <c r="W431" s="11">
        <v>69.5</v>
      </c>
      <c r="X431" s="11">
        <v>37.5</v>
      </c>
      <c r="Y431" s="11">
        <v>24</v>
      </c>
      <c r="Z431" s="11"/>
      <c r="AA431" s="11">
        <v>0</v>
      </c>
      <c r="AB431" s="11">
        <v>0.55000000000000004</v>
      </c>
      <c r="AC431" s="11">
        <v>295</v>
      </c>
      <c r="AD431" s="11">
        <v>0</v>
      </c>
      <c r="AE431" s="11">
        <v>0.18</v>
      </c>
      <c r="AF431" s="11">
        <v>0.06</v>
      </c>
      <c r="AG431" s="11">
        <v>54</v>
      </c>
      <c r="AH431" s="11">
        <v>0</v>
      </c>
      <c r="AI431" s="11">
        <v>1</v>
      </c>
      <c r="AJ431" s="11">
        <v>10.18</v>
      </c>
      <c r="AK431" s="11">
        <v>43.6</v>
      </c>
      <c r="AL431" s="11">
        <v>1.6</v>
      </c>
      <c r="AM431" s="11">
        <v>0</v>
      </c>
      <c r="AN431" s="11">
        <v>0.16400000000000001</v>
      </c>
      <c r="AO431" s="11">
        <v>0</v>
      </c>
      <c r="AP431" s="11">
        <v>0</v>
      </c>
      <c r="AQ431" s="11">
        <v>0.80400000000000005</v>
      </c>
      <c r="AR431" s="11">
        <v>0.74</v>
      </c>
      <c r="AS431" s="11">
        <v>0.68400000000000005</v>
      </c>
      <c r="AT431" s="11">
        <v>9.9000000000000005E-2</v>
      </c>
      <c r="AU431" s="11">
        <v>0.67200000000000004</v>
      </c>
      <c r="AV431" s="11">
        <v>1.7749999999999999</v>
      </c>
      <c r="AW431" s="11">
        <v>0.65200000000000002</v>
      </c>
      <c r="AX431" s="9">
        <f>Tabelle1[[#This Row],[Vitamin D3 '[µg/100g']]]*40</f>
        <v>0</v>
      </c>
      <c r="AY431" s="9">
        <f>Tabelle1[[#This Row],[Vitamin A '[µg/100g']]]*3.33</f>
        <v>982.35</v>
      </c>
      <c r="AZ431" s="9">
        <f>Tabelle1[[#This Row],[Vitamin E '[mg/100g']]]*1.49</f>
        <v>0.81950000000000001</v>
      </c>
    </row>
    <row r="432" spans="1:52" hidden="1" x14ac:dyDescent="0.45">
      <c r="A432" t="s">
        <v>641</v>
      </c>
      <c r="B432" s="3" t="s">
        <v>597</v>
      </c>
      <c r="C432" s="4" t="s">
        <v>598</v>
      </c>
      <c r="D432" s="11">
        <v>242</v>
      </c>
      <c r="E432" s="11">
        <f>Tabelle1[[#This Row],[Energie '[kcal/100g']]]/239</f>
        <v>1.0125523012552302</v>
      </c>
      <c r="F432" s="11">
        <v>33.82</v>
      </c>
      <c r="G432" s="11">
        <f>Tabelle1[[#This Row],[Rohprotein '[g/100g']]]*0.85</f>
        <v>28.747</v>
      </c>
      <c r="H432" s="11">
        <v>11.4</v>
      </c>
      <c r="I432" s="11">
        <f>Tabelle1[[#This Row],[TS]]-Tabelle1[[#This Row],[Rohprotein '[g/100g']]]-Tabelle1[[#This Row],[Rohfett '[g/100g']]]-Tabelle1[[#This Row],[Rohasche '[g/100g']]]-Tabelle1[[#This Row],[Rohfaser '[g/100g']]]</f>
        <v>1.8489999999999975</v>
      </c>
      <c r="J432" s="11">
        <v>0</v>
      </c>
      <c r="K432" s="11">
        <v>4.7030000000000003</v>
      </c>
      <c r="L432" s="11">
        <v>48.228000000000002</v>
      </c>
      <c r="M432" s="11">
        <f>100-Tabelle1[[#This Row],[Wasser '[g/100g']]]</f>
        <v>51.771999999999998</v>
      </c>
      <c r="N432" s="11">
        <v>1091</v>
      </c>
      <c r="O432" s="11">
        <v>730</v>
      </c>
      <c r="P432" s="11">
        <v>35.5</v>
      </c>
      <c r="Q432" s="11">
        <v>810</v>
      </c>
      <c r="R432" s="11">
        <v>120</v>
      </c>
      <c r="S432" s="11"/>
      <c r="T432" s="11">
        <v>0.188</v>
      </c>
      <c r="U432" s="11">
        <v>2.5110000000000001</v>
      </c>
      <c r="V432" s="11">
        <v>0</v>
      </c>
      <c r="W432" s="11">
        <v>115.07</v>
      </c>
      <c r="X432" s="11">
        <v>51</v>
      </c>
      <c r="Y432" s="11">
        <v>24</v>
      </c>
      <c r="Z432" s="11"/>
      <c r="AA432" s="11">
        <v>0.63</v>
      </c>
      <c r="AB432" s="11">
        <v>0.9</v>
      </c>
      <c r="AC432" s="11">
        <v>382</v>
      </c>
      <c r="AD432" s="11">
        <v>0.04</v>
      </c>
      <c r="AE432" s="11">
        <v>0.44</v>
      </c>
      <c r="AF432" s="11">
        <v>0.1</v>
      </c>
      <c r="AG432" s="11">
        <v>70</v>
      </c>
      <c r="AH432" s="11">
        <v>1</v>
      </c>
      <c r="AI432" s="11">
        <v>0.876</v>
      </c>
      <c r="AJ432" s="11">
        <v>20</v>
      </c>
      <c r="AK432" s="11">
        <v>15</v>
      </c>
      <c r="AL432" s="11">
        <v>3</v>
      </c>
      <c r="AM432" s="11">
        <v>4.0000000000000002E-4</v>
      </c>
      <c r="AN432" s="11">
        <v>0.1</v>
      </c>
      <c r="AO432" s="11">
        <v>0</v>
      </c>
      <c r="AP432" s="11">
        <v>0</v>
      </c>
      <c r="AQ432" s="11">
        <v>0.2</v>
      </c>
      <c r="AR432" s="11">
        <v>0.2</v>
      </c>
      <c r="AS432" s="11">
        <v>1.3660000000000001</v>
      </c>
      <c r="AT432" s="11">
        <v>0.13900000000000001</v>
      </c>
      <c r="AU432" s="11">
        <v>1.167</v>
      </c>
      <c r="AV432" s="11">
        <v>3.0339999999999998</v>
      </c>
      <c r="AW432" s="11">
        <v>1.052</v>
      </c>
      <c r="AX432" s="9">
        <f>Tabelle1[[#This Row],[Vitamin D3 '[µg/100g']]]*40</f>
        <v>25.2</v>
      </c>
      <c r="AY432" s="9">
        <f>Tabelle1[[#This Row],[Vitamin A '[µg/100g']]]*3.33</f>
        <v>1272.06</v>
      </c>
      <c r="AZ432" s="9">
        <f>Tabelle1[[#This Row],[Vitamin E '[mg/100g']]]*1.49</f>
        <v>1.341</v>
      </c>
    </row>
    <row r="433" spans="1:52" hidden="1" x14ac:dyDescent="0.45">
      <c r="A433" t="s">
        <v>641</v>
      </c>
      <c r="B433" s="3" t="s">
        <v>599</v>
      </c>
      <c r="C433" s="4" t="s">
        <v>600</v>
      </c>
      <c r="D433" s="11">
        <v>245</v>
      </c>
      <c r="E433" s="11">
        <f>Tabelle1[[#This Row],[Energie '[kcal/100g']]]/239</f>
        <v>1.0251046025104602</v>
      </c>
      <c r="F433" s="11">
        <v>26.524999999999999</v>
      </c>
      <c r="G433" s="11">
        <f>Tabelle1[[#This Row],[Rohprotein '[g/100g']]]*0.85</f>
        <v>22.546249999999997</v>
      </c>
      <c r="H433" s="11">
        <v>15.2</v>
      </c>
      <c r="I433" s="11">
        <f>Tabelle1[[#This Row],[TS]]-Tabelle1[[#This Row],[Rohprotein '[g/100g']]]-Tabelle1[[#This Row],[Rohfett '[g/100g']]]-Tabelle1[[#This Row],[Rohasche '[g/100g']]]-Tabelle1[[#This Row],[Rohfaser '[g/100g']]]</f>
        <v>2.4150000000000023</v>
      </c>
      <c r="J433" s="11">
        <v>0</v>
      </c>
      <c r="K433" s="11">
        <v>3.86</v>
      </c>
      <c r="L433" s="11">
        <v>52</v>
      </c>
      <c r="M433" s="11">
        <f>100-Tabelle1[[#This Row],[Wasser '[g/100g']]]</f>
        <v>48</v>
      </c>
      <c r="N433" s="11">
        <v>851</v>
      </c>
      <c r="O433" s="11">
        <v>571</v>
      </c>
      <c r="P433" s="11">
        <v>40</v>
      </c>
      <c r="Q433" s="11">
        <v>601</v>
      </c>
      <c r="R433" s="11">
        <v>100</v>
      </c>
      <c r="S433" s="11"/>
      <c r="T433" s="11">
        <v>0.4</v>
      </c>
      <c r="U433" s="11">
        <v>4.3040000000000003</v>
      </c>
      <c r="V433" s="11">
        <v>0</v>
      </c>
      <c r="W433" s="11">
        <v>100</v>
      </c>
      <c r="X433" s="11">
        <v>40</v>
      </c>
      <c r="Y433" s="11">
        <v>30</v>
      </c>
      <c r="Z433" s="11"/>
      <c r="AA433" s="11">
        <v>0.3</v>
      </c>
      <c r="AB433" s="11">
        <v>0.46</v>
      </c>
      <c r="AC433" s="11">
        <v>187</v>
      </c>
      <c r="AD433" s="11">
        <v>0.05</v>
      </c>
      <c r="AE433" s="11">
        <v>0.4</v>
      </c>
      <c r="AF433" s="11">
        <v>0.1</v>
      </c>
      <c r="AG433" s="11">
        <v>60</v>
      </c>
      <c r="AH433" s="11">
        <v>2.2999999999999998</v>
      </c>
      <c r="AI433" s="11">
        <v>1</v>
      </c>
      <c r="AJ433" s="11">
        <v>16.059999999999999</v>
      </c>
      <c r="AK433" s="11">
        <v>34</v>
      </c>
      <c r="AL433" s="11">
        <v>2.2999999999999998</v>
      </c>
      <c r="AM433" s="11">
        <v>0</v>
      </c>
      <c r="AN433" s="11">
        <v>0.1</v>
      </c>
      <c r="AO433" s="11">
        <v>0</v>
      </c>
      <c r="AP433" s="11">
        <v>0</v>
      </c>
      <c r="AQ433" s="11">
        <v>0.3</v>
      </c>
      <c r="AR433" s="11">
        <v>0.3</v>
      </c>
      <c r="AS433" s="11">
        <v>1.0720000000000001</v>
      </c>
      <c r="AT433" s="11">
        <v>0.109</v>
      </c>
      <c r="AU433" s="11">
        <v>0.91500000000000004</v>
      </c>
      <c r="AV433" s="11">
        <v>2.379</v>
      </c>
      <c r="AW433" s="11">
        <v>0.82499999999999996</v>
      </c>
      <c r="AX433" s="9">
        <f>Tabelle1[[#This Row],[Vitamin D3 '[µg/100g']]]*40</f>
        <v>12</v>
      </c>
      <c r="AY433" s="9">
        <f>Tabelle1[[#This Row],[Vitamin A '[µg/100g']]]*3.33</f>
        <v>622.71</v>
      </c>
      <c r="AZ433" s="9">
        <f>Tabelle1[[#This Row],[Vitamin E '[mg/100g']]]*1.49</f>
        <v>0.68540000000000001</v>
      </c>
    </row>
    <row r="434" spans="1:52" hidden="1" x14ac:dyDescent="0.45">
      <c r="A434" t="s">
        <v>641</v>
      </c>
      <c r="B434" s="3" t="s">
        <v>601</v>
      </c>
      <c r="C434" s="4" t="s">
        <v>602</v>
      </c>
      <c r="D434" s="11">
        <v>268</v>
      </c>
      <c r="E434" s="11">
        <f>Tabelle1[[#This Row],[Energie '[kcal/100g']]]/239</f>
        <v>1.1213389121338913</v>
      </c>
      <c r="F434" s="11">
        <v>21.878</v>
      </c>
      <c r="G434" s="11">
        <f>Tabelle1[[#This Row],[Rohprotein '[g/100g']]]*0.85</f>
        <v>18.596299999999999</v>
      </c>
      <c r="H434" s="11">
        <v>19.7</v>
      </c>
      <c r="I434" s="11">
        <f>Tabelle1[[#This Row],[TS]]-Tabelle1[[#This Row],[Rohprotein '[g/100g']]]-Tabelle1[[#This Row],[Rohfett '[g/100g']]]-Tabelle1[[#This Row],[Rohasche '[g/100g']]]-Tabelle1[[#This Row],[Rohfaser '[g/100g']]]</f>
        <v>2.5520000000000005</v>
      </c>
      <c r="J434" s="11">
        <v>0</v>
      </c>
      <c r="K434" s="11">
        <v>3.87</v>
      </c>
      <c r="L434" s="11">
        <v>52</v>
      </c>
      <c r="M434" s="11">
        <f>100-Tabelle1[[#This Row],[Wasser '[g/100g']]]</f>
        <v>48</v>
      </c>
      <c r="N434" s="11">
        <v>401</v>
      </c>
      <c r="O434" s="11">
        <v>301</v>
      </c>
      <c r="P434" s="11">
        <v>30</v>
      </c>
      <c r="Q434" s="11">
        <v>1405</v>
      </c>
      <c r="R434" s="11">
        <v>100</v>
      </c>
      <c r="S434" s="11"/>
      <c r="T434" s="11">
        <v>0.40100000000000002</v>
      </c>
      <c r="U434" s="11">
        <v>3.0110000000000001</v>
      </c>
      <c r="V434" s="11">
        <v>0</v>
      </c>
      <c r="W434" s="11">
        <v>80</v>
      </c>
      <c r="X434" s="11">
        <v>30</v>
      </c>
      <c r="Y434" s="11">
        <v>20</v>
      </c>
      <c r="Z434" s="11"/>
      <c r="AA434" s="11">
        <v>0.39</v>
      </c>
      <c r="AB434" s="11">
        <v>0.6</v>
      </c>
      <c r="AC434" s="11">
        <v>240</v>
      </c>
      <c r="AD434" s="11">
        <v>0.05</v>
      </c>
      <c r="AE434" s="11">
        <v>0.35099999999999998</v>
      </c>
      <c r="AF434" s="11">
        <v>0.1</v>
      </c>
      <c r="AG434" s="11">
        <v>60</v>
      </c>
      <c r="AH434" s="11">
        <v>2</v>
      </c>
      <c r="AI434" s="11">
        <v>1</v>
      </c>
      <c r="AJ434" s="11">
        <v>15.85</v>
      </c>
      <c r="AK434" s="11">
        <v>18</v>
      </c>
      <c r="AL434" s="11">
        <v>3</v>
      </c>
      <c r="AM434" s="11">
        <v>0</v>
      </c>
      <c r="AN434" s="11">
        <v>0.1</v>
      </c>
      <c r="AO434" s="11">
        <v>0</v>
      </c>
      <c r="AP434" s="11">
        <v>0</v>
      </c>
      <c r="AQ434" s="11">
        <v>0.3</v>
      </c>
      <c r="AR434" s="11">
        <v>0.3</v>
      </c>
      <c r="AS434" s="11">
        <v>0.88400000000000001</v>
      </c>
      <c r="AT434" s="11">
        <v>0.09</v>
      </c>
      <c r="AU434" s="11">
        <v>0.755</v>
      </c>
      <c r="AV434" s="11">
        <v>1.962</v>
      </c>
      <c r="AW434" s="11">
        <v>0.68</v>
      </c>
      <c r="AX434" s="9">
        <f>Tabelle1[[#This Row],[Vitamin D3 '[µg/100g']]]*40</f>
        <v>15.600000000000001</v>
      </c>
      <c r="AY434" s="9">
        <f>Tabelle1[[#This Row],[Vitamin A '[µg/100g']]]*3.33</f>
        <v>799.2</v>
      </c>
      <c r="AZ434" s="9">
        <f>Tabelle1[[#This Row],[Vitamin E '[mg/100g']]]*1.49</f>
        <v>0.89400000000000002</v>
      </c>
    </row>
    <row r="435" spans="1:52" hidden="1" x14ac:dyDescent="0.45">
      <c r="A435" t="s">
        <v>641</v>
      </c>
      <c r="B435" s="5" t="s">
        <v>603</v>
      </c>
      <c r="C435" s="6" t="s">
        <v>604</v>
      </c>
      <c r="D435" s="13">
        <v>316</v>
      </c>
      <c r="E435" s="11">
        <f>Tabelle1[[#This Row],[Energie '[kcal/100g']]]/239</f>
        <v>1.3221757322175731</v>
      </c>
      <c r="F435" s="13">
        <v>21.46</v>
      </c>
      <c r="G435" s="11">
        <f>Tabelle1[[#This Row],[Rohprotein '[g/100g']]]*0.85</f>
        <v>18.241</v>
      </c>
      <c r="H435" s="13">
        <v>25.06</v>
      </c>
      <c r="I435" s="11">
        <f>Tabelle1[[#This Row],[TS]]-Tabelle1[[#This Row],[Rohprotein '[g/100g']]]-Tabelle1[[#This Row],[Rohfett '[g/100g']]]-Tabelle1[[#This Row],[Rohasche '[g/100g']]]-Tabelle1[[#This Row],[Rohfaser '[g/100g']]]</f>
        <v>2.4199999999999977</v>
      </c>
      <c r="J435" s="11">
        <v>0</v>
      </c>
      <c r="K435" s="13">
        <v>3.86</v>
      </c>
      <c r="L435" s="13">
        <v>47.2</v>
      </c>
      <c r="M435" s="13">
        <f>100-Tabelle1[[#This Row],[Wasser '[g/100g']]]</f>
        <v>52.8</v>
      </c>
      <c r="N435" s="13">
        <v>659.5</v>
      </c>
      <c r="O435" s="13">
        <v>419.5</v>
      </c>
      <c r="P435" s="13">
        <v>25.1</v>
      </c>
      <c r="Q435" s="13">
        <v>626.5</v>
      </c>
      <c r="R435" s="13">
        <v>66.2</v>
      </c>
      <c r="S435" s="13"/>
      <c r="T435" s="13">
        <v>0.12</v>
      </c>
      <c r="U435" s="13">
        <v>2.82</v>
      </c>
      <c r="V435" s="11">
        <v>0</v>
      </c>
      <c r="W435" s="13">
        <v>34</v>
      </c>
      <c r="X435" s="13">
        <v>17</v>
      </c>
      <c r="Y435" s="13">
        <v>10.44</v>
      </c>
      <c r="Z435" s="13"/>
      <c r="AA435" s="13">
        <v>0</v>
      </c>
      <c r="AB435" s="13">
        <v>0.56000000000000005</v>
      </c>
      <c r="AC435" s="13">
        <v>226</v>
      </c>
      <c r="AD435" s="13">
        <v>0</v>
      </c>
      <c r="AE435" s="13">
        <v>0.28000000000000003</v>
      </c>
      <c r="AF435" s="13">
        <v>0.06</v>
      </c>
      <c r="AG435" s="13">
        <v>0</v>
      </c>
      <c r="AH435" s="13">
        <v>1.75</v>
      </c>
      <c r="AI435" s="13">
        <v>0</v>
      </c>
      <c r="AJ435" s="13">
        <v>15.85</v>
      </c>
      <c r="AK435" s="13">
        <v>20</v>
      </c>
      <c r="AL435" s="13">
        <v>1.1000000000000001</v>
      </c>
      <c r="AM435" s="13">
        <v>0</v>
      </c>
      <c r="AN435" s="13">
        <v>0.121</v>
      </c>
      <c r="AO435" s="13">
        <v>0</v>
      </c>
      <c r="AP435" s="13">
        <v>0</v>
      </c>
      <c r="AQ435" s="13">
        <v>0.45</v>
      </c>
      <c r="AR435" s="13">
        <v>0.45</v>
      </c>
      <c r="AS435" s="13">
        <v>0.86599999999999999</v>
      </c>
      <c r="AT435" s="13">
        <v>8.8999999999999996E-2</v>
      </c>
      <c r="AU435" s="13">
        <v>0.74</v>
      </c>
      <c r="AV435" s="13">
        <v>1.925</v>
      </c>
      <c r="AW435" s="13">
        <v>0.66800000000000004</v>
      </c>
      <c r="AX435" s="9">
        <f>Tabelle1[[#This Row],[Vitamin D3 '[µg/100g']]]*40</f>
        <v>0</v>
      </c>
      <c r="AY435" s="9">
        <f>Tabelle1[[#This Row],[Vitamin A '[µg/100g']]]*3.33</f>
        <v>752.58</v>
      </c>
      <c r="AZ435" s="9">
        <f>Tabelle1[[#This Row],[Vitamin E '[mg/100g']]]*1.49</f>
        <v>0.83440000000000003</v>
      </c>
    </row>
    <row r="436" spans="1:52" hidden="1" x14ac:dyDescent="0.45">
      <c r="A436" t="s">
        <v>641</v>
      </c>
      <c r="B436" s="5" t="s">
        <v>605</v>
      </c>
      <c r="C436" s="6" t="s">
        <v>606</v>
      </c>
      <c r="D436" s="13">
        <v>329</v>
      </c>
      <c r="E436" s="11">
        <f>Tabelle1[[#This Row],[Energie '[kcal/100g']]]/239</f>
        <v>1.3765690376569037</v>
      </c>
      <c r="F436" s="13">
        <v>19.913</v>
      </c>
      <c r="G436" s="11">
        <f>Tabelle1[[#This Row],[Rohprotein '[g/100g']]]*0.85</f>
        <v>16.92605</v>
      </c>
      <c r="H436" s="13">
        <v>27.3</v>
      </c>
      <c r="I436" s="11">
        <f>Tabelle1[[#This Row],[TS]]-Tabelle1[[#This Row],[Rohprotein '[g/100g']]]-Tabelle1[[#This Row],[Rohfett '[g/100g']]]-Tabelle1[[#This Row],[Rohasche '[g/100g']]]-Tabelle1[[#This Row],[Rohfaser '[g/100g']]]</f>
        <v>0.94700000000000273</v>
      </c>
      <c r="J436" s="11">
        <v>0</v>
      </c>
      <c r="K436" s="13">
        <v>3.84</v>
      </c>
      <c r="L436" s="13">
        <v>48</v>
      </c>
      <c r="M436" s="13">
        <f>100-Tabelle1[[#This Row],[Wasser '[g/100g']]]</f>
        <v>52</v>
      </c>
      <c r="N436" s="13">
        <v>398</v>
      </c>
      <c r="O436" s="13">
        <v>299</v>
      </c>
      <c r="P436" s="13">
        <v>30</v>
      </c>
      <c r="Q436" s="13">
        <v>1394</v>
      </c>
      <c r="R436" s="13">
        <v>100</v>
      </c>
      <c r="S436" s="13"/>
      <c r="T436" s="13">
        <v>0.39800000000000002</v>
      </c>
      <c r="U436" s="13">
        <v>2.9870000000000001</v>
      </c>
      <c r="V436" s="11">
        <v>0</v>
      </c>
      <c r="W436" s="13">
        <v>80</v>
      </c>
      <c r="X436" s="13">
        <v>30</v>
      </c>
      <c r="Y436" s="13">
        <v>20</v>
      </c>
      <c r="Z436" s="13"/>
      <c r="AA436" s="13">
        <v>0.55000000000000004</v>
      </c>
      <c r="AB436" s="13">
        <v>0.56599999999999995</v>
      </c>
      <c r="AC436" s="13">
        <v>330</v>
      </c>
      <c r="AD436" s="13">
        <v>0.05</v>
      </c>
      <c r="AE436" s="13">
        <v>0.34799999999999998</v>
      </c>
      <c r="AF436" s="13">
        <v>0.1</v>
      </c>
      <c r="AG436" s="13">
        <v>60</v>
      </c>
      <c r="AH436" s="13">
        <v>2</v>
      </c>
      <c r="AI436" s="13">
        <v>1</v>
      </c>
      <c r="AJ436" s="13">
        <v>16.03</v>
      </c>
      <c r="AK436" s="13">
        <v>18</v>
      </c>
      <c r="AL436" s="13">
        <v>3</v>
      </c>
      <c r="AM436" s="13">
        <v>0</v>
      </c>
      <c r="AN436" s="13">
        <v>0.2</v>
      </c>
      <c r="AO436" s="13">
        <v>0</v>
      </c>
      <c r="AP436" s="13">
        <v>0</v>
      </c>
      <c r="AQ436" s="13">
        <v>0.5</v>
      </c>
      <c r="AR436" s="13">
        <v>0.5</v>
      </c>
      <c r="AS436" s="13">
        <v>0.80400000000000005</v>
      </c>
      <c r="AT436" s="13">
        <v>8.2000000000000003E-2</v>
      </c>
      <c r="AU436" s="13">
        <v>0.68700000000000006</v>
      </c>
      <c r="AV436" s="13">
        <v>1.786</v>
      </c>
      <c r="AW436" s="13">
        <v>0.61899999999999999</v>
      </c>
      <c r="AX436" s="9">
        <f>Tabelle1[[#This Row],[Vitamin D3 '[µg/100g']]]*40</f>
        <v>22</v>
      </c>
      <c r="AY436" s="9">
        <f>Tabelle1[[#This Row],[Vitamin A '[µg/100g']]]*3.33</f>
        <v>1098.9000000000001</v>
      </c>
      <c r="AZ436" s="9">
        <f>Tabelle1[[#This Row],[Vitamin E '[mg/100g']]]*1.49</f>
        <v>0.84333999999999987</v>
      </c>
    </row>
    <row r="437" spans="1:52" hidden="1" x14ac:dyDescent="0.45">
      <c r="A437" t="s">
        <v>641</v>
      </c>
      <c r="B437" s="3" t="s">
        <v>607</v>
      </c>
      <c r="C437" s="4" t="s">
        <v>608</v>
      </c>
      <c r="D437" s="11">
        <v>384</v>
      </c>
      <c r="E437" s="11">
        <f>Tabelle1[[#This Row],[Energie '[kcal/100g']]]/239</f>
        <v>1.606694560669456</v>
      </c>
      <c r="F437" s="11">
        <v>17</v>
      </c>
      <c r="G437" s="11">
        <f>Tabelle1[[#This Row],[Rohprotein '[g/100g']]]*0.85</f>
        <v>14.45</v>
      </c>
      <c r="H437" s="11">
        <v>34.700000000000003</v>
      </c>
      <c r="I437" s="11">
        <f>Tabelle1[[#This Row],[TS]]-Tabelle1[[#This Row],[Rohprotein '[g/100g']]]-Tabelle1[[#This Row],[Rohfett '[g/100g']]]-Tabelle1[[#This Row],[Rohasche '[g/100g']]]-Tabelle1[[#This Row],[Rohfaser '[g/100g']]]</f>
        <v>0.43999999999999728</v>
      </c>
      <c r="J437" s="11">
        <v>0</v>
      </c>
      <c r="K437" s="11">
        <v>3.86</v>
      </c>
      <c r="L437" s="11">
        <v>44</v>
      </c>
      <c r="M437" s="11">
        <f>100-Tabelle1[[#This Row],[Wasser '[g/100g']]]</f>
        <v>56</v>
      </c>
      <c r="N437" s="11">
        <v>1013.95</v>
      </c>
      <c r="O437" s="11">
        <v>656.12</v>
      </c>
      <c r="P437" s="11">
        <v>37.619999999999997</v>
      </c>
      <c r="Q437" s="11">
        <v>792</v>
      </c>
      <c r="R437" s="11">
        <v>120.65</v>
      </c>
      <c r="S437" s="11"/>
      <c r="T437" s="11">
        <v>0.23</v>
      </c>
      <c r="U437" s="11">
        <v>4.75</v>
      </c>
      <c r="V437" s="11">
        <v>0</v>
      </c>
      <c r="W437" s="11">
        <v>40</v>
      </c>
      <c r="X437" s="11">
        <v>30</v>
      </c>
      <c r="Y437" s="11">
        <v>17.760000000000002</v>
      </c>
      <c r="Z437" s="11"/>
      <c r="AA437" s="11">
        <v>0.7</v>
      </c>
      <c r="AB437" s="11">
        <v>1</v>
      </c>
      <c r="AC437" s="11">
        <v>415</v>
      </c>
      <c r="AD437" s="11">
        <v>0.05</v>
      </c>
      <c r="AE437" s="11">
        <v>0.3</v>
      </c>
      <c r="AF437" s="11">
        <v>0.1</v>
      </c>
      <c r="AG437" s="11">
        <v>60</v>
      </c>
      <c r="AH437" s="11">
        <v>2</v>
      </c>
      <c r="AI437" s="11">
        <v>1</v>
      </c>
      <c r="AJ437" s="11">
        <v>15.85</v>
      </c>
      <c r="AK437" s="11">
        <v>18</v>
      </c>
      <c r="AL437" s="11">
        <v>2.5</v>
      </c>
      <c r="AM437" s="11">
        <v>0</v>
      </c>
      <c r="AN437" s="11">
        <v>0.156</v>
      </c>
      <c r="AO437" s="11">
        <v>0</v>
      </c>
      <c r="AP437" s="11">
        <v>0</v>
      </c>
      <c r="AQ437" s="11">
        <v>0.58599999999999997</v>
      </c>
      <c r="AR437" s="11">
        <v>0.58599999999999997</v>
      </c>
      <c r="AS437" s="11">
        <v>0.627</v>
      </c>
      <c r="AT437" s="11">
        <v>8.3000000000000004E-2</v>
      </c>
      <c r="AU437" s="11">
        <v>0.55200000000000005</v>
      </c>
      <c r="AV437" s="11">
        <v>1.482</v>
      </c>
      <c r="AW437" s="11">
        <v>0.46100000000000002</v>
      </c>
      <c r="AX437" s="9">
        <f>Tabelle1[[#This Row],[Vitamin D3 '[µg/100g']]]*40</f>
        <v>28</v>
      </c>
      <c r="AY437" s="9">
        <f>Tabelle1[[#This Row],[Vitamin A '[µg/100g']]]*3.33</f>
        <v>1381.95</v>
      </c>
      <c r="AZ437" s="9">
        <f>Tabelle1[[#This Row],[Vitamin E '[mg/100g']]]*1.49</f>
        <v>1.49</v>
      </c>
    </row>
    <row r="438" spans="1:52" hidden="1" x14ac:dyDescent="0.45">
      <c r="A438" t="s">
        <v>641</v>
      </c>
      <c r="B438" s="3" t="s">
        <v>609</v>
      </c>
      <c r="C438" s="4" t="s">
        <v>610</v>
      </c>
      <c r="D438" s="11">
        <v>242</v>
      </c>
      <c r="E438" s="11">
        <f>Tabelle1[[#This Row],[Energie '[kcal/100g']]]/239</f>
        <v>1.0125523012552302</v>
      </c>
      <c r="F438" s="11">
        <v>33.799999999999997</v>
      </c>
      <c r="G438" s="11">
        <f>Tabelle1[[#This Row],[Rohprotein '[g/100g']]]*0.85</f>
        <v>28.729999999999997</v>
      </c>
      <c r="H438" s="11">
        <v>11.4</v>
      </c>
      <c r="I438" s="11">
        <f>Tabelle1[[#This Row],[TS]]-Tabelle1[[#This Row],[Rohprotein '[g/100g']]]-Tabelle1[[#This Row],[Rohfett '[g/100g']]]-Tabelle1[[#This Row],[Rohasche '[g/100g']]]-Tabelle1[[#This Row],[Rohfaser '[g/100g']]]</f>
        <v>1.8999999999999995</v>
      </c>
      <c r="J438" s="11">
        <v>0</v>
      </c>
      <c r="K438" s="11">
        <v>4.7</v>
      </c>
      <c r="L438" s="11">
        <v>48.2</v>
      </c>
      <c r="M438" s="11">
        <f>100-Tabelle1[[#This Row],[Wasser '[g/100g']]]</f>
        <v>51.8</v>
      </c>
      <c r="N438" s="11">
        <v>1090</v>
      </c>
      <c r="O438" s="11">
        <v>730</v>
      </c>
      <c r="P438" s="11">
        <v>35.5</v>
      </c>
      <c r="Q438" s="11">
        <v>810</v>
      </c>
      <c r="R438" s="11">
        <v>120</v>
      </c>
      <c r="S438" s="11"/>
      <c r="T438" s="11">
        <v>0.188</v>
      </c>
      <c r="U438" s="11">
        <v>2.5099999999999998</v>
      </c>
      <c r="V438" s="11">
        <v>0</v>
      </c>
      <c r="W438" s="11">
        <v>115</v>
      </c>
      <c r="X438" s="11">
        <v>51</v>
      </c>
      <c r="Y438" s="11">
        <v>24</v>
      </c>
      <c r="Z438" s="11"/>
      <c r="AA438" s="11">
        <v>0.63</v>
      </c>
      <c r="AB438" s="11">
        <v>0.9</v>
      </c>
      <c r="AC438" s="11">
        <v>382</v>
      </c>
      <c r="AD438" s="11">
        <v>0.04</v>
      </c>
      <c r="AE438" s="11">
        <v>0.44</v>
      </c>
      <c r="AF438" s="11">
        <v>0.1</v>
      </c>
      <c r="AG438" s="11">
        <v>70</v>
      </c>
      <c r="AH438" s="11">
        <v>1</v>
      </c>
      <c r="AI438" s="11">
        <v>0.875</v>
      </c>
      <c r="AJ438" s="11">
        <v>20</v>
      </c>
      <c r="AK438" s="11">
        <v>15</v>
      </c>
      <c r="AL438" s="11">
        <v>3</v>
      </c>
      <c r="AM438" s="11">
        <v>4.0000000000000002E-4</v>
      </c>
      <c r="AN438" s="11">
        <v>5.0999999999999997E-2</v>
      </c>
      <c r="AO438" s="11">
        <v>0</v>
      </c>
      <c r="AP438" s="11">
        <v>0</v>
      </c>
      <c r="AQ438" s="11">
        <v>0.193</v>
      </c>
      <c r="AR438" s="11">
        <v>0.193</v>
      </c>
      <c r="AS438" s="11">
        <v>1.0109999999999999</v>
      </c>
      <c r="AT438" s="11">
        <v>0</v>
      </c>
      <c r="AU438" s="11">
        <v>0.86899999999999999</v>
      </c>
      <c r="AV438" s="11">
        <v>2.778</v>
      </c>
      <c r="AW438" s="11">
        <v>1.0209999999999999</v>
      </c>
      <c r="AX438" s="9">
        <f>Tabelle1[[#This Row],[Vitamin D3 '[µg/100g']]]*40</f>
        <v>25.2</v>
      </c>
      <c r="AY438" s="9">
        <f>Tabelle1[[#This Row],[Vitamin A '[µg/100g']]]*3.33</f>
        <v>1272.06</v>
      </c>
      <c r="AZ438" s="9">
        <f>Tabelle1[[#This Row],[Vitamin E '[mg/100g']]]*1.49</f>
        <v>1.341</v>
      </c>
    </row>
    <row r="439" spans="1:52" hidden="1" x14ac:dyDescent="0.45">
      <c r="A439" t="s">
        <v>641</v>
      </c>
      <c r="B439" s="5" t="s">
        <v>611</v>
      </c>
      <c r="C439" s="6" t="s">
        <v>612</v>
      </c>
      <c r="D439" s="13">
        <v>266</v>
      </c>
      <c r="E439" s="11">
        <f>Tabelle1[[#This Row],[Energie '[kcal/100g']]]/239</f>
        <v>1.112970711297071</v>
      </c>
      <c r="F439" s="13">
        <v>27.882000000000001</v>
      </c>
      <c r="G439" s="11">
        <f>Tabelle1[[#This Row],[Rohprotein '[g/100g']]]*0.85</f>
        <v>23.6997</v>
      </c>
      <c r="H439" s="13">
        <v>16.8</v>
      </c>
      <c r="I439" s="11">
        <f>Tabelle1[[#This Row],[TS]]-Tabelle1[[#This Row],[Rohprotein '[g/100g']]]-Tabelle1[[#This Row],[Rohfett '[g/100g']]]-Tabelle1[[#This Row],[Rohasche '[g/100g']]]-Tabelle1[[#This Row],[Rohfaser '[g/100g']]]</f>
        <v>1.734</v>
      </c>
      <c r="J439" s="11">
        <v>0</v>
      </c>
      <c r="K439" s="13">
        <v>4.7720000000000002</v>
      </c>
      <c r="L439" s="13">
        <v>48.811999999999998</v>
      </c>
      <c r="M439" s="13">
        <f>100-Tabelle1[[#This Row],[Wasser '[g/100g']]]</f>
        <v>51.188000000000002</v>
      </c>
      <c r="N439" s="13">
        <v>795</v>
      </c>
      <c r="O439" s="13">
        <v>567</v>
      </c>
      <c r="P439" s="13">
        <v>34</v>
      </c>
      <c r="Q439" s="13">
        <v>509</v>
      </c>
      <c r="R439" s="13">
        <v>94</v>
      </c>
      <c r="S439" s="13"/>
      <c r="T439" s="13">
        <v>0.29299999999999998</v>
      </c>
      <c r="U439" s="13">
        <v>5.2690000000000001</v>
      </c>
      <c r="V439" s="11">
        <v>0</v>
      </c>
      <c r="W439" s="13">
        <v>54</v>
      </c>
      <c r="X439" s="13">
        <v>39</v>
      </c>
      <c r="Y439" s="13">
        <v>5.3</v>
      </c>
      <c r="Z439" s="13"/>
      <c r="AA439" s="13">
        <v>0.33</v>
      </c>
      <c r="AB439" s="13">
        <v>0.42899999999999999</v>
      </c>
      <c r="AC439" s="13">
        <v>172</v>
      </c>
      <c r="AD439" s="13">
        <v>0.06</v>
      </c>
      <c r="AE439" s="13">
        <v>0.34799999999999998</v>
      </c>
      <c r="AF439" s="13">
        <v>9.9000000000000005E-2</v>
      </c>
      <c r="AG439" s="13">
        <v>68</v>
      </c>
      <c r="AH439" s="13">
        <v>2.2000000000000002</v>
      </c>
      <c r="AI439" s="13">
        <v>1.054</v>
      </c>
      <c r="AJ439" s="13">
        <v>70.900000000000006</v>
      </c>
      <c r="AK439" s="13">
        <v>40</v>
      </c>
      <c r="AL439" s="13">
        <v>1.7</v>
      </c>
      <c r="AM439" s="13">
        <v>0</v>
      </c>
      <c r="AN439" s="13">
        <v>0.1</v>
      </c>
      <c r="AO439" s="13">
        <v>0</v>
      </c>
      <c r="AP439" s="13">
        <v>0</v>
      </c>
      <c r="AQ439" s="13">
        <v>0.3</v>
      </c>
      <c r="AR439" s="13">
        <v>0.3</v>
      </c>
      <c r="AS439" s="13">
        <v>1.0289999999999999</v>
      </c>
      <c r="AT439" s="13">
        <v>0.13700000000000001</v>
      </c>
      <c r="AU439" s="13">
        <v>0.90600000000000003</v>
      </c>
      <c r="AV439" s="13">
        <v>2.431</v>
      </c>
      <c r="AW439" s="13">
        <v>0.75600000000000001</v>
      </c>
      <c r="AX439" s="9">
        <f>Tabelle1[[#This Row],[Vitamin D3 '[µg/100g']]]*40</f>
        <v>13.200000000000001</v>
      </c>
      <c r="AY439" s="9">
        <f>Tabelle1[[#This Row],[Vitamin A '[µg/100g']]]*3.33</f>
        <v>572.76</v>
      </c>
      <c r="AZ439" s="9">
        <f>Tabelle1[[#This Row],[Vitamin E '[mg/100g']]]*1.49</f>
        <v>0.63920999999999994</v>
      </c>
    </row>
    <row r="440" spans="1:52" hidden="1" x14ac:dyDescent="0.45">
      <c r="A440" t="s">
        <v>641</v>
      </c>
      <c r="B440" s="3" t="s">
        <v>613</v>
      </c>
      <c r="C440" s="4" t="s">
        <v>614</v>
      </c>
      <c r="D440" s="11">
        <v>317</v>
      </c>
      <c r="E440" s="11">
        <f>Tabelle1[[#This Row],[Energie '[kcal/100g']]]/239</f>
        <v>1.3263598326359833</v>
      </c>
      <c r="F440" s="11">
        <v>25.86</v>
      </c>
      <c r="G440" s="11">
        <f>Tabelle1[[#This Row],[Rohprotein '[g/100g']]]*0.85</f>
        <v>21.980999999999998</v>
      </c>
      <c r="H440" s="11">
        <v>23.4</v>
      </c>
      <c r="I440" s="11">
        <f>Tabelle1[[#This Row],[TS]]-Tabelle1[[#This Row],[Rohprotein '[g/100g']]]-Tabelle1[[#This Row],[Rohfett '[g/100g']]]-Tabelle1[[#This Row],[Rohasche '[g/100g']]]-Tabelle1[[#This Row],[Rohfaser '[g/100g']]]</f>
        <v>1.238999999999999</v>
      </c>
      <c r="J440" s="11">
        <v>0</v>
      </c>
      <c r="K440" s="11">
        <v>4.6820000000000004</v>
      </c>
      <c r="L440" s="11">
        <v>44.819000000000003</v>
      </c>
      <c r="M440" s="11">
        <f>100-Tabelle1[[#This Row],[Wasser '[g/100g']]]</f>
        <v>55.180999999999997</v>
      </c>
      <c r="N440" s="11">
        <v>793</v>
      </c>
      <c r="O440" s="11">
        <v>498</v>
      </c>
      <c r="P440" s="11">
        <v>31</v>
      </c>
      <c r="Q440" s="11">
        <v>770</v>
      </c>
      <c r="R440" s="11">
        <v>105</v>
      </c>
      <c r="S440" s="11"/>
      <c r="T440" s="11">
        <v>0.27</v>
      </c>
      <c r="U440" s="11">
        <v>4.9020000000000001</v>
      </c>
      <c r="V440" s="11">
        <v>0</v>
      </c>
      <c r="W440" s="11">
        <v>49</v>
      </c>
      <c r="X440" s="11">
        <v>36</v>
      </c>
      <c r="Y440" s="11">
        <v>5</v>
      </c>
      <c r="Z440" s="11"/>
      <c r="AA440" s="11">
        <v>0.28999999999999998</v>
      </c>
      <c r="AB440" s="11">
        <v>0.34</v>
      </c>
      <c r="AC440" s="11">
        <v>240</v>
      </c>
      <c r="AD440" s="11">
        <v>4.8000000000000001E-2</v>
      </c>
      <c r="AE440" s="11">
        <v>0.37</v>
      </c>
      <c r="AF440" s="11">
        <v>7.0000000000000007E-2</v>
      </c>
      <c r="AG440" s="11">
        <v>73</v>
      </c>
      <c r="AH440" s="11">
        <v>1.9</v>
      </c>
      <c r="AI440" s="11">
        <v>1.06</v>
      </c>
      <c r="AJ440" s="11">
        <v>68.400000000000006</v>
      </c>
      <c r="AK440" s="11">
        <v>20</v>
      </c>
      <c r="AL440" s="11">
        <v>2</v>
      </c>
      <c r="AM440" s="11">
        <v>0</v>
      </c>
      <c r="AN440" s="11">
        <v>0.1</v>
      </c>
      <c r="AO440" s="11">
        <v>0</v>
      </c>
      <c r="AP440" s="11">
        <v>0</v>
      </c>
      <c r="AQ440" s="11">
        <v>0.4</v>
      </c>
      <c r="AR440" s="11">
        <v>0.4</v>
      </c>
      <c r="AS440" s="11">
        <v>0.95</v>
      </c>
      <c r="AT440" s="11">
        <v>0.13</v>
      </c>
      <c r="AU440" s="11">
        <v>0.84</v>
      </c>
      <c r="AV440" s="11">
        <v>2.2599999999999998</v>
      </c>
      <c r="AW440" s="11">
        <v>0.7</v>
      </c>
      <c r="AX440" s="9">
        <f>Tabelle1[[#This Row],[Vitamin D3 '[µg/100g']]]*40</f>
        <v>11.6</v>
      </c>
      <c r="AY440" s="9">
        <f>Tabelle1[[#This Row],[Vitamin A '[µg/100g']]]*3.33</f>
        <v>799.2</v>
      </c>
      <c r="AZ440" s="9">
        <f>Tabelle1[[#This Row],[Vitamin E '[mg/100g']]]*1.49</f>
        <v>0.50660000000000005</v>
      </c>
    </row>
    <row r="441" spans="1:52" hidden="1" x14ac:dyDescent="0.45">
      <c r="A441" t="s">
        <v>641</v>
      </c>
      <c r="B441" s="5" t="s">
        <v>615</v>
      </c>
      <c r="C441" s="6" t="s">
        <v>616</v>
      </c>
      <c r="D441" s="13">
        <v>337</v>
      </c>
      <c r="E441" s="11">
        <f>Tabelle1[[#This Row],[Energie '[kcal/100g']]]/239</f>
        <v>1.4100418410041842</v>
      </c>
      <c r="F441" s="13">
        <v>25.22</v>
      </c>
      <c r="G441" s="11">
        <f>Tabelle1[[#This Row],[Rohprotein '[g/100g']]]*0.85</f>
        <v>21.436999999999998</v>
      </c>
      <c r="H441" s="13">
        <v>26.04</v>
      </c>
      <c r="I441" s="11">
        <f>Tabelle1[[#This Row],[TS]]-Tabelle1[[#This Row],[Rohprotein '[g/100g']]]-Tabelle1[[#This Row],[Rohfett '[g/100g']]]-Tabelle1[[#This Row],[Rohasche '[g/100g']]]-Tabelle1[[#This Row],[Rohfaser '[g/100g']]]</f>
        <v>-0.29000000000000092</v>
      </c>
      <c r="J441" s="11">
        <v>0</v>
      </c>
      <c r="K441" s="13">
        <v>3.83</v>
      </c>
      <c r="L441" s="13">
        <v>45.2</v>
      </c>
      <c r="M441" s="13">
        <f>100-Tabelle1[[#This Row],[Wasser '[g/100g']]]</f>
        <v>54.8</v>
      </c>
      <c r="N441" s="13">
        <v>776</v>
      </c>
      <c r="O441" s="13">
        <v>512</v>
      </c>
      <c r="P441" s="13">
        <v>30.2</v>
      </c>
      <c r="Q441" s="13">
        <v>539.5</v>
      </c>
      <c r="R441" s="13">
        <v>63.2</v>
      </c>
      <c r="S441" s="13"/>
      <c r="T441" s="13">
        <v>0.125</v>
      </c>
      <c r="U441" s="13">
        <v>3.13</v>
      </c>
      <c r="V441" s="11">
        <v>0</v>
      </c>
      <c r="W441" s="13">
        <v>34</v>
      </c>
      <c r="X441" s="13">
        <v>20</v>
      </c>
      <c r="Y441" s="13">
        <v>10.44</v>
      </c>
      <c r="Z441" s="13"/>
      <c r="AA441" s="13">
        <v>0</v>
      </c>
      <c r="AB441" s="13">
        <v>0.73</v>
      </c>
      <c r="AC441" s="13">
        <v>265</v>
      </c>
      <c r="AD441" s="13">
        <v>0.04</v>
      </c>
      <c r="AE441" s="13">
        <v>0.28000000000000003</v>
      </c>
      <c r="AF441" s="13">
        <v>0</v>
      </c>
      <c r="AG441" s="13">
        <v>0</v>
      </c>
      <c r="AH441" s="13">
        <v>0.46</v>
      </c>
      <c r="AI441" s="13">
        <v>0</v>
      </c>
      <c r="AJ441" s="13">
        <v>1.1399999999999999</v>
      </c>
      <c r="AK441" s="13">
        <v>20.8</v>
      </c>
      <c r="AL441" s="13">
        <v>0.72</v>
      </c>
      <c r="AM441" s="13">
        <v>0</v>
      </c>
      <c r="AN441" s="13">
        <v>0.11799999999999999</v>
      </c>
      <c r="AO441" s="13">
        <v>0</v>
      </c>
      <c r="AP441" s="13">
        <v>0</v>
      </c>
      <c r="AQ441" s="13">
        <v>0.43930000000000002</v>
      </c>
      <c r="AR441" s="13">
        <v>0.43930000000000002</v>
      </c>
      <c r="AS441" s="13">
        <v>1.0549999999999999</v>
      </c>
      <c r="AT441" s="13">
        <v>0.106</v>
      </c>
      <c r="AU441" s="13">
        <v>0.88800000000000001</v>
      </c>
      <c r="AV441" s="13">
        <v>2.355</v>
      </c>
      <c r="AW441" s="13">
        <v>0.72199999999999998</v>
      </c>
      <c r="AX441" s="9">
        <f>Tabelle1[[#This Row],[Vitamin D3 '[µg/100g']]]*40</f>
        <v>0</v>
      </c>
      <c r="AY441" s="9">
        <f>Tabelle1[[#This Row],[Vitamin A '[µg/100g']]]*3.33</f>
        <v>882.45</v>
      </c>
      <c r="AZ441" s="9">
        <f>Tabelle1[[#This Row],[Vitamin E '[mg/100g']]]*1.49</f>
        <v>1.0876999999999999</v>
      </c>
    </row>
    <row r="442" spans="1:52" hidden="1" x14ac:dyDescent="0.45">
      <c r="A442" t="s">
        <v>641</v>
      </c>
      <c r="B442" s="5" t="s">
        <v>617</v>
      </c>
      <c r="C442" s="6" t="s">
        <v>618</v>
      </c>
      <c r="D442" s="13">
        <v>375</v>
      </c>
      <c r="E442" s="11">
        <f>Tabelle1[[#This Row],[Energie '[kcal/100g']]]/239</f>
        <v>1.5690376569037656</v>
      </c>
      <c r="F442" s="13">
        <v>24.8</v>
      </c>
      <c r="G442" s="11">
        <f>Tabelle1[[#This Row],[Rohprotein '[g/100g']]]*0.85</f>
        <v>21.08</v>
      </c>
      <c r="H442" s="13">
        <v>30.3</v>
      </c>
      <c r="I442" s="11">
        <f>Tabelle1[[#This Row],[TS]]-Tabelle1[[#This Row],[Rohprotein '[g/100g']]]-Tabelle1[[#This Row],[Rohfett '[g/100g']]]-Tabelle1[[#This Row],[Rohasche '[g/100g']]]-Tabelle1[[#This Row],[Rohfaser '[g/100g']]]</f>
        <v>0.92000000000000526</v>
      </c>
      <c r="J442" s="11">
        <v>0</v>
      </c>
      <c r="K442" s="13">
        <v>4.18</v>
      </c>
      <c r="L442" s="13">
        <v>39.799999999999997</v>
      </c>
      <c r="M442" s="13">
        <f>100-Tabelle1[[#This Row],[Wasser '[g/100g']]]</f>
        <v>60.2</v>
      </c>
      <c r="N442" s="13">
        <v>724</v>
      </c>
      <c r="O442" s="13">
        <v>531</v>
      </c>
      <c r="P442" s="13">
        <v>32</v>
      </c>
      <c r="Q442" s="13">
        <v>594</v>
      </c>
      <c r="R442" s="13">
        <v>143</v>
      </c>
      <c r="S442" s="13"/>
      <c r="T442" s="13">
        <v>0.44</v>
      </c>
      <c r="U442" s="13">
        <v>3.71</v>
      </c>
      <c r="V442" s="11">
        <v>0</v>
      </c>
      <c r="W442" s="13">
        <v>67</v>
      </c>
      <c r="X442" s="13">
        <v>26</v>
      </c>
      <c r="Y442" s="13">
        <v>30</v>
      </c>
      <c r="Z442" s="13"/>
      <c r="AA442" s="13">
        <v>0.6</v>
      </c>
      <c r="AB442" s="13">
        <v>0.86</v>
      </c>
      <c r="AC442" s="13">
        <v>369</v>
      </c>
      <c r="AD442" s="13">
        <v>3.6999999999999998E-2</v>
      </c>
      <c r="AE442" s="13">
        <v>0.38500000000000001</v>
      </c>
      <c r="AF442" s="13">
        <v>8.1000000000000003E-2</v>
      </c>
      <c r="AG442" s="13">
        <v>75</v>
      </c>
      <c r="AH442" s="13">
        <v>1.52</v>
      </c>
      <c r="AI442" s="13">
        <v>0</v>
      </c>
      <c r="AJ442" s="13">
        <v>70</v>
      </c>
      <c r="AK442" s="13">
        <v>24</v>
      </c>
      <c r="AL442" s="13">
        <v>1.4</v>
      </c>
      <c r="AM442" s="13">
        <v>0</v>
      </c>
      <c r="AN442" s="13">
        <v>0.1</v>
      </c>
      <c r="AO442" s="13">
        <v>0</v>
      </c>
      <c r="AP442" s="13">
        <v>0</v>
      </c>
      <c r="AQ442" s="13">
        <v>0.5</v>
      </c>
      <c r="AR442" s="13">
        <v>0.5</v>
      </c>
      <c r="AS442" s="13">
        <v>0.9</v>
      </c>
      <c r="AT442" s="13">
        <v>0.1</v>
      </c>
      <c r="AU442" s="13">
        <v>0.8</v>
      </c>
      <c r="AV442" s="13">
        <v>2.2000000000000002</v>
      </c>
      <c r="AW442" s="13">
        <v>0.7</v>
      </c>
      <c r="AX442" s="9">
        <f>Tabelle1[[#This Row],[Vitamin D3 '[µg/100g']]]*40</f>
        <v>24</v>
      </c>
      <c r="AY442" s="9">
        <f>Tabelle1[[#This Row],[Vitamin A '[µg/100g']]]*3.33</f>
        <v>1228.77</v>
      </c>
      <c r="AZ442" s="9">
        <f>Tabelle1[[#This Row],[Vitamin E '[mg/100g']]]*1.49</f>
        <v>1.2813999999999999</v>
      </c>
    </row>
    <row r="443" spans="1:52" hidden="1" x14ac:dyDescent="0.45">
      <c r="A443" t="s">
        <v>641</v>
      </c>
      <c r="B443" s="5" t="s">
        <v>619</v>
      </c>
      <c r="C443" s="6" t="s">
        <v>620</v>
      </c>
      <c r="D443" s="13">
        <v>419</v>
      </c>
      <c r="E443" s="11">
        <f>Tabelle1[[#This Row],[Energie '[kcal/100g']]]/239</f>
        <v>1.7531380753138075</v>
      </c>
      <c r="F443" s="13">
        <v>19</v>
      </c>
      <c r="G443" s="11">
        <f>Tabelle1[[#This Row],[Rohprotein '[g/100g']]]*0.85</f>
        <v>16.149999999999999</v>
      </c>
      <c r="H443" s="13">
        <v>37.799999999999997</v>
      </c>
      <c r="I443" s="11">
        <f>Tabelle1[[#This Row],[TS]]-Tabelle1[[#This Row],[Rohprotein '[g/100g']]]-Tabelle1[[#This Row],[Rohfett '[g/100g']]]-Tabelle1[[#This Row],[Rohasche '[g/100g']]]-Tabelle1[[#This Row],[Rohfaser '[g/100g']]]</f>
        <v>-0.62999999999999723</v>
      </c>
      <c r="J443" s="11">
        <v>0</v>
      </c>
      <c r="K443" s="13">
        <v>3.83</v>
      </c>
      <c r="L443" s="13">
        <v>40</v>
      </c>
      <c r="M443" s="13">
        <f>100-Tabelle1[[#This Row],[Wasser '[g/100g']]]</f>
        <v>60</v>
      </c>
      <c r="N443" s="13">
        <v>600</v>
      </c>
      <c r="O443" s="13">
        <v>400</v>
      </c>
      <c r="P443" s="13">
        <v>30</v>
      </c>
      <c r="Q443" s="13">
        <v>600</v>
      </c>
      <c r="R443" s="13">
        <v>100</v>
      </c>
      <c r="S443" s="13"/>
      <c r="T443" s="13">
        <v>0.4</v>
      </c>
      <c r="U443" s="13">
        <v>3</v>
      </c>
      <c r="V443" s="11">
        <v>0</v>
      </c>
      <c r="W443" s="13">
        <v>100</v>
      </c>
      <c r="X443" s="13">
        <v>40</v>
      </c>
      <c r="Y443" s="13">
        <v>30</v>
      </c>
      <c r="Z443" s="13"/>
      <c r="AA443" s="13">
        <v>0.76</v>
      </c>
      <c r="AB443" s="13">
        <v>1.1000000000000001</v>
      </c>
      <c r="AC443" s="13">
        <v>458</v>
      </c>
      <c r="AD443" s="13">
        <v>0.04</v>
      </c>
      <c r="AE443" s="13">
        <v>0.3</v>
      </c>
      <c r="AF443" s="13">
        <v>0.1</v>
      </c>
      <c r="AG443" s="13">
        <v>60</v>
      </c>
      <c r="AH443" s="13">
        <v>2</v>
      </c>
      <c r="AI443" s="13">
        <v>0</v>
      </c>
      <c r="AJ443" s="13">
        <v>1.1399999999999999</v>
      </c>
      <c r="AK443" s="13">
        <v>25</v>
      </c>
      <c r="AL443" s="13">
        <v>1.6</v>
      </c>
      <c r="AM443" s="13">
        <v>0</v>
      </c>
      <c r="AN443" s="13">
        <v>0.2</v>
      </c>
      <c r="AO443" s="13">
        <v>0</v>
      </c>
      <c r="AP443" s="13">
        <v>0</v>
      </c>
      <c r="AQ443" s="13">
        <v>0.6</v>
      </c>
      <c r="AR443" s="13">
        <v>0.6</v>
      </c>
      <c r="AS443" s="13">
        <v>0.61899999999999999</v>
      </c>
      <c r="AT443" s="13">
        <v>0.19400000000000001</v>
      </c>
      <c r="AU443" s="13">
        <v>0.71199999999999997</v>
      </c>
      <c r="AV443" s="13">
        <v>1.7290000000000001</v>
      </c>
      <c r="AW443" s="13">
        <v>0.52400000000000002</v>
      </c>
      <c r="AX443" s="9">
        <f>Tabelle1[[#This Row],[Vitamin D3 '[µg/100g']]]*40</f>
        <v>30.4</v>
      </c>
      <c r="AY443" s="9">
        <f>Tabelle1[[#This Row],[Vitamin A '[µg/100g']]]*3.33</f>
        <v>1525.14</v>
      </c>
      <c r="AZ443" s="9">
        <f>Tabelle1[[#This Row],[Vitamin E '[mg/100g']]]*1.49</f>
        <v>1.639</v>
      </c>
    </row>
    <row r="444" spans="1:52" hidden="1" x14ac:dyDescent="0.45">
      <c r="A444" t="s">
        <v>58</v>
      </c>
      <c r="B444" s="3" t="s">
        <v>147</v>
      </c>
      <c r="C444" s="4" t="s">
        <v>148</v>
      </c>
      <c r="D444" s="11">
        <v>364</v>
      </c>
      <c r="E444" s="13">
        <f>Tabelle1[[#This Row],[Energie '[kcal/100g']]]/239</f>
        <v>1.5230125523012552</v>
      </c>
      <c r="F444" s="11">
        <v>22.77</v>
      </c>
      <c r="G444" s="11">
        <f>Tabelle1[[#This Row],[Rohprotein '[g/100g']]]*0.85</f>
        <v>19.354499999999998</v>
      </c>
      <c r="H444" s="11">
        <v>30.34</v>
      </c>
      <c r="I444" s="11">
        <f>Tabelle1[[#This Row],[TS]]-Tabelle1[[#This Row],[Rohprotein '[g/100g']]]-Tabelle1[[#This Row],[Rohfett '[g/100g']]]-Tabelle1[[#This Row],[Rohasche '[g/100g']]]-Tabelle1[[#This Row],[Rohfaser '[g/100g']]]</f>
        <v>0.24999999999999911</v>
      </c>
      <c r="J444" s="11">
        <v>0</v>
      </c>
      <c r="K444" s="11">
        <v>0.79</v>
      </c>
      <c r="L444" s="11">
        <v>45.85</v>
      </c>
      <c r="M444" s="11">
        <f>100-Tabelle1[[#This Row],[Wasser '[g/100g']]]</f>
        <v>54.15</v>
      </c>
      <c r="N444" s="11">
        <v>6</v>
      </c>
      <c r="O444" s="11">
        <v>140.9</v>
      </c>
      <c r="P444" s="11">
        <v>16</v>
      </c>
      <c r="Q444" s="11">
        <v>67.5</v>
      </c>
      <c r="R444" s="11">
        <v>241.8</v>
      </c>
      <c r="S444" s="11"/>
      <c r="T444" s="11">
        <v>0.63300000000000001</v>
      </c>
      <c r="U444" s="11">
        <v>2.0022000000000002</v>
      </c>
      <c r="V444" s="11">
        <v>0</v>
      </c>
      <c r="W444" s="11">
        <v>64.3</v>
      </c>
      <c r="X444" s="11">
        <v>7</v>
      </c>
      <c r="Y444" s="11">
        <v>0</v>
      </c>
      <c r="Z444" s="11"/>
      <c r="AA444" s="11">
        <v>0.46</v>
      </c>
      <c r="AB444" s="11">
        <v>1.0880000000000001</v>
      </c>
      <c r="AC444" s="11">
        <v>2.1</v>
      </c>
      <c r="AD444" s="11">
        <v>0.28000000000000003</v>
      </c>
      <c r="AE444" s="11">
        <v>0.18</v>
      </c>
      <c r="AF444" s="11">
        <v>5.9</v>
      </c>
      <c r="AG444" s="11">
        <v>311</v>
      </c>
      <c r="AH444" s="11">
        <v>0.43</v>
      </c>
      <c r="AI444" s="11">
        <v>0</v>
      </c>
      <c r="AJ444" s="11">
        <v>3.14</v>
      </c>
      <c r="AK444" s="11">
        <v>1.3</v>
      </c>
      <c r="AL444" s="11">
        <v>0.94</v>
      </c>
      <c r="AM444" s="11">
        <v>0</v>
      </c>
      <c r="AN444" s="11">
        <v>0.20799999999999999</v>
      </c>
      <c r="AO444" s="11">
        <v>1.9E-3</v>
      </c>
      <c r="AP444" s="11">
        <v>1E-3</v>
      </c>
      <c r="AQ444" s="11">
        <v>2.6629999999999998</v>
      </c>
      <c r="AR444" s="11">
        <v>2.3919999999999999</v>
      </c>
      <c r="AS444" s="11">
        <v>1.80497</v>
      </c>
      <c r="AT444" s="11">
        <v>0.23899999999999999</v>
      </c>
      <c r="AU444" s="11">
        <v>0.79498000000000002</v>
      </c>
      <c r="AV444" s="11">
        <v>1.7363200000000001</v>
      </c>
      <c r="AW444" s="11">
        <v>0.61165000000000003</v>
      </c>
      <c r="AX444" s="9">
        <f>Tabelle1[[#This Row],[Vitamin D3 '[µg/100g']]]*40</f>
        <v>18.400000000000002</v>
      </c>
      <c r="AY444" s="9">
        <f>Tabelle1[[#This Row],[Vitamin A '[µg/100g']]]*3.33</f>
        <v>6.9930000000000003</v>
      </c>
      <c r="AZ444" s="9">
        <f>Tabelle1[[#This Row],[Vitamin E '[mg/100g']]]*1.49</f>
        <v>1.6211200000000001</v>
      </c>
    </row>
    <row r="445" spans="1:52" hidden="1" x14ac:dyDescent="0.45">
      <c r="A445" t="s">
        <v>58</v>
      </c>
      <c r="B445" s="3" t="s">
        <v>149</v>
      </c>
      <c r="C445" s="4" t="s">
        <v>150</v>
      </c>
      <c r="D445" s="11">
        <v>357</v>
      </c>
      <c r="E445" s="13">
        <f>Tabelle1[[#This Row],[Energie '[kcal/100g']]]/239</f>
        <v>1.493723849372385</v>
      </c>
      <c r="F445" s="11">
        <v>22.49</v>
      </c>
      <c r="G445" s="11">
        <f>Tabelle1[[#This Row],[Rohprotein '[g/100g']]]*0.85</f>
        <v>19.116499999999998</v>
      </c>
      <c r="H445" s="11">
        <v>29.64</v>
      </c>
      <c r="I445" s="11">
        <f>Tabelle1[[#This Row],[TS]]-Tabelle1[[#This Row],[Rohprotein '[g/100g']]]-Tabelle1[[#This Row],[Rohfett '[g/100g']]]-Tabelle1[[#This Row],[Rohasche '[g/100g']]]-Tabelle1[[#This Row],[Rohfaser '[g/100g']]]</f>
        <v>0.25000000000000155</v>
      </c>
      <c r="J445" s="11">
        <v>0</v>
      </c>
      <c r="K445" s="11">
        <v>0.76</v>
      </c>
      <c r="L445" s="11">
        <v>46.86</v>
      </c>
      <c r="M445" s="11">
        <f>100-Tabelle1[[#This Row],[Wasser '[g/100g']]]</f>
        <v>53.14</v>
      </c>
      <c r="N445" s="11">
        <v>5.4</v>
      </c>
      <c r="O445" s="11">
        <v>103.7</v>
      </c>
      <c r="P445" s="11">
        <v>12.5</v>
      </c>
      <c r="Q445" s="11">
        <v>38.6</v>
      </c>
      <c r="R445" s="11">
        <v>180</v>
      </c>
      <c r="S445" s="11"/>
      <c r="T445" s="11">
        <v>0.65969999999999995</v>
      </c>
      <c r="U445" s="11">
        <v>1.6694</v>
      </c>
      <c r="V445" s="11">
        <v>0</v>
      </c>
      <c r="W445" s="11">
        <v>63.7</v>
      </c>
      <c r="X445" s="11">
        <v>7.3</v>
      </c>
      <c r="Y445" s="11">
        <v>0</v>
      </c>
      <c r="Z445" s="11"/>
      <c r="AA445" s="11">
        <v>0.45</v>
      </c>
      <c r="AB445" s="11">
        <v>1</v>
      </c>
      <c r="AC445" s="11">
        <v>73</v>
      </c>
      <c r="AD445" s="11">
        <v>0.16</v>
      </c>
      <c r="AE445" s="11">
        <v>0.15</v>
      </c>
      <c r="AF445" s="11">
        <v>3.85</v>
      </c>
      <c r="AG445" s="11">
        <v>203</v>
      </c>
      <c r="AH445" s="11">
        <v>0.34</v>
      </c>
      <c r="AI445" s="11">
        <v>0</v>
      </c>
      <c r="AJ445" s="11">
        <v>2.88</v>
      </c>
      <c r="AK445" s="11">
        <v>17</v>
      </c>
      <c r="AL445" s="11">
        <v>0.76</v>
      </c>
      <c r="AM445" s="11">
        <v>0</v>
      </c>
      <c r="AN445" s="11">
        <v>0.20499999999999999</v>
      </c>
      <c r="AO445" s="11">
        <v>0</v>
      </c>
      <c r="AP445" s="11">
        <v>0.36</v>
      </c>
      <c r="AQ445" s="11">
        <v>2.6030000000000002</v>
      </c>
      <c r="AR445" s="11">
        <v>2.3380000000000001</v>
      </c>
      <c r="AS445" s="11">
        <v>1.78223</v>
      </c>
      <c r="AT445" s="11">
        <v>0.23599999999999999</v>
      </c>
      <c r="AU445" s="11">
        <v>0.78495999999999999</v>
      </c>
      <c r="AV445" s="11">
        <v>1.71444</v>
      </c>
      <c r="AW445" s="11">
        <v>0.60394000000000003</v>
      </c>
      <c r="AX445" s="9">
        <f>Tabelle1[[#This Row],[Vitamin D3 '[µg/100g']]]*40</f>
        <v>18</v>
      </c>
      <c r="AY445" s="9">
        <f>Tabelle1[[#This Row],[Vitamin A '[µg/100g']]]*3.33</f>
        <v>243.09</v>
      </c>
      <c r="AZ445" s="9">
        <f>Tabelle1[[#This Row],[Vitamin E '[mg/100g']]]*1.49</f>
        <v>1.49</v>
      </c>
    </row>
    <row r="446" spans="1:52" hidden="1" x14ac:dyDescent="0.45">
      <c r="A446" t="s">
        <v>58</v>
      </c>
      <c r="B446" s="5" t="s">
        <v>151</v>
      </c>
      <c r="C446" s="6" t="s">
        <v>152</v>
      </c>
      <c r="D446" s="13">
        <v>324</v>
      </c>
      <c r="E446" s="13">
        <f>Tabelle1[[#This Row],[Energie '[kcal/100g']]]/239</f>
        <v>1.3556485355648535</v>
      </c>
      <c r="F446" s="13">
        <v>17.739999999999998</v>
      </c>
      <c r="G446" s="11">
        <f>Tabelle1[[#This Row],[Rohprotein '[g/100g']]]*0.85</f>
        <v>15.078999999999999</v>
      </c>
      <c r="H446" s="13">
        <v>28.06</v>
      </c>
      <c r="I446" s="11">
        <f>Tabelle1[[#This Row],[TS]]-Tabelle1[[#This Row],[Rohprotein '[g/100g']]]-Tabelle1[[#This Row],[Rohfett '[g/100g']]]-Tabelle1[[#This Row],[Rohasche '[g/100g']]]-Tabelle1[[#This Row],[Rohfaser '[g/100g']]]</f>
        <v>0.25000000000000566</v>
      </c>
      <c r="J446" s="11">
        <v>0</v>
      </c>
      <c r="K446" s="13">
        <v>0.9</v>
      </c>
      <c r="L446" s="13">
        <v>53.05</v>
      </c>
      <c r="M446" s="13">
        <f>100-Tabelle1[[#This Row],[Wasser '[g/100g']]]</f>
        <v>46.95</v>
      </c>
      <c r="N446" s="13">
        <v>4.8</v>
      </c>
      <c r="O446" s="13">
        <v>122.7</v>
      </c>
      <c r="P446" s="13">
        <v>14.8</v>
      </c>
      <c r="Q446" s="13">
        <v>60.9</v>
      </c>
      <c r="R446" s="13">
        <v>255.6</v>
      </c>
      <c r="S446" s="13"/>
      <c r="T446" s="13">
        <v>0.46839999999999998</v>
      </c>
      <c r="U446" s="13">
        <v>1.4816</v>
      </c>
      <c r="V446" s="11">
        <v>0</v>
      </c>
      <c r="W446" s="13">
        <v>47.6</v>
      </c>
      <c r="X446" s="13">
        <v>5.2</v>
      </c>
      <c r="Y446" s="11">
        <v>0</v>
      </c>
      <c r="Z446" s="11"/>
      <c r="AA446" s="13">
        <v>0</v>
      </c>
      <c r="AB446" s="13">
        <v>0.94699999999999995</v>
      </c>
      <c r="AC446" s="13">
        <v>13</v>
      </c>
      <c r="AD446" s="13">
        <v>0.38</v>
      </c>
      <c r="AE446" s="13">
        <v>0.15</v>
      </c>
      <c r="AF446" s="13">
        <v>5.46</v>
      </c>
      <c r="AG446" s="13">
        <v>320</v>
      </c>
      <c r="AH446" s="13">
        <v>0</v>
      </c>
      <c r="AI446" s="13">
        <v>0</v>
      </c>
      <c r="AJ446" s="13">
        <v>2.73</v>
      </c>
      <c r="AK446" s="13">
        <v>1</v>
      </c>
      <c r="AL446" s="13">
        <v>0.77</v>
      </c>
      <c r="AM446" s="13">
        <v>0</v>
      </c>
      <c r="AN446" s="13">
        <v>0.193</v>
      </c>
      <c r="AO446" s="13">
        <v>0</v>
      </c>
      <c r="AP446" s="13">
        <v>0</v>
      </c>
      <c r="AQ446" s="13">
        <v>2.4630000000000001</v>
      </c>
      <c r="AR446" s="13">
        <v>2.2130000000000001</v>
      </c>
      <c r="AS446" s="13">
        <v>1.40598</v>
      </c>
      <c r="AT446" s="13">
        <v>0.1862</v>
      </c>
      <c r="AU446" s="13">
        <v>0.61924999999999997</v>
      </c>
      <c r="AV446" s="13">
        <v>1.3525</v>
      </c>
      <c r="AW446" s="13">
        <v>0.47643999999999997</v>
      </c>
      <c r="AX446" s="9">
        <f>Tabelle1[[#This Row],[Vitamin D3 '[µg/100g']]]*40</f>
        <v>0</v>
      </c>
      <c r="AY446" s="9">
        <f>Tabelle1[[#This Row],[Vitamin A '[µg/100g']]]*3.33</f>
        <v>43.29</v>
      </c>
      <c r="AZ446" s="9">
        <f>Tabelle1[[#This Row],[Vitamin E '[mg/100g']]]*1.49</f>
        <v>1.41103</v>
      </c>
    </row>
    <row r="447" spans="1:52" hidden="1" x14ac:dyDescent="0.45">
      <c r="A447" t="s">
        <v>58</v>
      </c>
      <c r="B447" s="5" t="s">
        <v>153</v>
      </c>
      <c r="C447" s="6" t="s">
        <v>154</v>
      </c>
      <c r="D447" s="13">
        <v>143</v>
      </c>
      <c r="E447" s="13">
        <f>Tabelle1[[#This Row],[Energie '[kcal/100g']]]/239</f>
        <v>0.59832635983263593</v>
      </c>
      <c r="F447" s="13">
        <v>29.54</v>
      </c>
      <c r="G447" s="11">
        <f>Tabelle1[[#This Row],[Rohprotein '[g/100g']]]*0.85</f>
        <v>25.108999999999998</v>
      </c>
      <c r="H447" s="13">
        <v>2.78</v>
      </c>
      <c r="I447" s="11">
        <f>Tabelle1[[#This Row],[TS]]-Tabelle1[[#This Row],[Rohprotein '[g/100g']]]-Tabelle1[[#This Row],[Rohfett '[g/100g']]]-Tabelle1[[#This Row],[Rohasche '[g/100g']]]-Tabelle1[[#This Row],[Rohfaser '[g/100g']]]</f>
        <v>-0.79</v>
      </c>
      <c r="J447" s="11">
        <v>0</v>
      </c>
      <c r="K447" s="13">
        <v>1.19</v>
      </c>
      <c r="L447" s="13">
        <v>67.28</v>
      </c>
      <c r="M447" s="13">
        <f>100-Tabelle1[[#This Row],[Wasser '[g/100g']]]</f>
        <v>32.72</v>
      </c>
      <c r="N447" s="13">
        <v>4.7</v>
      </c>
      <c r="O447" s="13">
        <v>236.7</v>
      </c>
      <c r="P447" s="13">
        <v>26.7</v>
      </c>
      <c r="Q447" s="13">
        <v>63.6</v>
      </c>
      <c r="R447" s="13">
        <v>392.8</v>
      </c>
      <c r="S447" s="13"/>
      <c r="T447" s="13">
        <v>1.1629</v>
      </c>
      <c r="U447" s="13">
        <v>3.1707000000000001</v>
      </c>
      <c r="V447" s="11">
        <v>0</v>
      </c>
      <c r="W447" s="13">
        <v>102.4</v>
      </c>
      <c r="X447" s="13">
        <v>12.9</v>
      </c>
      <c r="Y447" s="11">
        <v>0</v>
      </c>
      <c r="Z447" s="11"/>
      <c r="AA447" s="13">
        <v>0</v>
      </c>
      <c r="AB447" s="13">
        <v>0.65200000000000002</v>
      </c>
      <c r="AC447" s="13">
        <v>10.6</v>
      </c>
      <c r="AD447" s="13">
        <v>0.59</v>
      </c>
      <c r="AE447" s="13">
        <v>0.28000000000000003</v>
      </c>
      <c r="AF447" s="13">
        <v>7.41</v>
      </c>
      <c r="AG447" s="13">
        <v>505</v>
      </c>
      <c r="AH447" s="13">
        <v>0.26</v>
      </c>
      <c r="AI447" s="13">
        <v>0</v>
      </c>
      <c r="AJ447" s="13">
        <v>2.84</v>
      </c>
      <c r="AK447" s="13">
        <v>1.9</v>
      </c>
      <c r="AL447" s="13">
        <v>1</v>
      </c>
      <c r="AM447" s="13">
        <v>0</v>
      </c>
      <c r="AN447" s="13">
        <v>0.01</v>
      </c>
      <c r="AO447" s="13">
        <v>0.01</v>
      </c>
      <c r="AP447" s="13">
        <v>0</v>
      </c>
      <c r="AQ447" s="13">
        <v>0.23</v>
      </c>
      <c r="AR447" s="13">
        <v>0.21</v>
      </c>
      <c r="AS447" s="13">
        <v>2.0099999999999998</v>
      </c>
      <c r="AT447" s="13">
        <v>0.33</v>
      </c>
      <c r="AU447" s="13">
        <v>1.22</v>
      </c>
      <c r="AV447" s="13">
        <v>2.71</v>
      </c>
      <c r="AW447" s="13">
        <v>0.91</v>
      </c>
      <c r="AX447" s="9">
        <f>Tabelle1[[#This Row],[Vitamin D3 '[µg/100g']]]*40</f>
        <v>0</v>
      </c>
      <c r="AY447" s="9">
        <f>Tabelle1[[#This Row],[Vitamin A '[µg/100g']]]*3.33</f>
        <v>35.298000000000002</v>
      </c>
      <c r="AZ447" s="9">
        <f>Tabelle1[[#This Row],[Vitamin E '[mg/100g']]]*1.49</f>
        <v>0.97148000000000001</v>
      </c>
    </row>
    <row r="448" spans="1:52" hidden="1" x14ac:dyDescent="0.45">
      <c r="A448" t="s">
        <v>58</v>
      </c>
      <c r="B448" s="3" t="s">
        <v>155</v>
      </c>
      <c r="C448" s="4" t="s">
        <v>156</v>
      </c>
      <c r="D448" s="11">
        <v>109</v>
      </c>
      <c r="E448" s="13">
        <f>Tabelle1[[#This Row],[Energie '[kcal/100g']]]/239</f>
        <v>0.45606694560669458</v>
      </c>
      <c r="F448" s="11">
        <v>21.77</v>
      </c>
      <c r="G448" s="11">
        <f>Tabelle1[[#This Row],[Rohprotein '[g/100g']]]*0.85</f>
        <v>18.5045</v>
      </c>
      <c r="H448" s="11">
        <v>2.4300000000000002</v>
      </c>
      <c r="I448" s="11">
        <f>Tabelle1[[#This Row],[TS]]-Tabelle1[[#This Row],[Rohprotein '[g/100g']]]-Tabelle1[[#This Row],[Rohfett '[g/100g']]]-Tabelle1[[#This Row],[Rohasche '[g/100g']]]-Tabelle1[[#This Row],[Rohfaser '[g/100g']]]</f>
        <v>-0.79000000000000203</v>
      </c>
      <c r="J448" s="11">
        <v>0</v>
      </c>
      <c r="K448" s="11">
        <v>1.28</v>
      </c>
      <c r="L448" s="11">
        <v>75.31</v>
      </c>
      <c r="M448" s="11">
        <f>100-Tabelle1[[#This Row],[Wasser '[g/100g']]]</f>
        <v>24.689999999999998</v>
      </c>
      <c r="N448" s="11">
        <v>3.6</v>
      </c>
      <c r="O448" s="11">
        <v>194.9</v>
      </c>
      <c r="P448" s="11">
        <v>23.4</v>
      </c>
      <c r="Q448" s="11">
        <v>54.3</v>
      </c>
      <c r="R448" s="11">
        <v>392.8</v>
      </c>
      <c r="S448" s="11"/>
      <c r="T448" s="11">
        <v>0.81399999999999995</v>
      </c>
      <c r="U448" s="11">
        <v>2.2195</v>
      </c>
      <c r="V448" s="11">
        <v>0</v>
      </c>
      <c r="W448" s="11">
        <v>71.7</v>
      </c>
      <c r="X448" s="11">
        <v>9</v>
      </c>
      <c r="Y448" s="11">
        <v>0</v>
      </c>
      <c r="Z448" s="11"/>
      <c r="AA448" s="11">
        <v>0</v>
      </c>
      <c r="AB448" s="11">
        <v>0.53700000000000003</v>
      </c>
      <c r="AC448" s="11">
        <v>18</v>
      </c>
      <c r="AD448" s="11">
        <v>0.75</v>
      </c>
      <c r="AE448" s="11">
        <v>0.22</v>
      </c>
      <c r="AF448" s="11">
        <v>6.48</v>
      </c>
      <c r="AG448" s="11">
        <v>491</v>
      </c>
      <c r="AH448" s="11">
        <v>0.23</v>
      </c>
      <c r="AI448" s="11">
        <v>0</v>
      </c>
      <c r="AJ448" s="11">
        <v>2.34</v>
      </c>
      <c r="AK448" s="11">
        <v>2.4</v>
      </c>
      <c r="AL448" s="11">
        <v>0.78</v>
      </c>
      <c r="AM448" s="11">
        <v>0</v>
      </c>
      <c r="AN448" s="11">
        <v>0.01</v>
      </c>
      <c r="AO448" s="11">
        <v>1.2500000000000001E-2</v>
      </c>
      <c r="AP448" s="11">
        <v>8.9999999999999993E-3</v>
      </c>
      <c r="AQ448" s="11">
        <v>0.2</v>
      </c>
      <c r="AR448" s="11">
        <v>0.18</v>
      </c>
      <c r="AS448" s="11">
        <v>1.48</v>
      </c>
      <c r="AT448" s="11">
        <v>0.24</v>
      </c>
      <c r="AU448" s="11">
        <v>0.9</v>
      </c>
      <c r="AV448" s="11">
        <v>2</v>
      </c>
      <c r="AW448" s="11">
        <v>0.67</v>
      </c>
      <c r="AX448" s="9">
        <f>Tabelle1[[#This Row],[Vitamin D3 '[µg/100g']]]*40</f>
        <v>0</v>
      </c>
      <c r="AY448" s="9">
        <f>Tabelle1[[#This Row],[Vitamin A '[µg/100g']]]*3.33</f>
        <v>59.94</v>
      </c>
      <c r="AZ448" s="9">
        <f>Tabelle1[[#This Row],[Vitamin E '[mg/100g']]]*1.49</f>
        <v>0.80013000000000001</v>
      </c>
    </row>
    <row r="449" spans="1:52" hidden="1" x14ac:dyDescent="0.45">
      <c r="A449" t="s">
        <v>58</v>
      </c>
      <c r="B449" s="5" t="s">
        <v>157</v>
      </c>
      <c r="C449" s="6" t="s">
        <v>158</v>
      </c>
      <c r="D449" s="13">
        <v>137</v>
      </c>
      <c r="E449" s="13">
        <f>Tabelle1[[#This Row],[Energie '[kcal/100g']]]/239</f>
        <v>0.57322175732217573</v>
      </c>
      <c r="F449" s="13">
        <v>22.77</v>
      </c>
      <c r="G449" s="11">
        <f>Tabelle1[[#This Row],[Rohprotein '[g/100g']]]*0.85</f>
        <v>19.354499999999998</v>
      </c>
      <c r="H449" s="13">
        <v>5.08</v>
      </c>
      <c r="I449" s="11">
        <f>Tabelle1[[#This Row],[TS]]-Tabelle1[[#This Row],[Rohprotein '[g/100g']]]-Tabelle1[[#This Row],[Rohfett '[g/100g']]]-Tabelle1[[#This Row],[Rohasche '[g/100g']]]-Tabelle1[[#This Row],[Rohfaser '[g/100g']]]</f>
        <v>0.15000000000000435</v>
      </c>
      <c r="J449" s="11">
        <v>0</v>
      </c>
      <c r="K449" s="13">
        <v>1.23</v>
      </c>
      <c r="L449" s="13">
        <v>70.77</v>
      </c>
      <c r="M449" s="13">
        <f>100-Tabelle1[[#This Row],[Wasser '[g/100g']]]</f>
        <v>29.230000000000004</v>
      </c>
      <c r="N449" s="13">
        <v>3.9</v>
      </c>
      <c r="O449" s="13">
        <v>206.4</v>
      </c>
      <c r="P449" s="13">
        <v>25</v>
      </c>
      <c r="Q449" s="13">
        <v>43.2</v>
      </c>
      <c r="R449" s="13">
        <v>396.3</v>
      </c>
      <c r="S449" s="13"/>
      <c r="T449" s="13">
        <v>0.61199999999999999</v>
      </c>
      <c r="U449" s="13">
        <v>1.5713999999999999</v>
      </c>
      <c r="V449" s="11">
        <v>0</v>
      </c>
      <c r="W449" s="13">
        <v>50.2</v>
      </c>
      <c r="X449" s="13">
        <v>7.1</v>
      </c>
      <c r="Y449" s="13">
        <v>1.1000000000000001</v>
      </c>
      <c r="Z449" s="13"/>
      <c r="AA449" s="13">
        <v>0</v>
      </c>
      <c r="AB449" s="13">
        <v>0.39</v>
      </c>
      <c r="AC449" s="13">
        <v>18.2</v>
      </c>
      <c r="AD449" s="13">
        <v>0.79800000000000004</v>
      </c>
      <c r="AE449" s="13">
        <v>0.13800000000000001</v>
      </c>
      <c r="AF449" s="13">
        <v>9.6999999999999993</v>
      </c>
      <c r="AG449" s="13">
        <v>624</v>
      </c>
      <c r="AH449" s="13">
        <v>0.22</v>
      </c>
      <c r="AI449" s="13">
        <v>0</v>
      </c>
      <c r="AJ449" s="13">
        <v>10.79</v>
      </c>
      <c r="AK449" s="13">
        <v>2.4</v>
      </c>
      <c r="AL449" s="13">
        <v>0.83</v>
      </c>
      <c r="AM449" s="13">
        <v>0</v>
      </c>
      <c r="AN449" s="13">
        <v>4.7E-2</v>
      </c>
      <c r="AO449" s="13">
        <v>1.0500000000000001E-2</v>
      </c>
      <c r="AP449" s="13">
        <v>7.6E-3</v>
      </c>
      <c r="AQ449" s="13">
        <v>0.40799999999999997</v>
      </c>
      <c r="AR449" s="13">
        <v>0.38200000000000001</v>
      </c>
      <c r="AS449" s="13">
        <v>2.39425</v>
      </c>
      <c r="AT449" s="13">
        <v>0.38100000000000001</v>
      </c>
      <c r="AU449" s="13">
        <v>1.29375</v>
      </c>
      <c r="AV449" s="13">
        <v>1.2969999999999999</v>
      </c>
      <c r="AW449" s="13">
        <v>1.1345000000000001</v>
      </c>
      <c r="AX449" s="9">
        <f>Tabelle1[[#This Row],[Vitamin D3 '[µg/100g']]]*40</f>
        <v>0</v>
      </c>
      <c r="AY449" s="9">
        <f>Tabelle1[[#This Row],[Vitamin A '[µg/100g']]]*3.33</f>
        <v>60.606000000000002</v>
      </c>
      <c r="AZ449" s="9">
        <f>Tabelle1[[#This Row],[Vitamin E '[mg/100g']]]*1.49</f>
        <v>0.58110000000000006</v>
      </c>
    </row>
    <row r="450" spans="1:52" hidden="1" x14ac:dyDescent="0.45">
      <c r="A450" t="s">
        <v>58</v>
      </c>
      <c r="B450" s="3" t="s">
        <v>159</v>
      </c>
      <c r="C450" s="4" t="s">
        <v>160</v>
      </c>
      <c r="D450" s="11">
        <v>203</v>
      </c>
      <c r="E450" s="13">
        <f>Tabelle1[[#This Row],[Energie '[kcal/100g']]]/239</f>
        <v>0.84937238493723854</v>
      </c>
      <c r="F450" s="11">
        <v>19.7</v>
      </c>
      <c r="G450" s="11">
        <f>Tabelle1[[#This Row],[Rohprotein '[g/100g']]]*0.85</f>
        <v>16.744999999999997</v>
      </c>
      <c r="H450" s="11">
        <v>13.76</v>
      </c>
      <c r="I450" s="11">
        <f>Tabelle1[[#This Row],[TS]]-Tabelle1[[#This Row],[Rohprotein '[g/100g']]]-Tabelle1[[#This Row],[Rohfett '[g/100g']]]-Tabelle1[[#This Row],[Rohasche '[g/100g']]]-Tabelle1[[#This Row],[Rohfaser '[g/100g']]]</f>
        <v>-0.8400000000000003</v>
      </c>
      <c r="J450" s="11">
        <v>0</v>
      </c>
      <c r="K450" s="11">
        <v>1.1000000000000001</v>
      </c>
      <c r="L450" s="11">
        <v>66.28</v>
      </c>
      <c r="M450" s="11">
        <f>100-Tabelle1[[#This Row],[Wasser '[g/100g']]]</f>
        <v>33.72</v>
      </c>
      <c r="N450" s="11">
        <v>5.2</v>
      </c>
      <c r="O450" s="11">
        <v>179.3</v>
      </c>
      <c r="P450" s="11">
        <v>20.3</v>
      </c>
      <c r="Q450" s="11">
        <v>58.3</v>
      </c>
      <c r="R450" s="11">
        <v>343.7</v>
      </c>
      <c r="S450" s="11"/>
      <c r="T450" s="11">
        <v>1.0998000000000001</v>
      </c>
      <c r="U450" s="11">
        <v>2.3782999999999999</v>
      </c>
      <c r="V450" s="11">
        <v>0</v>
      </c>
      <c r="W450" s="11">
        <v>76.599999999999994</v>
      </c>
      <c r="X450" s="11">
        <v>9.1</v>
      </c>
      <c r="Y450" s="11">
        <v>0</v>
      </c>
      <c r="Z450" s="11"/>
      <c r="AA450" s="11">
        <v>0.34</v>
      </c>
      <c r="AB450" s="11">
        <v>0.79</v>
      </c>
      <c r="AC450" s="11">
        <v>2.7</v>
      </c>
      <c r="AD450" s="11">
        <v>0.74</v>
      </c>
      <c r="AE450" s="11">
        <v>0.189</v>
      </c>
      <c r="AF450" s="11">
        <v>10.4</v>
      </c>
      <c r="AG450" s="11">
        <v>440</v>
      </c>
      <c r="AH450" s="11">
        <v>0.45</v>
      </c>
      <c r="AI450" s="11">
        <v>0</v>
      </c>
      <c r="AJ450" s="11">
        <v>31.96</v>
      </c>
      <c r="AK450" s="11">
        <v>1.8</v>
      </c>
      <c r="AL450" s="11">
        <v>0.88</v>
      </c>
      <c r="AM450" s="11">
        <v>0</v>
      </c>
      <c r="AN450" s="11">
        <v>0.13</v>
      </c>
      <c r="AO450" s="11">
        <v>9.3999999999999997E-4</v>
      </c>
      <c r="AP450" s="11">
        <v>6.4000000000000005E-4</v>
      </c>
      <c r="AQ450" s="11">
        <v>1.32</v>
      </c>
      <c r="AR450" s="11">
        <v>1.24</v>
      </c>
      <c r="AS450" s="11">
        <v>1.90767</v>
      </c>
      <c r="AT450" s="11">
        <v>0.34820000000000001</v>
      </c>
      <c r="AU450" s="11">
        <v>0.94099999999999995</v>
      </c>
      <c r="AV450" s="11">
        <v>1.10917</v>
      </c>
      <c r="AW450" s="11">
        <v>0.94533</v>
      </c>
      <c r="AX450" s="9">
        <f>Tabelle1[[#This Row],[Vitamin D3 '[µg/100g']]]*40</f>
        <v>13.600000000000001</v>
      </c>
      <c r="AY450" s="9">
        <f>Tabelle1[[#This Row],[Vitamin A '[µg/100g']]]*3.33</f>
        <v>8.9910000000000014</v>
      </c>
      <c r="AZ450" s="9">
        <f>Tabelle1[[#This Row],[Vitamin E '[mg/100g']]]*1.49</f>
        <v>1.1771</v>
      </c>
    </row>
    <row r="451" spans="1:52" hidden="1" x14ac:dyDescent="0.45">
      <c r="A451" t="s">
        <v>58</v>
      </c>
      <c r="B451" s="3" t="s">
        <v>161</v>
      </c>
      <c r="C451" s="4" t="s">
        <v>162</v>
      </c>
      <c r="D451" s="11">
        <v>136</v>
      </c>
      <c r="E451" s="13">
        <f>Tabelle1[[#This Row],[Energie '[kcal/100g']]]/239</f>
        <v>0.56903765690376573</v>
      </c>
      <c r="F451" s="11">
        <v>21.41</v>
      </c>
      <c r="G451" s="11">
        <f>Tabelle1[[#This Row],[Rohprotein '[g/100g']]]*0.85</f>
        <v>18.198499999999999</v>
      </c>
      <c r="H451" s="11">
        <v>5.61</v>
      </c>
      <c r="I451" s="11">
        <f>Tabelle1[[#This Row],[TS]]-Tabelle1[[#This Row],[Rohprotein '[g/100g']]]-Tabelle1[[#This Row],[Rohfett '[g/100g']]]-Tabelle1[[#This Row],[Rohasche '[g/100g']]]-Tabelle1[[#This Row],[Rohfaser '[g/100g']]]</f>
        <v>-0.51999999999999535</v>
      </c>
      <c r="J451" s="11">
        <v>0</v>
      </c>
      <c r="K451" s="11">
        <v>1.26</v>
      </c>
      <c r="L451" s="11">
        <v>72.239999999999995</v>
      </c>
      <c r="M451" s="11">
        <f>100-Tabelle1[[#This Row],[Wasser '[g/100g']]]</f>
        <v>27.760000000000005</v>
      </c>
      <c r="N451" s="11">
        <v>4.0999999999999996</v>
      </c>
      <c r="O451" s="11">
        <v>209</v>
      </c>
      <c r="P451" s="11">
        <v>24.3</v>
      </c>
      <c r="Q451" s="11">
        <v>58.8</v>
      </c>
      <c r="R451" s="11">
        <v>399.8</v>
      </c>
      <c r="S451" s="11"/>
      <c r="T451" s="11">
        <v>0.73480000000000001</v>
      </c>
      <c r="U451" s="11">
        <v>2.1469999999999998</v>
      </c>
      <c r="V451" s="11">
        <v>0</v>
      </c>
      <c r="W451" s="11">
        <v>53.6</v>
      </c>
      <c r="X451" s="11">
        <v>7.6</v>
      </c>
      <c r="Y451" s="11">
        <v>1.1000000000000001</v>
      </c>
      <c r="Z451" s="11"/>
      <c r="AA451" s="11">
        <v>0</v>
      </c>
      <c r="AB451" s="11">
        <v>0.56000000000000005</v>
      </c>
      <c r="AC451" s="11">
        <v>8.1999999999999993</v>
      </c>
      <c r="AD451" s="11">
        <v>0.76</v>
      </c>
      <c r="AE451" s="11">
        <v>0.13700000000000001</v>
      </c>
      <c r="AF451" s="11">
        <v>12</v>
      </c>
      <c r="AG451" s="11">
        <v>624</v>
      </c>
      <c r="AH451" s="11">
        <v>0.26</v>
      </c>
      <c r="AI451" s="11">
        <v>0</v>
      </c>
      <c r="AJ451" s="11">
        <v>26.4</v>
      </c>
      <c r="AK451" s="11">
        <v>1.9</v>
      </c>
      <c r="AL451" s="11">
        <v>0.78</v>
      </c>
      <c r="AM451" s="11">
        <v>0</v>
      </c>
      <c r="AN451" s="11">
        <v>6.7000000000000004E-2</v>
      </c>
      <c r="AO451" s="11">
        <v>4.7999999999999996E-3</v>
      </c>
      <c r="AP451" s="11">
        <v>1.5E-3</v>
      </c>
      <c r="AQ451" s="11">
        <v>0.63700000000000001</v>
      </c>
      <c r="AR451" s="11">
        <v>0.59899999999999998</v>
      </c>
      <c r="AS451" s="11">
        <v>2.3272499999999998</v>
      </c>
      <c r="AT451" s="11">
        <v>0.40100000000000002</v>
      </c>
      <c r="AU451" s="11">
        <v>1.1692499999999999</v>
      </c>
      <c r="AV451" s="11">
        <v>1.2755000000000001</v>
      </c>
      <c r="AW451" s="11">
        <v>1.11575</v>
      </c>
      <c r="AX451" s="9">
        <f>Tabelle1[[#This Row],[Vitamin D3 '[µg/100g']]]*40</f>
        <v>0</v>
      </c>
      <c r="AY451" s="9">
        <f>Tabelle1[[#This Row],[Vitamin A '[µg/100g']]]*3.33</f>
        <v>27.305999999999997</v>
      </c>
      <c r="AZ451" s="9">
        <f>Tabelle1[[#This Row],[Vitamin E '[mg/100g']]]*1.49</f>
        <v>0.83440000000000003</v>
      </c>
    </row>
    <row r="452" spans="1:52" hidden="1" x14ac:dyDescent="0.45">
      <c r="A452" t="s">
        <v>58</v>
      </c>
      <c r="B452" s="3" t="s">
        <v>163</v>
      </c>
      <c r="C452" s="4" t="s">
        <v>164</v>
      </c>
      <c r="D452" s="11">
        <v>166</v>
      </c>
      <c r="E452" s="13">
        <f>Tabelle1[[#This Row],[Energie '[kcal/100g']]]/239</f>
        <v>0.69456066945606698</v>
      </c>
      <c r="F452" s="11">
        <v>30.96</v>
      </c>
      <c r="G452" s="11">
        <f>Tabelle1[[#This Row],[Rohprotein '[g/100g']]]*0.85</f>
        <v>26.315999999999999</v>
      </c>
      <c r="H452" s="11">
        <v>4.6399999999999997</v>
      </c>
      <c r="I452" s="11">
        <f>Tabelle1[[#This Row],[TS]]-Tabelle1[[#This Row],[Rohprotein '[g/100g']]]-Tabelle1[[#This Row],[Rohfett '[g/100g']]]-Tabelle1[[#This Row],[Rohasche '[g/100g']]]-Tabelle1[[#This Row],[Rohfaser '[g/100g']]]</f>
        <v>-0.59999999999999853</v>
      </c>
      <c r="J452" s="11">
        <v>0</v>
      </c>
      <c r="K452" s="11">
        <v>1.24</v>
      </c>
      <c r="L452" s="11">
        <v>63.76</v>
      </c>
      <c r="M452" s="11">
        <f>100-Tabelle1[[#This Row],[Wasser '[g/100g']]]</f>
        <v>36.24</v>
      </c>
      <c r="N452" s="11">
        <v>5.5</v>
      </c>
      <c r="O452" s="11">
        <v>238.6</v>
      </c>
      <c r="P452" s="11">
        <v>29.1</v>
      </c>
      <c r="Q452" s="11">
        <v>79.5</v>
      </c>
      <c r="R452" s="11">
        <v>347.2</v>
      </c>
      <c r="S452" s="11"/>
      <c r="T452" s="11">
        <v>1.32</v>
      </c>
      <c r="U452" s="11">
        <v>3.9348000000000001</v>
      </c>
      <c r="V452" s="11">
        <v>0</v>
      </c>
      <c r="W452" s="11">
        <v>115.6</v>
      </c>
      <c r="X452" s="11">
        <v>14.8</v>
      </c>
      <c r="Y452" s="11">
        <v>0</v>
      </c>
      <c r="Z452" s="11"/>
      <c r="AA452" s="11">
        <v>0</v>
      </c>
      <c r="AB452" s="11">
        <v>0.76200000000000001</v>
      </c>
      <c r="AC452" s="11">
        <v>12.7</v>
      </c>
      <c r="AD452" s="11">
        <v>0.51</v>
      </c>
      <c r="AE452" s="11">
        <v>0.3</v>
      </c>
      <c r="AF452" s="11">
        <v>7.7</v>
      </c>
      <c r="AG452" s="11">
        <v>428</v>
      </c>
      <c r="AH452" s="11">
        <v>0.33</v>
      </c>
      <c r="AI452" s="11">
        <v>0</v>
      </c>
      <c r="AJ452" s="11">
        <v>4.03</v>
      </c>
      <c r="AK452" s="11">
        <v>3.5</v>
      </c>
      <c r="AL452" s="11">
        <v>0.98</v>
      </c>
      <c r="AM452" s="11">
        <v>0</v>
      </c>
      <c r="AN452" s="11">
        <v>0.03</v>
      </c>
      <c r="AO452" s="11">
        <v>9.2999999999999992E-3</v>
      </c>
      <c r="AP452" s="11">
        <v>2.8999999999999998E-3</v>
      </c>
      <c r="AQ452" s="11">
        <v>0.36</v>
      </c>
      <c r="AR452" s="11">
        <v>0.32</v>
      </c>
      <c r="AS452" s="11">
        <v>2.46</v>
      </c>
      <c r="AT452" s="11">
        <v>0.37</v>
      </c>
      <c r="AU452" s="11">
        <v>1.25</v>
      </c>
      <c r="AV452" s="11">
        <v>2.63</v>
      </c>
      <c r="AW452" s="11">
        <v>0.96</v>
      </c>
      <c r="AX452" s="9">
        <f>Tabelle1[[#This Row],[Vitamin D3 '[µg/100g']]]*40</f>
        <v>0</v>
      </c>
      <c r="AY452" s="9">
        <f>Tabelle1[[#This Row],[Vitamin A '[µg/100g']]]*3.33</f>
        <v>42.290999999999997</v>
      </c>
      <c r="AZ452" s="9">
        <f>Tabelle1[[#This Row],[Vitamin E '[mg/100g']]]*1.49</f>
        <v>1.1353800000000001</v>
      </c>
    </row>
    <row r="453" spans="1:52" hidden="1" x14ac:dyDescent="0.45">
      <c r="A453" t="s">
        <v>58</v>
      </c>
      <c r="B453" s="5" t="s">
        <v>165</v>
      </c>
      <c r="C453" s="6" t="s">
        <v>166</v>
      </c>
      <c r="D453" s="13">
        <v>161</v>
      </c>
      <c r="E453" s="13">
        <f>Tabelle1[[#This Row],[Energie '[kcal/100g']]]/239</f>
        <v>0.67364016736401677</v>
      </c>
      <c r="F453" s="13">
        <v>29.42</v>
      </c>
      <c r="G453" s="11">
        <f>Tabelle1[[#This Row],[Rohprotein '[g/100g']]]*0.85</f>
        <v>25.007000000000001</v>
      </c>
      <c r="H453" s="13">
        <v>4.79</v>
      </c>
      <c r="I453" s="11">
        <f>Tabelle1[[#This Row],[TS]]-Tabelle1[[#This Row],[Rohprotein '[g/100g']]]-Tabelle1[[#This Row],[Rohfett '[g/100g']]]-Tabelle1[[#This Row],[Rohasche '[g/100g']]]-Tabelle1[[#This Row],[Rohfaser '[g/100g']]]</f>
        <v>-0.59999999999999942</v>
      </c>
      <c r="J453" s="11">
        <v>0</v>
      </c>
      <c r="K453" s="13">
        <v>1.2</v>
      </c>
      <c r="L453" s="13">
        <v>65.19</v>
      </c>
      <c r="M453" s="13">
        <f>100-Tabelle1[[#This Row],[Wasser '[g/100g']]]</f>
        <v>34.81</v>
      </c>
      <c r="N453" s="13">
        <v>4.8</v>
      </c>
      <c r="O453" s="13">
        <v>177.1</v>
      </c>
      <c r="P453" s="13">
        <v>21.6</v>
      </c>
      <c r="Q453" s="13">
        <v>54.4</v>
      </c>
      <c r="R453" s="13">
        <v>365.1</v>
      </c>
      <c r="S453" s="13"/>
      <c r="T453" s="13">
        <v>1.2811999999999999</v>
      </c>
      <c r="U453" s="13">
        <v>3.4371999999999998</v>
      </c>
      <c r="V453" s="11">
        <v>0</v>
      </c>
      <c r="W453" s="13">
        <v>112.2</v>
      </c>
      <c r="X453" s="13">
        <v>14.4</v>
      </c>
      <c r="Y453" s="11">
        <v>0</v>
      </c>
      <c r="Z453" s="11"/>
      <c r="AA453" s="13">
        <v>0</v>
      </c>
      <c r="AB453" s="13">
        <v>0.74</v>
      </c>
      <c r="AC453" s="13">
        <v>3.3</v>
      </c>
      <c r="AD453" s="13">
        <v>0.41</v>
      </c>
      <c r="AE453" s="13">
        <v>0.25</v>
      </c>
      <c r="AF453" s="13">
        <v>6.48</v>
      </c>
      <c r="AG453" s="13">
        <v>332</v>
      </c>
      <c r="AH453" s="13">
        <v>0.24</v>
      </c>
      <c r="AI453" s="13">
        <v>0</v>
      </c>
      <c r="AJ453" s="13">
        <v>3.91</v>
      </c>
      <c r="AK453" s="13">
        <v>2</v>
      </c>
      <c r="AL453" s="13">
        <v>0.74</v>
      </c>
      <c r="AM453" s="13">
        <v>0</v>
      </c>
      <c r="AN453" s="13">
        <v>0.03</v>
      </c>
      <c r="AO453" s="13">
        <v>9.5E-4</v>
      </c>
      <c r="AP453" s="13">
        <v>3.2000000000000003E-4</v>
      </c>
      <c r="AQ453" s="13">
        <v>0.36</v>
      </c>
      <c r="AR453" s="13">
        <v>0.32</v>
      </c>
      <c r="AS453" s="13">
        <v>2.34</v>
      </c>
      <c r="AT453" s="13">
        <v>0.36</v>
      </c>
      <c r="AU453" s="13">
        <v>1.19</v>
      </c>
      <c r="AV453" s="13">
        <v>2.5</v>
      </c>
      <c r="AW453" s="13">
        <v>0.92</v>
      </c>
      <c r="AX453" s="9">
        <f>Tabelle1[[#This Row],[Vitamin D3 '[µg/100g']]]*40</f>
        <v>0</v>
      </c>
      <c r="AY453" s="9">
        <f>Tabelle1[[#This Row],[Vitamin A '[µg/100g']]]*3.33</f>
        <v>10.988999999999999</v>
      </c>
      <c r="AZ453" s="9">
        <f>Tabelle1[[#This Row],[Vitamin E '[mg/100g']]]*1.49</f>
        <v>1.1026</v>
      </c>
    </row>
    <row r="454" spans="1:52" hidden="1" x14ac:dyDescent="0.45">
      <c r="A454" t="s">
        <v>58</v>
      </c>
      <c r="B454" s="3" t="s">
        <v>167</v>
      </c>
      <c r="C454" s="4" t="s">
        <v>168</v>
      </c>
      <c r="D454" s="11">
        <v>121</v>
      </c>
      <c r="E454" s="13">
        <f>Tabelle1[[#This Row],[Energie '[kcal/100g']]]/239</f>
        <v>0.50627615062761511</v>
      </c>
      <c r="F454" s="11">
        <v>21.51</v>
      </c>
      <c r="G454" s="11">
        <f>Tabelle1[[#This Row],[Rohprotein '[g/100g']]]*0.85</f>
        <v>18.2835</v>
      </c>
      <c r="H454" s="11">
        <v>3.83</v>
      </c>
      <c r="I454" s="11">
        <f>Tabelle1[[#This Row],[TS]]-Tabelle1[[#This Row],[Rohprotein '[g/100g']]]-Tabelle1[[#This Row],[Rohfett '[g/100g']]]-Tabelle1[[#This Row],[Rohasche '[g/100g']]]-Tabelle1[[#This Row],[Rohfaser '[g/100g']]]</f>
        <v>-0.60000000000000164</v>
      </c>
      <c r="J454" s="11">
        <v>0</v>
      </c>
      <c r="K454" s="11">
        <v>1.26</v>
      </c>
      <c r="L454" s="11">
        <v>74</v>
      </c>
      <c r="M454" s="11">
        <f>100-Tabelle1[[#This Row],[Wasser '[g/100g']]]</f>
        <v>26</v>
      </c>
      <c r="N454" s="11">
        <v>4</v>
      </c>
      <c r="O454" s="11">
        <v>185.3</v>
      </c>
      <c r="P454" s="11">
        <v>22.6</v>
      </c>
      <c r="Q454" s="11">
        <v>61.7</v>
      </c>
      <c r="R454" s="11">
        <v>381.9</v>
      </c>
      <c r="S454" s="11"/>
      <c r="T454" s="11">
        <v>0.87119999999999997</v>
      </c>
      <c r="U454" s="11">
        <v>2.597</v>
      </c>
      <c r="V454" s="11">
        <v>0</v>
      </c>
      <c r="W454" s="11">
        <v>76.3</v>
      </c>
      <c r="X454" s="11">
        <v>9.8000000000000007</v>
      </c>
      <c r="Y454" s="11">
        <v>0</v>
      </c>
      <c r="Z454" s="11"/>
      <c r="AA454" s="11">
        <v>0</v>
      </c>
      <c r="AB454" s="11">
        <v>0.59199999999999997</v>
      </c>
      <c r="AC454" s="11">
        <v>8</v>
      </c>
      <c r="AD454" s="11">
        <v>0.67</v>
      </c>
      <c r="AE454" s="11">
        <v>0.23</v>
      </c>
      <c r="AF454" s="11">
        <v>6.78</v>
      </c>
      <c r="AG454" s="11">
        <v>471</v>
      </c>
      <c r="AH454" s="11">
        <v>0.27</v>
      </c>
      <c r="AI454" s="11">
        <v>0</v>
      </c>
      <c r="AJ454" s="11">
        <v>3.13</v>
      </c>
      <c r="AK454" s="11">
        <v>1.8</v>
      </c>
      <c r="AL454" s="11">
        <v>0.72</v>
      </c>
      <c r="AM454" s="11">
        <v>0</v>
      </c>
      <c r="AN454" s="11">
        <v>0.03</v>
      </c>
      <c r="AO454" s="11">
        <v>0</v>
      </c>
      <c r="AP454" s="11">
        <v>0</v>
      </c>
      <c r="AQ454" s="11">
        <v>0.3</v>
      </c>
      <c r="AR454" s="11">
        <v>0.26</v>
      </c>
      <c r="AS454" s="11">
        <v>1.71</v>
      </c>
      <c r="AT454" s="11">
        <v>0.26</v>
      </c>
      <c r="AU454" s="11">
        <v>0.87</v>
      </c>
      <c r="AV454" s="11">
        <v>1.83</v>
      </c>
      <c r="AW454" s="11">
        <v>0.67</v>
      </c>
      <c r="AX454" s="9">
        <f>Tabelle1[[#This Row],[Vitamin D3 '[µg/100g']]]*40</f>
        <v>0</v>
      </c>
      <c r="AY454" s="9">
        <f>Tabelle1[[#This Row],[Vitamin A '[µg/100g']]]*3.33</f>
        <v>26.64</v>
      </c>
      <c r="AZ454" s="9">
        <f>Tabelle1[[#This Row],[Vitamin E '[mg/100g']]]*1.49</f>
        <v>0.88207999999999998</v>
      </c>
    </row>
    <row r="455" spans="1:52" hidden="1" x14ac:dyDescent="0.45">
      <c r="A455" t="s">
        <v>58</v>
      </c>
      <c r="B455" s="5" t="s">
        <v>169</v>
      </c>
      <c r="C455" s="6" t="s">
        <v>170</v>
      </c>
      <c r="D455" s="13">
        <v>339</v>
      </c>
      <c r="E455" s="13">
        <f>Tabelle1[[#This Row],[Energie '[kcal/100g']]]/239</f>
        <v>1.4184100418410042</v>
      </c>
      <c r="F455" s="13">
        <v>25.35</v>
      </c>
      <c r="G455" s="11">
        <f>Tabelle1[[#This Row],[Rohprotein '[g/100g']]]*0.85</f>
        <v>21.547499999999999</v>
      </c>
      <c r="H455" s="13">
        <v>26.44</v>
      </c>
      <c r="I455" s="11">
        <f>Tabelle1[[#This Row],[TS]]-Tabelle1[[#This Row],[Rohprotein '[g/100g']]]-Tabelle1[[#This Row],[Rohfett '[g/100g']]]-Tabelle1[[#This Row],[Rohasche '[g/100g']]]-Tabelle1[[#This Row],[Rohfaser '[g/100g']]]</f>
        <v>-0.28000000000000069</v>
      </c>
      <c r="J455" s="11">
        <v>0</v>
      </c>
      <c r="K455" s="13">
        <v>0.98</v>
      </c>
      <c r="L455" s="13">
        <v>47.51</v>
      </c>
      <c r="M455" s="13">
        <f>100-Tabelle1[[#This Row],[Wasser '[g/100g']]]</f>
        <v>52.49</v>
      </c>
      <c r="N455" s="13">
        <v>5.2</v>
      </c>
      <c r="O455" s="13">
        <v>185.2</v>
      </c>
      <c r="P455" s="13">
        <v>21</v>
      </c>
      <c r="Q455" s="13">
        <v>64.5</v>
      </c>
      <c r="R455" s="13">
        <v>309.39999999999998</v>
      </c>
      <c r="S455" s="13"/>
      <c r="T455" s="13">
        <v>0.85309999999999997</v>
      </c>
      <c r="U455" s="13">
        <v>2.6897000000000002</v>
      </c>
      <c r="V455" s="11">
        <v>0</v>
      </c>
      <c r="W455" s="13">
        <v>76.099999999999994</v>
      </c>
      <c r="X455" s="13">
        <v>9.6999999999999993</v>
      </c>
      <c r="Y455" s="11">
        <v>0</v>
      </c>
      <c r="Z455" s="11"/>
      <c r="AA455" s="13">
        <v>0.35</v>
      </c>
      <c r="AB455" s="13">
        <v>1.04</v>
      </c>
      <c r="AC455" s="13">
        <v>2.6</v>
      </c>
      <c r="AD455" s="13">
        <v>0.41</v>
      </c>
      <c r="AE455" s="13">
        <v>0.21</v>
      </c>
      <c r="AF455" s="13">
        <v>6.9</v>
      </c>
      <c r="AG455" s="13">
        <v>432</v>
      </c>
      <c r="AH455" s="13">
        <v>0.41</v>
      </c>
      <c r="AI455" s="13">
        <v>0</v>
      </c>
      <c r="AJ455" s="13">
        <v>4.1100000000000003</v>
      </c>
      <c r="AK455" s="13">
        <v>1.5</v>
      </c>
      <c r="AL455" s="13">
        <v>0.93</v>
      </c>
      <c r="AM455" s="13">
        <v>0</v>
      </c>
      <c r="AN455" s="13">
        <v>0.22500000000000001</v>
      </c>
      <c r="AO455" s="13">
        <v>0</v>
      </c>
      <c r="AP455" s="13">
        <v>0</v>
      </c>
      <c r="AQ455" s="13">
        <v>2.6850000000000001</v>
      </c>
      <c r="AR455" s="13">
        <v>2.4359999999999999</v>
      </c>
      <c r="AS455" s="13">
        <v>2.0867200000000001</v>
      </c>
      <c r="AT455" s="13">
        <v>0.31219999999999998</v>
      </c>
      <c r="AU455" s="13">
        <v>1.07782</v>
      </c>
      <c r="AV455" s="13">
        <v>2.2197499999999999</v>
      </c>
      <c r="AW455" s="13">
        <v>0.78117999999999999</v>
      </c>
      <c r="AX455" s="9">
        <f>Tabelle1[[#This Row],[Vitamin D3 '[µg/100g']]]*40</f>
        <v>14</v>
      </c>
      <c r="AY455" s="9">
        <f>Tabelle1[[#This Row],[Vitamin A '[µg/100g']]]*3.33</f>
        <v>8.6580000000000013</v>
      </c>
      <c r="AZ455" s="9">
        <f>Tabelle1[[#This Row],[Vitamin E '[mg/100g']]]*1.49</f>
        <v>1.5496000000000001</v>
      </c>
    </row>
    <row r="456" spans="1:52" hidden="1" x14ac:dyDescent="0.45">
      <c r="A456" t="s">
        <v>58</v>
      </c>
      <c r="B456" s="3" t="s">
        <v>171</v>
      </c>
      <c r="C456" s="4" t="s">
        <v>172</v>
      </c>
      <c r="D456" s="11">
        <v>339</v>
      </c>
      <c r="E456" s="13">
        <f>Tabelle1[[#This Row],[Energie '[kcal/100g']]]/239</f>
        <v>1.4184100418410042</v>
      </c>
      <c r="F456" s="11">
        <v>25.35</v>
      </c>
      <c r="G456" s="11">
        <f>Tabelle1[[#This Row],[Rohprotein '[g/100g']]]*0.85</f>
        <v>21.547499999999999</v>
      </c>
      <c r="H456" s="11">
        <v>26.44</v>
      </c>
      <c r="I456" s="11">
        <f>Tabelle1[[#This Row],[TS]]-Tabelle1[[#This Row],[Rohprotein '[g/100g']]]-Tabelle1[[#This Row],[Rohfett '[g/100g']]]-Tabelle1[[#This Row],[Rohasche '[g/100g']]]-Tabelle1[[#This Row],[Rohfaser '[g/100g']]]</f>
        <v>-0.28000000000000069</v>
      </c>
      <c r="J456" s="11">
        <v>0</v>
      </c>
      <c r="K456" s="11">
        <v>0.98</v>
      </c>
      <c r="L456" s="11">
        <v>47.51</v>
      </c>
      <c r="M456" s="11">
        <f>100-Tabelle1[[#This Row],[Wasser '[g/100g']]]</f>
        <v>52.49</v>
      </c>
      <c r="N456" s="11">
        <v>5.0999999999999996</v>
      </c>
      <c r="O456" s="11">
        <v>185.2</v>
      </c>
      <c r="P456" s="11">
        <v>22.3</v>
      </c>
      <c r="Q456" s="11">
        <v>66.900000000000006</v>
      </c>
      <c r="R456" s="11">
        <v>265.2</v>
      </c>
      <c r="S456" s="11"/>
      <c r="T456" s="11">
        <v>0.85309999999999997</v>
      </c>
      <c r="U456" s="11">
        <v>2.6897000000000002</v>
      </c>
      <c r="V456" s="11">
        <v>0</v>
      </c>
      <c r="W456" s="11">
        <v>76.099999999999994</v>
      </c>
      <c r="X456" s="11">
        <v>9.6999999999999993</v>
      </c>
      <c r="Y456" s="11">
        <v>0</v>
      </c>
      <c r="Z456" s="11"/>
      <c r="AA456" s="11">
        <v>0.35</v>
      </c>
      <c r="AB456" s="11">
        <v>1.04</v>
      </c>
      <c r="AC456" s="11">
        <v>2.6</v>
      </c>
      <c r="AD456" s="11">
        <v>0.37</v>
      </c>
      <c r="AE456" s="11">
        <v>0.2</v>
      </c>
      <c r="AF456" s="11">
        <v>6.47</v>
      </c>
      <c r="AG456" s="11">
        <v>360</v>
      </c>
      <c r="AH456" s="11">
        <v>0.41</v>
      </c>
      <c r="AI456" s="11">
        <v>0</v>
      </c>
      <c r="AJ456" s="11">
        <v>4.1100000000000003</v>
      </c>
      <c r="AK456" s="11">
        <v>9.1</v>
      </c>
      <c r="AL456" s="11">
        <v>0.93</v>
      </c>
      <c r="AM456" s="11">
        <v>0</v>
      </c>
      <c r="AN456" s="11">
        <v>0.22500000000000001</v>
      </c>
      <c r="AO456" s="11">
        <v>0</v>
      </c>
      <c r="AP456" s="11">
        <v>0</v>
      </c>
      <c r="AQ456" s="11">
        <v>2.6850000000000001</v>
      </c>
      <c r="AR456" s="11">
        <v>2.4359999999999999</v>
      </c>
      <c r="AS456" s="11">
        <v>2.0867200000000001</v>
      </c>
      <c r="AT456" s="11">
        <v>0.31219999999999998</v>
      </c>
      <c r="AU456" s="11">
        <v>1.07782</v>
      </c>
      <c r="AV456" s="11">
        <v>2.2197499999999999</v>
      </c>
      <c r="AW456" s="11">
        <v>0.78117999999999999</v>
      </c>
      <c r="AX456" s="9">
        <f>Tabelle1[[#This Row],[Vitamin D3 '[µg/100g']]]*40</f>
        <v>14</v>
      </c>
      <c r="AY456" s="9">
        <f>Tabelle1[[#This Row],[Vitamin A '[µg/100g']]]*3.33</f>
        <v>8.6580000000000013</v>
      </c>
      <c r="AZ456" s="9">
        <f>Tabelle1[[#This Row],[Vitamin E '[mg/100g']]]*1.49</f>
        <v>1.5496000000000001</v>
      </c>
    </row>
    <row r="457" spans="1:52" hidden="1" x14ac:dyDescent="0.45">
      <c r="A457" t="s">
        <v>58</v>
      </c>
      <c r="B457" s="5" t="s">
        <v>173</v>
      </c>
      <c r="C457" s="6" t="s">
        <v>174</v>
      </c>
      <c r="D457" s="13">
        <v>345</v>
      </c>
      <c r="E457" s="13">
        <f>Tabelle1[[#This Row],[Energie '[kcal/100g']]]/239</f>
        <v>1.4435146443514644</v>
      </c>
      <c r="F457" s="13">
        <v>25.95</v>
      </c>
      <c r="G457" s="11">
        <f>Tabelle1[[#This Row],[Rohprotein '[g/100g']]]*0.85</f>
        <v>22.057499999999997</v>
      </c>
      <c r="H457" s="13">
        <v>26.78</v>
      </c>
      <c r="I457" s="11">
        <f>Tabelle1[[#This Row],[TS]]-Tabelle1[[#This Row],[Rohprotein '[g/100g']]]-Tabelle1[[#This Row],[Rohfett '[g/100g']]]-Tabelle1[[#This Row],[Rohasche '[g/100g']]]-Tabelle1[[#This Row],[Rohfaser '[g/100g']]]</f>
        <v>-0.28000000000000069</v>
      </c>
      <c r="J457" s="11">
        <v>0</v>
      </c>
      <c r="K457" s="13">
        <v>0.98</v>
      </c>
      <c r="L457" s="13">
        <v>46.57</v>
      </c>
      <c r="M457" s="13">
        <f>100-Tabelle1[[#This Row],[Wasser '[g/100g']]]</f>
        <v>53.43</v>
      </c>
      <c r="N457" s="13">
        <v>4.9000000000000004</v>
      </c>
      <c r="O457" s="13">
        <v>153.1</v>
      </c>
      <c r="P457" s="13">
        <v>18.5</v>
      </c>
      <c r="Q457" s="13">
        <v>59.5</v>
      </c>
      <c r="R457" s="13">
        <v>358.2</v>
      </c>
      <c r="S457" s="13"/>
      <c r="T457" s="13">
        <v>0.92190000000000005</v>
      </c>
      <c r="U457" s="13">
        <v>2.9066000000000001</v>
      </c>
      <c r="V457" s="11">
        <v>0</v>
      </c>
      <c r="W457" s="13">
        <v>82.3</v>
      </c>
      <c r="X457" s="13">
        <v>10.5</v>
      </c>
      <c r="Y457" s="11">
        <v>0</v>
      </c>
      <c r="Z457" s="11"/>
      <c r="AA457" s="13">
        <v>0.35</v>
      </c>
      <c r="AB457" s="13">
        <v>0.99199999999999999</v>
      </c>
      <c r="AC457" s="13">
        <v>17.3</v>
      </c>
      <c r="AD457" s="13">
        <v>0.32</v>
      </c>
      <c r="AE457" s="13">
        <v>0.19</v>
      </c>
      <c r="AF457" s="13">
        <v>7.46</v>
      </c>
      <c r="AG457" s="13">
        <v>324</v>
      </c>
      <c r="AH457" s="13">
        <v>0.33</v>
      </c>
      <c r="AI457" s="13">
        <v>0</v>
      </c>
      <c r="AJ457" s="13">
        <v>3.92</v>
      </c>
      <c r="AK457" s="13">
        <v>2</v>
      </c>
      <c r="AL457" s="13">
        <v>0.78</v>
      </c>
      <c r="AM457" s="13">
        <v>0</v>
      </c>
      <c r="AN457" s="13">
        <v>0.22800000000000001</v>
      </c>
      <c r="AO457" s="13">
        <v>0.01</v>
      </c>
      <c r="AP457" s="13">
        <v>0.01</v>
      </c>
      <c r="AQ457" s="13">
        <v>2.7210000000000001</v>
      </c>
      <c r="AR457" s="13">
        <v>2.468</v>
      </c>
      <c r="AS457" s="13">
        <v>2.13632</v>
      </c>
      <c r="AT457" s="13">
        <v>0.3196</v>
      </c>
      <c r="AU457" s="13">
        <v>1.10344</v>
      </c>
      <c r="AV457" s="13">
        <v>2.27251</v>
      </c>
      <c r="AW457" s="13">
        <v>0.79974999999999996</v>
      </c>
      <c r="AX457" s="9">
        <f>Tabelle1[[#This Row],[Vitamin D3 '[µg/100g']]]*40</f>
        <v>14</v>
      </c>
      <c r="AY457" s="9">
        <f>Tabelle1[[#This Row],[Vitamin A '[µg/100g']]]*3.33</f>
        <v>57.609000000000002</v>
      </c>
      <c r="AZ457" s="9">
        <f>Tabelle1[[#This Row],[Vitamin E '[mg/100g']]]*1.49</f>
        <v>1.4780800000000001</v>
      </c>
    </row>
    <row r="458" spans="1:52" hidden="1" x14ac:dyDescent="0.45">
      <c r="A458" t="s">
        <v>58</v>
      </c>
      <c r="B458" s="3" t="s">
        <v>175</v>
      </c>
      <c r="C458" s="4" t="s">
        <v>176</v>
      </c>
      <c r="D458" s="11">
        <v>393</v>
      </c>
      <c r="E458" s="13">
        <f>Tabelle1[[#This Row],[Energie '[kcal/100g']]]/239</f>
        <v>1.6443514644351465</v>
      </c>
      <c r="F458" s="11">
        <v>27.71</v>
      </c>
      <c r="G458" s="11">
        <f>Tabelle1[[#This Row],[Rohprotein '[g/100g']]]*0.85</f>
        <v>23.5535</v>
      </c>
      <c r="H458" s="11">
        <v>31.36</v>
      </c>
      <c r="I458" s="11">
        <f>Tabelle1[[#This Row],[TS]]-Tabelle1[[#This Row],[Rohprotein '[g/100g']]]-Tabelle1[[#This Row],[Rohfett '[g/100g']]]-Tabelle1[[#This Row],[Rohasche '[g/100g']]]-Tabelle1[[#This Row],[Rohfaser '[g/100g']]]</f>
        <v>-0.2699999999999998</v>
      </c>
      <c r="J458" s="11">
        <v>0</v>
      </c>
      <c r="K458" s="11">
        <v>1.0900000000000001</v>
      </c>
      <c r="L458" s="11">
        <v>40.11</v>
      </c>
      <c r="M458" s="11">
        <f>100-Tabelle1[[#This Row],[Wasser '[g/100g']]]</f>
        <v>59.89</v>
      </c>
      <c r="N458" s="11">
        <v>5.2</v>
      </c>
      <c r="O458" s="11">
        <v>158.19999999999999</v>
      </c>
      <c r="P458" s="11">
        <v>19.100000000000001</v>
      </c>
      <c r="Q458" s="11">
        <v>52.7</v>
      </c>
      <c r="R458" s="11">
        <v>320.8</v>
      </c>
      <c r="S458" s="11"/>
      <c r="T458" s="11">
        <v>0.95269999999999999</v>
      </c>
      <c r="U458" s="11">
        <v>2.7031999999999998</v>
      </c>
      <c r="V458" s="11">
        <v>0</v>
      </c>
      <c r="W458" s="11">
        <v>85</v>
      </c>
      <c r="X458" s="11">
        <v>10.8</v>
      </c>
      <c r="Y458" s="11">
        <v>0</v>
      </c>
      <c r="Z458" s="11"/>
      <c r="AA458" s="11">
        <v>0.39</v>
      </c>
      <c r="AB458" s="11">
        <v>1.1619999999999999</v>
      </c>
      <c r="AC458" s="11">
        <v>17.3</v>
      </c>
      <c r="AD458" s="11">
        <v>0.35</v>
      </c>
      <c r="AE458" s="11">
        <v>0.2</v>
      </c>
      <c r="AF458" s="11">
        <v>6.26</v>
      </c>
      <c r="AG458" s="11">
        <v>322</v>
      </c>
      <c r="AH458" s="11">
        <v>0.34</v>
      </c>
      <c r="AI458" s="11">
        <v>0</v>
      </c>
      <c r="AJ458" s="11">
        <v>4.59</v>
      </c>
      <c r="AK458" s="11">
        <v>2</v>
      </c>
      <c r="AL458" s="11">
        <v>0.8</v>
      </c>
      <c r="AM458" s="11">
        <v>0</v>
      </c>
      <c r="AN458" s="11">
        <v>0.26600000000000001</v>
      </c>
      <c r="AO458" s="11">
        <v>0.01</v>
      </c>
      <c r="AP458" s="11">
        <v>0.01</v>
      </c>
      <c r="AQ458" s="11">
        <v>3.1850000000000001</v>
      </c>
      <c r="AR458" s="11">
        <v>2.89</v>
      </c>
      <c r="AS458" s="11">
        <v>2.28112</v>
      </c>
      <c r="AT458" s="11">
        <v>0.34129999999999999</v>
      </c>
      <c r="AU458" s="11">
        <v>1.1782300000000001</v>
      </c>
      <c r="AV458" s="11">
        <v>2.4265400000000001</v>
      </c>
      <c r="AW458" s="11">
        <v>0.85396000000000005</v>
      </c>
      <c r="AX458" s="9">
        <f>Tabelle1[[#This Row],[Vitamin D3 '[µg/100g']]]*40</f>
        <v>15.600000000000001</v>
      </c>
      <c r="AY458" s="9">
        <f>Tabelle1[[#This Row],[Vitamin A '[µg/100g']]]*3.33</f>
        <v>57.609000000000002</v>
      </c>
      <c r="AZ458" s="9">
        <f>Tabelle1[[#This Row],[Vitamin E '[mg/100g']]]*1.49</f>
        <v>1.7313799999999999</v>
      </c>
    </row>
    <row r="459" spans="1:52" hidden="1" x14ac:dyDescent="0.45">
      <c r="A459" t="s">
        <v>58</v>
      </c>
      <c r="B459" s="5" t="s">
        <v>177</v>
      </c>
      <c r="C459" s="6" t="s">
        <v>178</v>
      </c>
      <c r="D459" s="13">
        <v>271</v>
      </c>
      <c r="E459" s="13">
        <f>Tabelle1[[#This Row],[Energie '[kcal/100g']]]/239</f>
        <v>1.1338912133891212</v>
      </c>
      <c r="F459" s="13">
        <v>17.88</v>
      </c>
      <c r="G459" s="11">
        <f>Tabelle1[[#This Row],[Rohprotein '[g/100g']]]*0.85</f>
        <v>15.197999999999999</v>
      </c>
      <c r="H459" s="13">
        <v>22.14</v>
      </c>
      <c r="I459" s="11">
        <f>Tabelle1[[#This Row],[TS]]-Tabelle1[[#This Row],[Rohprotein '[g/100g']]]-Tabelle1[[#This Row],[Rohfett '[g/100g']]]-Tabelle1[[#This Row],[Rohasche '[g/100g']]]-Tabelle1[[#This Row],[Rohfaser '[g/100g']]]</f>
        <v>-0.27999999999999958</v>
      </c>
      <c r="J459" s="11">
        <v>0</v>
      </c>
      <c r="K459" s="13">
        <v>1.01</v>
      </c>
      <c r="L459" s="13">
        <v>59.25</v>
      </c>
      <c r="M459" s="13">
        <f>100-Tabelle1[[#This Row],[Wasser '[g/100g']]]</f>
        <v>40.75</v>
      </c>
      <c r="N459" s="13">
        <v>3.8</v>
      </c>
      <c r="O459" s="13">
        <v>146</v>
      </c>
      <c r="P459" s="13">
        <v>17.600000000000001</v>
      </c>
      <c r="Q459" s="13">
        <v>52.7</v>
      </c>
      <c r="R459" s="13">
        <v>296.10000000000002</v>
      </c>
      <c r="S459" s="13"/>
      <c r="T459" s="13">
        <v>0.5716</v>
      </c>
      <c r="U459" s="13">
        <v>1.8021</v>
      </c>
      <c r="V459" s="11">
        <v>0</v>
      </c>
      <c r="W459" s="13">
        <v>51</v>
      </c>
      <c r="X459" s="13">
        <v>6.5</v>
      </c>
      <c r="Y459" s="11">
        <v>0</v>
      </c>
      <c r="Z459" s="11"/>
      <c r="AA459" s="13">
        <v>0</v>
      </c>
      <c r="AB459" s="13">
        <v>0.82</v>
      </c>
      <c r="AC459" s="13">
        <v>59</v>
      </c>
      <c r="AD459" s="13">
        <v>0.5</v>
      </c>
      <c r="AE459" s="13">
        <v>0.16</v>
      </c>
      <c r="AF459" s="13">
        <v>5.78</v>
      </c>
      <c r="AG459" s="13">
        <v>402</v>
      </c>
      <c r="AH459" s="13">
        <v>0</v>
      </c>
      <c r="AI459" s="13">
        <v>0</v>
      </c>
      <c r="AJ459" s="13">
        <v>3.24</v>
      </c>
      <c r="AK459" s="13">
        <v>75</v>
      </c>
      <c r="AL459" s="13">
        <v>0.69</v>
      </c>
      <c r="AM459" s="13">
        <v>0</v>
      </c>
      <c r="AN459" s="13">
        <v>0.188</v>
      </c>
      <c r="AO459" s="13">
        <v>0.13467000000000001</v>
      </c>
      <c r="AP459" s="13">
        <v>0.106</v>
      </c>
      <c r="AQ459" s="13">
        <v>2.2490000000000001</v>
      </c>
      <c r="AR459" s="13">
        <v>2.04</v>
      </c>
      <c r="AS459" s="13">
        <v>1.4716899999999999</v>
      </c>
      <c r="AT459" s="13">
        <v>0.22020000000000001</v>
      </c>
      <c r="AU459" s="13">
        <v>0.76014999999999999</v>
      </c>
      <c r="AV459" s="13">
        <v>1.56551</v>
      </c>
      <c r="AW459" s="13">
        <v>0.55093999999999999</v>
      </c>
      <c r="AX459" s="9">
        <f>Tabelle1[[#This Row],[Vitamin D3 '[µg/100g']]]*40</f>
        <v>0</v>
      </c>
      <c r="AY459" s="9">
        <f>Tabelle1[[#This Row],[Vitamin A '[µg/100g']]]*3.33</f>
        <v>196.47</v>
      </c>
      <c r="AZ459" s="9">
        <f>Tabelle1[[#This Row],[Vitamin E '[mg/100g']]]*1.49</f>
        <v>1.2218</v>
      </c>
    </row>
    <row r="460" spans="1:52" hidden="1" x14ac:dyDescent="0.45">
      <c r="A460" t="s">
        <v>1151</v>
      </c>
      <c r="B460" s="3" t="s">
        <v>1131</v>
      </c>
      <c r="C460" s="4" t="s">
        <v>1132</v>
      </c>
      <c r="D460" s="11">
        <v>160</v>
      </c>
      <c r="E460" s="11">
        <f>Tabelle1[[#This Row],[Energie '[kcal/100g']]]/239</f>
        <v>0.66945606694560666</v>
      </c>
      <c r="F460" s="11">
        <v>24.7</v>
      </c>
      <c r="G460" s="11">
        <f>Tabelle1[[#This Row],[Rohprotein '[g/100g']]]*0.85</f>
        <v>20.994999999999997</v>
      </c>
      <c r="H460" s="11">
        <v>6.81</v>
      </c>
      <c r="I460" s="11">
        <f>Tabelle1[[#This Row],[TS]]-Tabelle1[[#This Row],[Rohprotein '[g/100g']]]-Tabelle1[[#This Row],[Rohfett '[g/100g']]]-Tabelle1[[#This Row],[Rohasche '[g/100g']]]-Tabelle1[[#This Row],[Rohfaser '[g/100g']]]</f>
        <v>-0.10000000000000053</v>
      </c>
      <c r="J460" s="11">
        <v>0</v>
      </c>
      <c r="K460" s="11">
        <v>1.17</v>
      </c>
      <c r="L460" s="11">
        <v>67.42</v>
      </c>
      <c r="M460" s="11">
        <f>100-Tabelle1[[#This Row],[Wasser '[g/100g']]]</f>
        <v>32.58</v>
      </c>
      <c r="N460" s="11">
        <v>6.6</v>
      </c>
      <c r="O460" s="11">
        <v>228.6</v>
      </c>
      <c r="P460" s="11">
        <v>23.3</v>
      </c>
      <c r="Q460" s="11">
        <v>143.80000000000001</v>
      </c>
      <c r="R460" s="11">
        <v>279.3</v>
      </c>
      <c r="S460" s="11"/>
      <c r="T460" s="11">
        <v>8.5754999999999999</v>
      </c>
      <c r="U460" s="11">
        <v>2.3005</v>
      </c>
      <c r="V460" s="11">
        <v>0</v>
      </c>
      <c r="W460" s="11">
        <v>478.8</v>
      </c>
      <c r="X460" s="11">
        <v>41.8</v>
      </c>
      <c r="Y460" s="11">
        <v>1.35</v>
      </c>
      <c r="Z460" s="11"/>
      <c r="AA460" s="11">
        <v>0.39</v>
      </c>
      <c r="AB460" s="11">
        <v>1.83</v>
      </c>
      <c r="AC460" s="11">
        <v>93</v>
      </c>
      <c r="AD460" s="11">
        <v>0.32600000000000001</v>
      </c>
      <c r="AE460" s="11">
        <v>0.74299999999999999</v>
      </c>
      <c r="AF460" s="11">
        <v>11.77</v>
      </c>
      <c r="AG460" s="11">
        <v>397</v>
      </c>
      <c r="AH460" s="11">
        <v>1.22</v>
      </c>
      <c r="AI460" s="11">
        <v>3.41</v>
      </c>
      <c r="AJ460" s="13">
        <v>0</v>
      </c>
      <c r="AK460" s="11">
        <v>6</v>
      </c>
      <c r="AL460" s="11">
        <v>0.42</v>
      </c>
      <c r="AM460" s="11">
        <v>0</v>
      </c>
      <c r="AN460" s="11">
        <v>8.2000000000000003E-2</v>
      </c>
      <c r="AO460" s="11">
        <v>6.9999999999999999E-4</v>
      </c>
      <c r="AP460" s="11">
        <v>5.0000000000000001E-4</v>
      </c>
      <c r="AQ460" s="11">
        <v>0.79300000000000004</v>
      </c>
      <c r="AR460" s="11">
        <v>0.747</v>
      </c>
      <c r="AS460" s="11">
        <v>1.6519999999999999</v>
      </c>
      <c r="AT460" s="11">
        <v>0.35099999999999998</v>
      </c>
      <c r="AU460" s="11">
        <v>1.0820000000000001</v>
      </c>
      <c r="AV460" s="11">
        <v>2.5720000000000001</v>
      </c>
      <c r="AW460" s="11">
        <v>0.67200000000000004</v>
      </c>
      <c r="AX460" s="9">
        <f>Tabelle1[[#This Row],[Vitamin D3 '[µg/100g']]]*40</f>
        <v>15.600000000000001</v>
      </c>
      <c r="AY460" s="9">
        <f>Tabelle1[[#This Row],[Vitamin A '[µg/100g']]]*3.33</f>
        <v>309.69</v>
      </c>
      <c r="AZ460" s="9">
        <f>Tabelle1[[#This Row],[Vitamin E '[mg/100g']]]*1.49</f>
        <v>2.7267000000000001</v>
      </c>
    </row>
    <row r="461" spans="1:52" hidden="1" x14ac:dyDescent="0.45">
      <c r="A461" s="3" t="s">
        <v>1151</v>
      </c>
      <c r="B461" s="5" t="s">
        <v>1133</v>
      </c>
      <c r="C461" s="6" t="s">
        <v>1134</v>
      </c>
      <c r="D461" s="13">
        <v>195</v>
      </c>
      <c r="E461" s="11">
        <f>Tabelle1[[#This Row],[Energie '[kcal/100g']]]/239</f>
        <v>0.81589958158995812</v>
      </c>
      <c r="F461" s="13">
        <v>29.106000000000002</v>
      </c>
      <c r="G461" s="11">
        <f>Tabelle1[[#This Row],[Rohprotein '[g/100g']]]*0.85</f>
        <v>24.740100000000002</v>
      </c>
      <c r="H461" s="13">
        <v>8.6999999999999993</v>
      </c>
      <c r="I461" s="11">
        <f>Tabelle1[[#This Row],[TS]]-Tabelle1[[#This Row],[Rohprotein '[g/100g']]]-Tabelle1[[#This Row],[Rohfett '[g/100g']]]-Tabelle1[[#This Row],[Rohasche '[g/100g']]]-Tabelle1[[#This Row],[Rohfaser '[g/100g']]]</f>
        <v>-9.6000000000003416E-2</v>
      </c>
      <c r="J461" s="11">
        <v>0</v>
      </c>
      <c r="K461" s="13">
        <v>1.41</v>
      </c>
      <c r="L461" s="13">
        <v>60.88</v>
      </c>
      <c r="M461" s="13">
        <f>100-Tabelle1[[#This Row],[Wasser '[g/100g']]]</f>
        <v>39.119999999999997</v>
      </c>
      <c r="N461" s="13">
        <v>7.3</v>
      </c>
      <c r="O461" s="13">
        <v>210.4</v>
      </c>
      <c r="P461" s="13">
        <v>21.4</v>
      </c>
      <c r="Q461" s="13">
        <v>122.2</v>
      </c>
      <c r="R461" s="13">
        <v>364.2</v>
      </c>
      <c r="S461" s="13"/>
      <c r="T461" s="13">
        <v>10.3224</v>
      </c>
      <c r="U461" s="13">
        <v>2.4922</v>
      </c>
      <c r="V461" s="11">
        <v>0</v>
      </c>
      <c r="W461" s="13">
        <v>576.29999999999995</v>
      </c>
      <c r="X461" s="13">
        <v>50.4</v>
      </c>
      <c r="Y461" s="13">
        <v>1.43</v>
      </c>
      <c r="Z461" s="13"/>
      <c r="AA461" s="13">
        <v>0.47</v>
      </c>
      <c r="AB461" s="13">
        <v>2.2000000000000002</v>
      </c>
      <c r="AC461" s="13">
        <v>193</v>
      </c>
      <c r="AD461" s="13">
        <v>0.33</v>
      </c>
      <c r="AE461" s="13">
        <v>0.78900000000000003</v>
      </c>
      <c r="AF461" s="13">
        <v>12.28</v>
      </c>
      <c r="AG461" s="13">
        <v>382</v>
      </c>
      <c r="AH461" s="13">
        <v>1.1000000000000001</v>
      </c>
      <c r="AI461" s="13">
        <v>3.85</v>
      </c>
      <c r="AJ461" s="13">
        <v>0</v>
      </c>
      <c r="AK461" s="13">
        <v>19</v>
      </c>
      <c r="AL461" s="13">
        <v>0.39</v>
      </c>
      <c r="AM461" s="13">
        <v>0</v>
      </c>
      <c r="AN461" s="13">
        <v>0.104</v>
      </c>
      <c r="AO461" s="13">
        <v>2.4E-2</v>
      </c>
      <c r="AP461" s="13">
        <v>1.7999999999999999E-2</v>
      </c>
      <c r="AQ461" s="13">
        <v>1.014</v>
      </c>
      <c r="AR461" s="13">
        <v>0.95499999999999996</v>
      </c>
      <c r="AS461" s="13">
        <v>1.946</v>
      </c>
      <c r="AT461" s="13">
        <v>0.41299999999999998</v>
      </c>
      <c r="AU461" s="13">
        <v>1.274</v>
      </c>
      <c r="AV461" s="13">
        <v>3.0310000000000001</v>
      </c>
      <c r="AW461" s="13">
        <v>0.79200000000000004</v>
      </c>
      <c r="AX461" s="9">
        <f>Tabelle1[[#This Row],[Vitamin D3 '[µg/100g']]]*40</f>
        <v>18.799999999999997</v>
      </c>
      <c r="AY461" s="9">
        <f>Tabelle1[[#This Row],[Vitamin A '[µg/100g']]]*3.33</f>
        <v>642.69000000000005</v>
      </c>
      <c r="AZ461" s="9">
        <f>Tabelle1[[#This Row],[Vitamin E '[mg/100g']]]*1.49</f>
        <v>3.278</v>
      </c>
    </row>
    <row r="462" spans="1:52" hidden="1" x14ac:dyDescent="0.45">
      <c r="A462" s="3" t="s">
        <v>1151</v>
      </c>
      <c r="B462" s="5" t="s">
        <v>1135</v>
      </c>
      <c r="C462" s="6" t="s">
        <v>1136</v>
      </c>
      <c r="D462" s="13">
        <v>117</v>
      </c>
      <c r="E462" s="11">
        <f>Tabelle1[[#This Row],[Energie '[kcal/100g']]]/239</f>
        <v>0.4895397489539749</v>
      </c>
      <c r="F462" s="13">
        <v>16.899999999999999</v>
      </c>
      <c r="G462" s="11">
        <f>Tabelle1[[#This Row],[Rohprotein '[g/100g']]]*0.85</f>
        <v>14.364999999999998</v>
      </c>
      <c r="H462" s="13">
        <v>5.53</v>
      </c>
      <c r="I462" s="11">
        <f>Tabelle1[[#This Row],[TS]]-Tabelle1[[#This Row],[Rohprotein '[g/100g']]]-Tabelle1[[#This Row],[Rohfett '[g/100g']]]-Tabelle1[[#This Row],[Rohasche '[g/100g']]]-Tabelle1[[#This Row],[Rohfaser '[g/100g']]]</f>
        <v>-9.9999999999998757E-2</v>
      </c>
      <c r="J462" s="11">
        <v>0</v>
      </c>
      <c r="K462" s="13">
        <v>1.17</v>
      </c>
      <c r="L462" s="13">
        <v>76.5</v>
      </c>
      <c r="M462" s="13">
        <f>100-Tabelle1[[#This Row],[Wasser '[g/100g']]]</f>
        <v>23.5</v>
      </c>
      <c r="N462" s="13">
        <v>4.8</v>
      </c>
      <c r="O462" s="13">
        <v>174.8</v>
      </c>
      <c r="P462" s="13">
        <v>17.8</v>
      </c>
      <c r="Q462" s="13">
        <v>110</v>
      </c>
      <c r="R462" s="13">
        <v>302.60000000000002</v>
      </c>
      <c r="S462" s="13"/>
      <c r="T462" s="13">
        <v>5.5740999999999996</v>
      </c>
      <c r="U462" s="13">
        <v>1.4953000000000001</v>
      </c>
      <c r="V462" s="11">
        <v>0</v>
      </c>
      <c r="W462" s="13">
        <v>311.2</v>
      </c>
      <c r="X462" s="13">
        <v>27.2</v>
      </c>
      <c r="Y462" s="13">
        <v>1.1000000000000001</v>
      </c>
      <c r="Z462" s="13"/>
      <c r="AA462" s="13">
        <v>0.32</v>
      </c>
      <c r="AB462" s="13">
        <v>1.4</v>
      </c>
      <c r="AC462" s="13">
        <v>9267.9</v>
      </c>
      <c r="AD462" s="13">
        <v>0.42399999999999999</v>
      </c>
      <c r="AE462" s="13">
        <v>0.56799999999999995</v>
      </c>
      <c r="AF462" s="13">
        <v>10.199999999999999</v>
      </c>
      <c r="AG462" s="13">
        <v>430</v>
      </c>
      <c r="AH462" s="13">
        <v>0.99</v>
      </c>
      <c r="AI462" s="13">
        <v>2.77</v>
      </c>
      <c r="AJ462" s="13">
        <v>0</v>
      </c>
      <c r="AK462" s="13">
        <v>676.8</v>
      </c>
      <c r="AL462" s="13">
        <v>0.3</v>
      </c>
      <c r="AM462" s="13">
        <v>0</v>
      </c>
      <c r="AN462" s="13">
        <v>6.6000000000000003E-2</v>
      </c>
      <c r="AO462" s="13">
        <v>2.3099999999999999E-2</v>
      </c>
      <c r="AP462" s="13">
        <v>6.1499999999999999E-2</v>
      </c>
      <c r="AQ462" s="13">
        <v>0.64500000000000002</v>
      </c>
      <c r="AR462" s="13">
        <v>0.60699999999999998</v>
      </c>
      <c r="AS462" s="13">
        <v>1.1299999999999999</v>
      </c>
      <c r="AT462" s="13">
        <v>0.24</v>
      </c>
      <c r="AU462" s="13">
        <v>0.74</v>
      </c>
      <c r="AV462" s="13">
        <v>1.76</v>
      </c>
      <c r="AW462" s="13">
        <v>0.46</v>
      </c>
      <c r="AX462" s="9">
        <f>Tabelle1[[#This Row],[Vitamin D3 '[µg/100g']]]*40</f>
        <v>12.8</v>
      </c>
      <c r="AY462" s="9">
        <f>Tabelle1[[#This Row],[Vitamin A '[µg/100g']]]*3.33</f>
        <v>30862.107</v>
      </c>
      <c r="AZ462" s="9">
        <f>Tabelle1[[#This Row],[Vitamin E '[mg/100g']]]*1.49</f>
        <v>2.0859999999999999</v>
      </c>
    </row>
    <row r="463" spans="1:52" hidden="1" x14ac:dyDescent="0.45">
      <c r="A463" s="3" t="s">
        <v>58</v>
      </c>
      <c r="B463" s="3" t="s">
        <v>179</v>
      </c>
      <c r="C463" s="4" t="s">
        <v>180</v>
      </c>
      <c r="D463" s="11">
        <v>156</v>
      </c>
      <c r="E463" s="13">
        <f>Tabelle1[[#This Row],[Energie '[kcal/100g']]]/239</f>
        <v>0.65271966527196656</v>
      </c>
      <c r="F463" s="11">
        <v>28.6</v>
      </c>
      <c r="G463" s="11">
        <f>Tabelle1[[#This Row],[Rohprotein '[g/100g']]]*0.85</f>
        <v>24.310000000000002</v>
      </c>
      <c r="H463" s="11">
        <v>4.57</v>
      </c>
      <c r="I463" s="11">
        <f>Tabelle1[[#This Row],[TS]]-Tabelle1[[#This Row],[Rohprotein '[g/100g']]]-Tabelle1[[#This Row],[Rohfett '[g/100g']]]-Tabelle1[[#This Row],[Rohasche '[g/100g']]]-Tabelle1[[#This Row],[Rohfaser '[g/100g']]]</f>
        <v>-0.68999999999999884</v>
      </c>
      <c r="J463" s="11">
        <v>0</v>
      </c>
      <c r="K463" s="11">
        <v>1.22</v>
      </c>
      <c r="L463" s="11">
        <v>66.3</v>
      </c>
      <c r="M463" s="11">
        <f>100-Tabelle1[[#This Row],[Wasser '[g/100g']]]</f>
        <v>33.700000000000003</v>
      </c>
      <c r="N463" s="11">
        <v>4.4000000000000004</v>
      </c>
      <c r="O463" s="11">
        <v>229.5</v>
      </c>
      <c r="P463" s="11">
        <v>26.6</v>
      </c>
      <c r="Q463" s="11">
        <v>52.6</v>
      </c>
      <c r="R463" s="11">
        <v>373.5</v>
      </c>
      <c r="S463" s="11"/>
      <c r="T463" s="11">
        <v>0.73540000000000005</v>
      </c>
      <c r="U463" s="11">
        <v>1.9542999999999999</v>
      </c>
      <c r="V463" s="11">
        <v>0</v>
      </c>
      <c r="W463" s="11">
        <v>71.5</v>
      </c>
      <c r="X463" s="11">
        <v>9.1999999999999993</v>
      </c>
      <c r="Y463" s="11">
        <v>0</v>
      </c>
      <c r="Z463" s="11"/>
      <c r="AA463" s="11">
        <v>0</v>
      </c>
      <c r="AB463" s="11">
        <v>0.57799999999999996</v>
      </c>
      <c r="AC463" s="11">
        <v>17</v>
      </c>
      <c r="AD463" s="11">
        <v>0.5</v>
      </c>
      <c r="AE463" s="11">
        <v>0.21</v>
      </c>
      <c r="AF463" s="11">
        <v>8.89</v>
      </c>
      <c r="AG463" s="11">
        <v>549</v>
      </c>
      <c r="AH463" s="11">
        <v>0.19</v>
      </c>
      <c r="AI463" s="11">
        <v>0</v>
      </c>
      <c r="AJ463" s="11">
        <v>2.96</v>
      </c>
      <c r="AK463" s="11">
        <v>2.4</v>
      </c>
      <c r="AL463" s="11">
        <v>0.95</v>
      </c>
      <c r="AM463" s="11">
        <v>0</v>
      </c>
      <c r="AN463" s="11">
        <v>3.2899999999999999E-2</v>
      </c>
      <c r="AO463" s="11">
        <v>1.11E-2</v>
      </c>
      <c r="AP463" s="11">
        <v>8.0000000000000002E-3</v>
      </c>
      <c r="AQ463" s="11">
        <v>0.35699999999999998</v>
      </c>
      <c r="AR463" s="11">
        <v>0.316</v>
      </c>
      <c r="AS463" s="11">
        <v>2.26756</v>
      </c>
      <c r="AT463" s="11">
        <v>0.34370000000000001</v>
      </c>
      <c r="AU463" s="11">
        <v>1.27939</v>
      </c>
      <c r="AV463" s="11">
        <v>2.4846200000000001</v>
      </c>
      <c r="AW463" s="11">
        <v>0.85255000000000003</v>
      </c>
      <c r="AX463" s="9">
        <f>Tabelle1[[#This Row],[Vitamin D3 '[µg/100g']]]*40</f>
        <v>0</v>
      </c>
      <c r="AY463" s="9">
        <f>Tabelle1[[#This Row],[Vitamin A '[µg/100g']]]*3.33</f>
        <v>56.61</v>
      </c>
      <c r="AZ463" s="9">
        <f>Tabelle1[[#This Row],[Vitamin E '[mg/100g']]]*1.49</f>
        <v>0.86121999999999999</v>
      </c>
    </row>
    <row r="464" spans="1:52" hidden="1" x14ac:dyDescent="0.45">
      <c r="A464" s="3" t="s">
        <v>58</v>
      </c>
      <c r="B464" s="5" t="s">
        <v>181</v>
      </c>
      <c r="C464" s="6" t="s">
        <v>182</v>
      </c>
      <c r="D464" s="13">
        <v>167</v>
      </c>
      <c r="E464" s="13">
        <f>Tabelle1[[#This Row],[Energie '[kcal/100g']]]/239</f>
        <v>0.69874476987447698</v>
      </c>
      <c r="F464" s="13">
        <v>30.03</v>
      </c>
      <c r="G464" s="11">
        <f>Tabelle1[[#This Row],[Rohprotein '[g/100g']]]*0.85</f>
        <v>25.525500000000001</v>
      </c>
      <c r="H464" s="13">
        <v>5.21</v>
      </c>
      <c r="I464" s="11">
        <f>Tabelle1[[#This Row],[TS]]-Tabelle1[[#This Row],[Rohprotein '[g/100g']]]-Tabelle1[[#This Row],[Rohfett '[g/100g']]]-Tabelle1[[#This Row],[Rohasche '[g/100g']]]-Tabelle1[[#This Row],[Rohfaser '[g/100g']]]</f>
        <v>-0.70000000000000684</v>
      </c>
      <c r="J464" s="11">
        <v>0</v>
      </c>
      <c r="K464" s="13">
        <v>1.31</v>
      </c>
      <c r="L464" s="13">
        <v>64.150000000000006</v>
      </c>
      <c r="M464" s="13">
        <f>100-Tabelle1[[#This Row],[Wasser '[g/100g']]]</f>
        <v>35.849999999999994</v>
      </c>
      <c r="N464" s="13">
        <v>4.2</v>
      </c>
      <c r="O464" s="13">
        <v>188.2</v>
      </c>
      <c r="P464" s="13">
        <v>23.2</v>
      </c>
      <c r="Q464" s="13">
        <v>41.3</v>
      </c>
      <c r="R464" s="13">
        <v>371.9</v>
      </c>
      <c r="S464" s="13"/>
      <c r="T464" s="13">
        <v>0.78869999999999996</v>
      </c>
      <c r="U464" s="13">
        <v>1.8863000000000001</v>
      </c>
      <c r="V464" s="11">
        <v>0</v>
      </c>
      <c r="W464" s="13">
        <v>76.7</v>
      </c>
      <c r="X464" s="13">
        <v>9.9</v>
      </c>
      <c r="Y464" s="11">
        <v>0</v>
      </c>
      <c r="Z464" s="11"/>
      <c r="AA464" s="13">
        <v>0</v>
      </c>
      <c r="AB464" s="13">
        <v>0.62</v>
      </c>
      <c r="AC464" s="13">
        <v>18.2</v>
      </c>
      <c r="AD464" s="13">
        <v>0.41</v>
      </c>
      <c r="AE464" s="13">
        <v>0.18</v>
      </c>
      <c r="AF464" s="13">
        <v>7.74</v>
      </c>
      <c r="AG464" s="13">
        <v>392</v>
      </c>
      <c r="AH464" s="13">
        <v>0.16</v>
      </c>
      <c r="AI464" s="13">
        <v>0</v>
      </c>
      <c r="AJ464" s="13">
        <v>3.18</v>
      </c>
      <c r="AK464" s="13">
        <v>2.4</v>
      </c>
      <c r="AL464" s="13">
        <v>0.79</v>
      </c>
      <c r="AM464" s="13">
        <v>0</v>
      </c>
      <c r="AN464" s="13">
        <v>3.7600000000000001E-2</v>
      </c>
      <c r="AO464" s="13">
        <v>1.0500000000000001E-2</v>
      </c>
      <c r="AP464" s="13">
        <v>7.6E-3</v>
      </c>
      <c r="AQ464" s="13">
        <v>0.40699999999999997</v>
      </c>
      <c r="AR464" s="13">
        <v>0.36</v>
      </c>
      <c r="AS464" s="13">
        <v>2.3806799999999999</v>
      </c>
      <c r="AT464" s="13">
        <v>0.36080000000000001</v>
      </c>
      <c r="AU464" s="13">
        <v>1.3432200000000001</v>
      </c>
      <c r="AV464" s="13">
        <v>2.6085699999999998</v>
      </c>
      <c r="AW464" s="13">
        <v>0.89507999999999999</v>
      </c>
      <c r="AX464" s="9">
        <f>Tabelle1[[#This Row],[Vitamin D3 '[µg/100g']]]*40</f>
        <v>0</v>
      </c>
      <c r="AY464" s="9">
        <f>Tabelle1[[#This Row],[Vitamin A '[µg/100g']]]*3.33</f>
        <v>60.606000000000002</v>
      </c>
      <c r="AZ464" s="9">
        <f>Tabelle1[[#This Row],[Vitamin E '[mg/100g']]]*1.49</f>
        <v>0.92379999999999995</v>
      </c>
    </row>
    <row r="465" spans="1:52" hidden="1" x14ac:dyDescent="0.45">
      <c r="A465" s="3" t="s">
        <v>58</v>
      </c>
      <c r="B465" s="3" t="s">
        <v>183</v>
      </c>
      <c r="C465" s="4" t="s">
        <v>184</v>
      </c>
      <c r="D465" s="11">
        <v>127</v>
      </c>
      <c r="E465" s="13">
        <f>Tabelle1[[#This Row],[Energie '[kcal/100g']]]/239</f>
        <v>0.53138075313807531</v>
      </c>
      <c r="F465" s="11">
        <v>22.28</v>
      </c>
      <c r="G465" s="11">
        <f>Tabelle1[[#This Row],[Rohprotein '[g/100g']]]*0.85</f>
        <v>18.937999999999999</v>
      </c>
      <c r="H465" s="11">
        <v>4.2300000000000004</v>
      </c>
      <c r="I465" s="11">
        <f>Tabelle1[[#This Row],[TS]]-Tabelle1[[#This Row],[Rohprotein '[g/100g']]]-Tabelle1[[#This Row],[Rohfett '[g/100g']]]-Tabelle1[[#This Row],[Rohasche '[g/100g']]]-Tabelle1[[#This Row],[Rohfaser '[g/100g']]]</f>
        <v>-0.69999999999999862</v>
      </c>
      <c r="J465" s="11">
        <v>0</v>
      </c>
      <c r="K465" s="11">
        <v>1.39</v>
      </c>
      <c r="L465" s="11">
        <v>72.8</v>
      </c>
      <c r="M465" s="11">
        <f>100-Tabelle1[[#This Row],[Wasser '[g/100g']]]</f>
        <v>27.200000000000003</v>
      </c>
      <c r="N465" s="11">
        <v>3.5</v>
      </c>
      <c r="O465" s="11">
        <v>199.8</v>
      </c>
      <c r="P465" s="11">
        <v>24.6</v>
      </c>
      <c r="Q465" s="11">
        <v>47.5</v>
      </c>
      <c r="R465" s="11">
        <v>394.8</v>
      </c>
      <c r="S465" s="11"/>
      <c r="T465" s="11">
        <v>0.54420000000000002</v>
      </c>
      <c r="U465" s="11">
        <v>1.4461999999999999</v>
      </c>
      <c r="V465" s="11">
        <v>0</v>
      </c>
      <c r="W465" s="11">
        <v>52.9</v>
      </c>
      <c r="X465" s="11">
        <v>6.8</v>
      </c>
      <c r="Y465" s="11">
        <v>0</v>
      </c>
      <c r="Z465" s="11"/>
      <c r="AA465" s="11">
        <v>0</v>
      </c>
      <c r="AB465" s="11">
        <v>0.503</v>
      </c>
      <c r="AC465" s="11">
        <v>46</v>
      </c>
      <c r="AD465" s="11">
        <v>0.67</v>
      </c>
      <c r="AE465" s="11">
        <v>0.17</v>
      </c>
      <c r="AF465" s="11">
        <v>8.2200000000000006</v>
      </c>
      <c r="AG465" s="11">
        <v>564</v>
      </c>
      <c r="AH465" s="11">
        <v>0</v>
      </c>
      <c r="AI465" s="11">
        <v>0</v>
      </c>
      <c r="AJ465" s="11">
        <v>2.58</v>
      </c>
      <c r="AK465" s="11">
        <v>16</v>
      </c>
      <c r="AL465" s="11">
        <v>0.78</v>
      </c>
      <c r="AM465" s="11">
        <v>0</v>
      </c>
      <c r="AN465" s="11">
        <v>3.04E-2</v>
      </c>
      <c r="AO465" s="11">
        <v>2.8400000000000002E-2</v>
      </c>
      <c r="AP465" s="11">
        <v>7.0000000000000001E-3</v>
      </c>
      <c r="AQ465" s="11">
        <v>0.33</v>
      </c>
      <c r="AR465" s="11">
        <v>0.29199999999999998</v>
      </c>
      <c r="AS465" s="11">
        <v>1.76631</v>
      </c>
      <c r="AT465" s="11">
        <v>0.26769999999999999</v>
      </c>
      <c r="AU465" s="11">
        <v>0.99658000000000002</v>
      </c>
      <c r="AV465" s="11">
        <v>1.9353899999999999</v>
      </c>
      <c r="AW465" s="11">
        <v>0.66408999999999996</v>
      </c>
      <c r="AX465" s="9">
        <f>Tabelle1[[#This Row],[Vitamin D3 '[µg/100g']]]*40</f>
        <v>0</v>
      </c>
      <c r="AY465" s="9">
        <f>Tabelle1[[#This Row],[Vitamin A '[µg/100g']]]*3.33</f>
        <v>153.18</v>
      </c>
      <c r="AZ465" s="9">
        <f>Tabelle1[[#This Row],[Vitamin E '[mg/100g']]]*1.49</f>
        <v>0.74946999999999997</v>
      </c>
    </row>
    <row r="466" spans="1:52" hidden="1" x14ac:dyDescent="0.45">
      <c r="A466" s="3" t="s">
        <v>58</v>
      </c>
      <c r="B466" s="3" t="s">
        <v>185</v>
      </c>
      <c r="C466" s="4" t="s">
        <v>186</v>
      </c>
      <c r="D466" s="11">
        <v>205</v>
      </c>
      <c r="E466" s="13">
        <f>Tabelle1[[#This Row],[Energie '[kcal/100g']]]/239</f>
        <v>0.85774058577405854</v>
      </c>
      <c r="F466" s="11">
        <v>24.66</v>
      </c>
      <c r="G466" s="11">
        <f>Tabelle1[[#This Row],[Rohprotein '[g/100g']]]*0.85</f>
        <v>20.960999999999999</v>
      </c>
      <c r="H466" s="11">
        <v>11.78</v>
      </c>
      <c r="I466" s="11">
        <f>Tabelle1[[#This Row],[TS]]-Tabelle1[[#This Row],[Rohprotein '[g/100g']]]-Tabelle1[[#This Row],[Rohfett '[g/100g']]]-Tabelle1[[#This Row],[Rohasche '[g/100g']]]-Tabelle1[[#This Row],[Rohfaser '[g/100g']]]</f>
        <v>-0.34000000000000075</v>
      </c>
      <c r="J466" s="11">
        <v>0</v>
      </c>
      <c r="K466" s="11">
        <v>1.1200000000000001</v>
      </c>
      <c r="L466" s="11">
        <v>62.78</v>
      </c>
      <c r="M466" s="11">
        <f>100-Tabelle1[[#This Row],[Wasser '[g/100g']]]</f>
        <v>37.22</v>
      </c>
      <c r="N466" s="11">
        <v>4.5999999999999996</v>
      </c>
      <c r="O466" s="11">
        <v>189.1</v>
      </c>
      <c r="P466" s="11">
        <v>20.9</v>
      </c>
      <c r="Q466" s="11">
        <v>60.2</v>
      </c>
      <c r="R466" s="11">
        <v>327</v>
      </c>
      <c r="S466" s="11"/>
      <c r="T466" s="11">
        <v>1.1919999999999999</v>
      </c>
      <c r="U466" s="11">
        <v>3.6646999999999998</v>
      </c>
      <c r="V466" s="11">
        <v>0</v>
      </c>
      <c r="W466" s="11">
        <v>98.6</v>
      </c>
      <c r="X466" s="11">
        <v>12</v>
      </c>
      <c r="Y466" s="11">
        <v>0</v>
      </c>
      <c r="Z466" s="11"/>
      <c r="AA466" s="11">
        <v>0.28999999999999998</v>
      </c>
      <c r="AB466" s="11">
        <v>0.95699999999999996</v>
      </c>
      <c r="AC466" s="11">
        <v>14</v>
      </c>
      <c r="AD466" s="11">
        <v>0.55000000000000004</v>
      </c>
      <c r="AE466" s="11">
        <v>0.28000000000000003</v>
      </c>
      <c r="AF466" s="11">
        <v>5.57</v>
      </c>
      <c r="AG466" s="11">
        <v>381</v>
      </c>
      <c r="AH466" s="11">
        <v>0.45</v>
      </c>
      <c r="AI466" s="11">
        <v>0</v>
      </c>
      <c r="AJ466" s="11">
        <v>3.3</v>
      </c>
      <c r="AK466" s="11">
        <v>1</v>
      </c>
      <c r="AL466" s="11">
        <v>1.07</v>
      </c>
      <c r="AM466" s="11">
        <v>0</v>
      </c>
      <c r="AN466" s="11">
        <v>8.8800000000000004E-2</v>
      </c>
      <c r="AO466" s="11">
        <v>0</v>
      </c>
      <c r="AP466" s="11">
        <v>1.6000000000000001E-4</v>
      </c>
      <c r="AQ466" s="11">
        <v>1.0028999999999999</v>
      </c>
      <c r="AR466" s="11">
        <v>0.8911</v>
      </c>
      <c r="AS466" s="11">
        <v>1.8959900000000001</v>
      </c>
      <c r="AT466" s="11">
        <v>0.30370000000000003</v>
      </c>
      <c r="AU466" s="11">
        <v>0.91066000000000003</v>
      </c>
      <c r="AV466" s="11">
        <v>2.2399200000000001</v>
      </c>
      <c r="AW466" s="11">
        <v>0.74467000000000005</v>
      </c>
      <c r="AX466" s="9">
        <f>Tabelle1[[#This Row],[Vitamin D3 '[µg/100g']]]*40</f>
        <v>11.6</v>
      </c>
      <c r="AY466" s="9">
        <f>Tabelle1[[#This Row],[Vitamin A '[µg/100g']]]*3.33</f>
        <v>46.620000000000005</v>
      </c>
      <c r="AZ466" s="9">
        <f>Tabelle1[[#This Row],[Vitamin E '[mg/100g']]]*1.49</f>
        <v>1.4259299999999999</v>
      </c>
    </row>
    <row r="467" spans="1:52" hidden="1" x14ac:dyDescent="0.45">
      <c r="A467" s="3" t="s">
        <v>58</v>
      </c>
      <c r="B467" s="3" t="s">
        <v>187</v>
      </c>
      <c r="C467" s="4" t="s">
        <v>188</v>
      </c>
      <c r="D467" s="11">
        <v>175</v>
      </c>
      <c r="E467" s="13">
        <f>Tabelle1[[#This Row],[Energie '[kcal/100g']]]/239</f>
        <v>0.73221757322175729</v>
      </c>
      <c r="F467" s="11">
        <v>19.21</v>
      </c>
      <c r="G467" s="11">
        <f>Tabelle1[[#This Row],[Rohprotein '[g/100g']]]*0.85</f>
        <v>16.328500000000002</v>
      </c>
      <c r="H467" s="11">
        <v>10.9</v>
      </c>
      <c r="I467" s="11">
        <f>Tabelle1[[#This Row],[TS]]-Tabelle1[[#This Row],[Rohprotein '[g/100g']]]-Tabelle1[[#This Row],[Rohfett '[g/100g']]]-Tabelle1[[#This Row],[Rohasche '[g/100g']]]-Tabelle1[[#This Row],[Rohfaser '[g/100g']]]</f>
        <v>-0.33999999999999497</v>
      </c>
      <c r="J467" s="11">
        <v>0</v>
      </c>
      <c r="K467" s="11">
        <v>1.27</v>
      </c>
      <c r="L467" s="11">
        <v>68.959999999999994</v>
      </c>
      <c r="M467" s="11">
        <f>100-Tabelle1[[#This Row],[Wasser '[g/100g']]]</f>
        <v>31.040000000000006</v>
      </c>
      <c r="N467" s="11">
        <v>3.7</v>
      </c>
      <c r="O467" s="11">
        <v>164.6</v>
      </c>
      <c r="P467" s="11">
        <v>19.3</v>
      </c>
      <c r="Q467" s="11">
        <v>54.3</v>
      </c>
      <c r="R467" s="11">
        <v>345.7</v>
      </c>
      <c r="S467" s="11"/>
      <c r="T467" s="11">
        <v>0.8821</v>
      </c>
      <c r="U467" s="11">
        <v>2.7119</v>
      </c>
      <c r="V467" s="11">
        <v>0</v>
      </c>
      <c r="W467" s="11">
        <v>73</v>
      </c>
      <c r="X467" s="11">
        <v>8.9</v>
      </c>
      <c r="Y467" s="11">
        <v>0</v>
      </c>
      <c r="Z467" s="11"/>
      <c r="AA467" s="11">
        <v>0</v>
      </c>
      <c r="AB467" s="11">
        <v>0.83299999999999996</v>
      </c>
      <c r="AC467" s="11">
        <v>327</v>
      </c>
      <c r="AD467" s="11">
        <v>0.74</v>
      </c>
      <c r="AE467" s="11">
        <v>0.23</v>
      </c>
      <c r="AF467" s="11">
        <v>5.15</v>
      </c>
      <c r="AG467" s="11">
        <v>392</v>
      </c>
      <c r="AH467" s="11">
        <v>0</v>
      </c>
      <c r="AI467" s="11">
        <v>0</v>
      </c>
      <c r="AJ467" s="11">
        <v>2.87</v>
      </c>
      <c r="AK467" s="11">
        <v>19</v>
      </c>
      <c r="AL467" s="11">
        <v>0.88</v>
      </c>
      <c r="AM467" s="11">
        <v>0</v>
      </c>
      <c r="AN467" s="11">
        <v>8.2199999999999995E-2</v>
      </c>
      <c r="AO467" s="11">
        <v>1.2E-2</v>
      </c>
      <c r="AP467" s="11">
        <v>0.01</v>
      </c>
      <c r="AQ467" s="11">
        <v>0.92769999999999997</v>
      </c>
      <c r="AR467" s="11">
        <v>0.82430000000000003</v>
      </c>
      <c r="AS467" s="11">
        <v>1.47688</v>
      </c>
      <c r="AT467" s="11">
        <v>0.2366</v>
      </c>
      <c r="AU467" s="11">
        <v>0.70935999999999999</v>
      </c>
      <c r="AV467" s="11">
        <v>1.74478</v>
      </c>
      <c r="AW467" s="11">
        <v>0.58006000000000002</v>
      </c>
      <c r="AX467" s="9">
        <f>Tabelle1[[#This Row],[Vitamin D3 '[µg/100g']]]*40</f>
        <v>0</v>
      </c>
      <c r="AY467" s="9">
        <f>Tabelle1[[#This Row],[Vitamin A '[µg/100g']]]*3.33</f>
        <v>1088.9100000000001</v>
      </c>
      <c r="AZ467" s="9">
        <f>Tabelle1[[#This Row],[Vitamin E '[mg/100g']]]*1.49</f>
        <v>1.2411699999999999</v>
      </c>
    </row>
    <row r="468" spans="1:52" hidden="1" x14ac:dyDescent="0.45">
      <c r="A468" s="3" t="s">
        <v>58</v>
      </c>
      <c r="B468" s="3" t="s">
        <v>189</v>
      </c>
      <c r="C468" s="4" t="s">
        <v>190</v>
      </c>
      <c r="D468" s="11">
        <v>205</v>
      </c>
      <c r="E468" s="13">
        <f>Tabelle1[[#This Row],[Energie '[kcal/100g']]]/239</f>
        <v>0.85774058577405854</v>
      </c>
      <c r="F468" s="11">
        <v>24.66</v>
      </c>
      <c r="G468" s="11">
        <f>Tabelle1[[#This Row],[Rohprotein '[g/100g']]]*0.85</f>
        <v>20.960999999999999</v>
      </c>
      <c r="H468" s="11">
        <v>11.78</v>
      </c>
      <c r="I468" s="11">
        <f>Tabelle1[[#This Row],[TS]]-Tabelle1[[#This Row],[Rohprotein '[g/100g']]]-Tabelle1[[#This Row],[Rohfett '[g/100g']]]-Tabelle1[[#This Row],[Rohasche '[g/100g']]]-Tabelle1[[#This Row],[Rohfaser '[g/100g']]]</f>
        <v>-0.34000000000000075</v>
      </c>
      <c r="J468" s="11">
        <v>0</v>
      </c>
      <c r="K468" s="11">
        <v>1.1200000000000001</v>
      </c>
      <c r="L468" s="11">
        <v>62.78</v>
      </c>
      <c r="M468" s="11">
        <f>100-Tabelle1[[#This Row],[Wasser '[g/100g']]]</f>
        <v>37.22</v>
      </c>
      <c r="N468" s="11">
        <v>4.5999999999999996</v>
      </c>
      <c r="O468" s="11">
        <v>189.1</v>
      </c>
      <c r="P468" s="11">
        <v>20.9</v>
      </c>
      <c r="Q468" s="11">
        <v>60.2</v>
      </c>
      <c r="R468" s="11">
        <v>327</v>
      </c>
      <c r="S468" s="11"/>
      <c r="T468" s="11">
        <v>1.1919999999999999</v>
      </c>
      <c r="U468" s="11">
        <v>3.6646999999999998</v>
      </c>
      <c r="V468" s="11">
        <v>0</v>
      </c>
      <c r="W468" s="11">
        <v>98.6</v>
      </c>
      <c r="X468" s="11">
        <v>12</v>
      </c>
      <c r="Y468" s="11">
        <v>0</v>
      </c>
      <c r="Z468" s="11"/>
      <c r="AA468" s="11">
        <v>0.28999999999999998</v>
      </c>
      <c r="AB468" s="11">
        <v>0.95699999999999996</v>
      </c>
      <c r="AC468" s="11">
        <v>11.9</v>
      </c>
      <c r="AD468" s="11">
        <v>0.55000000000000004</v>
      </c>
      <c r="AE468" s="11">
        <v>0.28000000000000003</v>
      </c>
      <c r="AF468" s="11">
        <v>5.57</v>
      </c>
      <c r="AG468" s="11">
        <v>381</v>
      </c>
      <c r="AH468" s="11">
        <v>0.45</v>
      </c>
      <c r="AI468" s="11">
        <v>0</v>
      </c>
      <c r="AJ468" s="11">
        <v>3.3</v>
      </c>
      <c r="AK468" s="11">
        <v>1.8</v>
      </c>
      <c r="AL468" s="11">
        <v>1.07</v>
      </c>
      <c r="AM468" s="11">
        <v>0</v>
      </c>
      <c r="AN468" s="11">
        <v>7.0000000000000007E-2</v>
      </c>
      <c r="AO468" s="11">
        <v>9.1000000000000004E-3</v>
      </c>
      <c r="AP468" s="11">
        <v>6.4999999999999997E-3</v>
      </c>
      <c r="AQ468" s="11">
        <v>0.99</v>
      </c>
      <c r="AR468" s="11">
        <v>0.89</v>
      </c>
      <c r="AS468" s="11">
        <v>1.9</v>
      </c>
      <c r="AT468" s="11">
        <v>0.31</v>
      </c>
      <c r="AU468" s="11">
        <v>0.91</v>
      </c>
      <c r="AV468" s="11">
        <v>2.23</v>
      </c>
      <c r="AW468" s="11">
        <v>0.74</v>
      </c>
      <c r="AX468" s="9">
        <f>Tabelle1[[#This Row],[Vitamin D3 '[µg/100g']]]*40</f>
        <v>11.6</v>
      </c>
      <c r="AY468" s="9">
        <f>Tabelle1[[#This Row],[Vitamin A '[µg/100g']]]*3.33</f>
        <v>39.627000000000002</v>
      </c>
      <c r="AZ468" s="9">
        <f>Tabelle1[[#This Row],[Vitamin E '[mg/100g']]]*1.49</f>
        <v>1.4259299999999999</v>
      </c>
    </row>
    <row r="469" spans="1:52" hidden="1" x14ac:dyDescent="0.45">
      <c r="A469" s="3" t="s">
        <v>58</v>
      </c>
      <c r="B469" s="3" t="s">
        <v>191</v>
      </c>
      <c r="C469" s="4" t="s">
        <v>192</v>
      </c>
      <c r="D469" s="11">
        <v>175</v>
      </c>
      <c r="E469" s="13">
        <f>Tabelle1[[#This Row],[Energie '[kcal/100g']]]/239</f>
        <v>0.73221757322175729</v>
      </c>
      <c r="F469" s="11">
        <v>19.21</v>
      </c>
      <c r="G469" s="11">
        <f>Tabelle1[[#This Row],[Rohprotein '[g/100g']]]*0.85</f>
        <v>16.328500000000002</v>
      </c>
      <c r="H469" s="11">
        <v>10.9</v>
      </c>
      <c r="I469" s="11">
        <f>Tabelle1[[#This Row],[TS]]-Tabelle1[[#This Row],[Rohprotein '[g/100g']]]-Tabelle1[[#This Row],[Rohfett '[g/100g']]]-Tabelle1[[#This Row],[Rohasche '[g/100g']]]-Tabelle1[[#This Row],[Rohfaser '[g/100g']]]</f>
        <v>-0.33999999999999497</v>
      </c>
      <c r="J469" s="11">
        <v>0</v>
      </c>
      <c r="K469" s="11">
        <v>1.27</v>
      </c>
      <c r="L469" s="11">
        <v>68.959999999999994</v>
      </c>
      <c r="M469" s="11">
        <f>100-Tabelle1[[#This Row],[Wasser '[g/100g']]]</f>
        <v>31.040000000000006</v>
      </c>
      <c r="N469" s="11">
        <v>3.7</v>
      </c>
      <c r="O469" s="11">
        <v>164.6</v>
      </c>
      <c r="P469" s="11">
        <v>19.3</v>
      </c>
      <c r="Q469" s="11">
        <v>54.3</v>
      </c>
      <c r="R469" s="11">
        <v>345.7</v>
      </c>
      <c r="S469" s="11"/>
      <c r="T469" s="11">
        <v>0.8821</v>
      </c>
      <c r="U469" s="11">
        <v>2.7119</v>
      </c>
      <c r="V469" s="11">
        <v>0</v>
      </c>
      <c r="W469" s="11">
        <v>73</v>
      </c>
      <c r="X469" s="11">
        <v>8.9</v>
      </c>
      <c r="Y469" s="11">
        <v>0</v>
      </c>
      <c r="Z469" s="11"/>
      <c r="AA469" s="11">
        <v>0.27</v>
      </c>
      <c r="AB469" s="11">
        <v>0.83299999999999996</v>
      </c>
      <c r="AC469" s="11">
        <v>5.5</v>
      </c>
      <c r="AD469" s="11">
        <v>0.74</v>
      </c>
      <c r="AE469" s="11">
        <v>0.23</v>
      </c>
      <c r="AF469" s="11">
        <v>5.15</v>
      </c>
      <c r="AG469" s="11">
        <v>392</v>
      </c>
      <c r="AH469" s="11">
        <v>0.42</v>
      </c>
      <c r="AI469" s="11">
        <v>0</v>
      </c>
      <c r="AJ469" s="11">
        <v>2.87</v>
      </c>
      <c r="AK469" s="11">
        <v>1.9</v>
      </c>
      <c r="AL469" s="11">
        <v>0.88</v>
      </c>
      <c r="AM469" s="11">
        <v>0</v>
      </c>
      <c r="AN469" s="11">
        <v>7.0000000000000007E-2</v>
      </c>
      <c r="AO469" s="11">
        <v>3.5999999999999999E-3</v>
      </c>
      <c r="AP469" s="11">
        <v>2E-3</v>
      </c>
      <c r="AQ469" s="11">
        <v>0.92</v>
      </c>
      <c r="AR469" s="11">
        <v>0.82</v>
      </c>
      <c r="AS469" s="11">
        <v>1.48</v>
      </c>
      <c r="AT469" s="11">
        <v>0.24</v>
      </c>
      <c r="AU469" s="11">
        <v>0.71</v>
      </c>
      <c r="AV469" s="11">
        <v>1.74</v>
      </c>
      <c r="AW469" s="11">
        <v>0.57999999999999996</v>
      </c>
      <c r="AX469" s="9">
        <f>Tabelle1[[#This Row],[Vitamin D3 '[µg/100g']]]*40</f>
        <v>10.8</v>
      </c>
      <c r="AY469" s="9">
        <f>Tabelle1[[#This Row],[Vitamin A '[µg/100g']]]*3.33</f>
        <v>18.315000000000001</v>
      </c>
      <c r="AZ469" s="9">
        <f>Tabelle1[[#This Row],[Vitamin E '[mg/100g']]]*1.49</f>
        <v>1.2411699999999999</v>
      </c>
    </row>
    <row r="470" spans="1:52" hidden="1" x14ac:dyDescent="0.45">
      <c r="A470" s="3" t="s">
        <v>58</v>
      </c>
      <c r="B470" s="5" t="s">
        <v>193</v>
      </c>
      <c r="C470" s="6" t="s">
        <v>194</v>
      </c>
      <c r="D470" s="13">
        <v>189</v>
      </c>
      <c r="E470" s="13">
        <f>Tabelle1[[#This Row],[Energie '[kcal/100g']]]/239</f>
        <v>0.79079497907949792</v>
      </c>
      <c r="F470" s="13">
        <v>22.81</v>
      </c>
      <c r="G470" s="11">
        <f>Tabelle1[[#This Row],[Rohprotein '[g/100g']]]*0.85</f>
        <v>19.388499999999997</v>
      </c>
      <c r="H470" s="13">
        <v>10.9</v>
      </c>
      <c r="I470" s="11">
        <f>Tabelle1[[#This Row],[TS]]-Tabelle1[[#This Row],[Rohprotein '[g/100g']]]-Tabelle1[[#This Row],[Rohfett '[g/100g']]]-Tabelle1[[#This Row],[Rohasche '[g/100g']]]-Tabelle1[[#This Row],[Rohfaser '[g/100g']]]</f>
        <v>-0.33999999999999342</v>
      </c>
      <c r="J470" s="11">
        <v>0</v>
      </c>
      <c r="K470" s="13">
        <v>1.03</v>
      </c>
      <c r="L470" s="13">
        <v>65.599999999999994</v>
      </c>
      <c r="M470" s="13">
        <f>100-Tabelle1[[#This Row],[Wasser '[g/100g']]]</f>
        <v>34.400000000000006</v>
      </c>
      <c r="N470" s="13">
        <v>4.2</v>
      </c>
      <c r="O470" s="13">
        <v>174.9</v>
      </c>
      <c r="P470" s="13">
        <v>20.5</v>
      </c>
      <c r="Q470" s="13">
        <v>57.7</v>
      </c>
      <c r="R470" s="13">
        <v>259.3</v>
      </c>
      <c r="S470" s="13"/>
      <c r="T470" s="13">
        <v>1.1026</v>
      </c>
      <c r="U470" s="13">
        <v>3.3898999999999999</v>
      </c>
      <c r="V470" s="11">
        <v>0</v>
      </c>
      <c r="W470" s="13">
        <v>91.2</v>
      </c>
      <c r="X470" s="13">
        <v>11.1</v>
      </c>
      <c r="Y470" s="11">
        <v>0</v>
      </c>
      <c r="Z470" s="11"/>
      <c r="AA470" s="13">
        <v>0.27</v>
      </c>
      <c r="AB470" s="13">
        <v>0.88500000000000001</v>
      </c>
      <c r="AC470" s="13">
        <v>5</v>
      </c>
      <c r="AD470" s="13">
        <v>0.46</v>
      </c>
      <c r="AE470" s="13">
        <v>0.24</v>
      </c>
      <c r="AF470" s="13">
        <v>4.83</v>
      </c>
      <c r="AG470" s="13">
        <v>294</v>
      </c>
      <c r="AH470" s="13">
        <v>0.42</v>
      </c>
      <c r="AI470" s="13">
        <v>0</v>
      </c>
      <c r="AJ470" s="13">
        <v>3.05</v>
      </c>
      <c r="AK470" s="13">
        <v>2.2999999999999998</v>
      </c>
      <c r="AL470" s="13">
        <v>0.99</v>
      </c>
      <c r="AM470" s="13">
        <v>0</v>
      </c>
      <c r="AN470" s="13">
        <v>7.0000000000000007E-2</v>
      </c>
      <c r="AO470" s="13">
        <v>0</v>
      </c>
      <c r="AP470" s="13">
        <v>0</v>
      </c>
      <c r="AQ470" s="13">
        <v>0.92</v>
      </c>
      <c r="AR470" s="13">
        <v>0.82</v>
      </c>
      <c r="AS470" s="13">
        <v>1.76</v>
      </c>
      <c r="AT470" s="13">
        <v>0.28000000000000003</v>
      </c>
      <c r="AU470" s="13">
        <v>0.84</v>
      </c>
      <c r="AV470" s="13">
        <v>2.0699999999999998</v>
      </c>
      <c r="AW470" s="13">
        <v>0.69</v>
      </c>
      <c r="AX470" s="9">
        <f>Tabelle1[[#This Row],[Vitamin D3 '[µg/100g']]]*40</f>
        <v>10.8</v>
      </c>
      <c r="AY470" s="9">
        <f>Tabelle1[[#This Row],[Vitamin A '[µg/100g']]]*3.33</f>
        <v>16.649999999999999</v>
      </c>
      <c r="AZ470" s="9">
        <f>Tabelle1[[#This Row],[Vitamin E '[mg/100g']]]*1.49</f>
        <v>1.3186500000000001</v>
      </c>
    </row>
    <row r="471" spans="1:52" hidden="1" x14ac:dyDescent="0.45">
      <c r="A471" s="3" t="s">
        <v>58</v>
      </c>
      <c r="B471" s="3" t="s">
        <v>195</v>
      </c>
      <c r="C471" s="4" t="s">
        <v>196</v>
      </c>
      <c r="D471" s="11">
        <v>175</v>
      </c>
      <c r="E471" s="13">
        <f>Tabelle1[[#This Row],[Energie '[kcal/100g']]]/239</f>
        <v>0.73221757322175729</v>
      </c>
      <c r="F471" s="11">
        <v>19.21</v>
      </c>
      <c r="G471" s="11">
        <f>Tabelle1[[#This Row],[Rohprotein '[g/100g']]]*0.85</f>
        <v>16.328500000000002</v>
      </c>
      <c r="H471" s="11">
        <v>10.9</v>
      </c>
      <c r="I471" s="11">
        <f>Tabelle1[[#This Row],[TS]]-Tabelle1[[#This Row],[Rohprotein '[g/100g']]]-Tabelle1[[#This Row],[Rohfett '[g/100g']]]-Tabelle1[[#This Row],[Rohasche '[g/100g']]]-Tabelle1[[#This Row],[Rohfaser '[g/100g']]]</f>
        <v>-0.33999999999999497</v>
      </c>
      <c r="J471" s="11">
        <v>0</v>
      </c>
      <c r="K471" s="11">
        <v>1.27</v>
      </c>
      <c r="L471" s="11">
        <v>68.959999999999994</v>
      </c>
      <c r="M471" s="11">
        <f>100-Tabelle1[[#This Row],[Wasser '[g/100g']]]</f>
        <v>31.040000000000006</v>
      </c>
      <c r="N471" s="11">
        <v>3.7</v>
      </c>
      <c r="O471" s="11">
        <v>164.6</v>
      </c>
      <c r="P471" s="11">
        <v>19.3</v>
      </c>
      <c r="Q471" s="11">
        <v>54.3</v>
      </c>
      <c r="R471" s="11">
        <v>345.7</v>
      </c>
      <c r="S471" s="11"/>
      <c r="T471" s="11">
        <v>0.8821</v>
      </c>
      <c r="U471" s="11">
        <v>2.7119</v>
      </c>
      <c r="V471" s="11">
        <v>0</v>
      </c>
      <c r="W471" s="11">
        <v>73</v>
      </c>
      <c r="X471" s="11">
        <v>8.9</v>
      </c>
      <c r="Y471" s="11">
        <v>0</v>
      </c>
      <c r="Z471" s="11"/>
      <c r="AA471" s="11">
        <v>0.27</v>
      </c>
      <c r="AB471" s="11">
        <v>0.83299999999999996</v>
      </c>
      <c r="AC471" s="11">
        <v>3.9</v>
      </c>
      <c r="AD471" s="11">
        <v>0.74</v>
      </c>
      <c r="AE471" s="11">
        <v>0.23</v>
      </c>
      <c r="AF471" s="11">
        <v>5.15</v>
      </c>
      <c r="AG471" s="11">
        <v>392</v>
      </c>
      <c r="AH471" s="11">
        <v>0.42</v>
      </c>
      <c r="AI471" s="11">
        <v>0</v>
      </c>
      <c r="AJ471" s="11">
        <v>2.87</v>
      </c>
      <c r="AK471" s="11">
        <v>0.9</v>
      </c>
      <c r="AL471" s="11">
        <v>0.88</v>
      </c>
      <c r="AM471" s="11">
        <v>0</v>
      </c>
      <c r="AN471" s="11">
        <v>7.0000000000000007E-2</v>
      </c>
      <c r="AO471" s="11">
        <v>3.0999999999999999E-3</v>
      </c>
      <c r="AP471" s="11">
        <v>8.9999999999999998E-4</v>
      </c>
      <c r="AQ471" s="11">
        <v>0.92</v>
      </c>
      <c r="AR471" s="11">
        <v>0.82</v>
      </c>
      <c r="AS471" s="11">
        <v>1.48</v>
      </c>
      <c r="AT471" s="11">
        <v>0.24</v>
      </c>
      <c r="AU471" s="11">
        <v>0.71</v>
      </c>
      <c r="AV471" s="11">
        <v>1.74</v>
      </c>
      <c r="AW471" s="11">
        <v>0.57999999999999996</v>
      </c>
      <c r="AX471" s="9">
        <f>Tabelle1[[#This Row],[Vitamin D3 '[µg/100g']]]*40</f>
        <v>10.8</v>
      </c>
      <c r="AY471" s="9">
        <f>Tabelle1[[#This Row],[Vitamin A '[µg/100g']]]*3.33</f>
        <v>12.987</v>
      </c>
      <c r="AZ471" s="9">
        <f>Tabelle1[[#This Row],[Vitamin E '[mg/100g']]]*1.49</f>
        <v>1.2411699999999999</v>
      </c>
    </row>
    <row r="472" spans="1:52" hidden="1" x14ac:dyDescent="0.45">
      <c r="A472" s="3" t="s">
        <v>58</v>
      </c>
      <c r="B472" s="5" t="s">
        <v>197</v>
      </c>
      <c r="C472" s="6" t="s">
        <v>198</v>
      </c>
      <c r="D472" s="13">
        <v>357</v>
      </c>
      <c r="E472" s="13">
        <f>Tabelle1[[#This Row],[Energie '[kcal/100g']]]/239</f>
        <v>1.493723849372385</v>
      </c>
      <c r="F472" s="13">
        <v>22.49</v>
      </c>
      <c r="G472" s="11">
        <f>Tabelle1[[#This Row],[Rohprotein '[g/100g']]]*0.85</f>
        <v>19.116499999999998</v>
      </c>
      <c r="H472" s="13">
        <v>29.64</v>
      </c>
      <c r="I472" s="11">
        <f>Tabelle1[[#This Row],[TS]]-Tabelle1[[#This Row],[Rohprotein '[g/100g']]]-Tabelle1[[#This Row],[Rohfett '[g/100g']]]-Tabelle1[[#This Row],[Rohasche '[g/100g']]]-Tabelle1[[#This Row],[Rohfaser '[g/100g']]]</f>
        <v>0.25000000000000155</v>
      </c>
      <c r="J472" s="11">
        <v>0</v>
      </c>
      <c r="K472" s="13">
        <v>0.76</v>
      </c>
      <c r="L472" s="13">
        <v>46.86</v>
      </c>
      <c r="M472" s="13">
        <f>100-Tabelle1[[#This Row],[Wasser '[g/100g']]]</f>
        <v>53.14</v>
      </c>
      <c r="N472" s="13">
        <v>5.4</v>
      </c>
      <c r="O472" s="13">
        <v>103.7</v>
      </c>
      <c r="P472" s="13">
        <v>12.5</v>
      </c>
      <c r="Q472" s="13">
        <v>38.6</v>
      </c>
      <c r="R472" s="13">
        <v>180</v>
      </c>
      <c r="S472" s="13"/>
      <c r="T472" s="13">
        <v>0.65969999999999995</v>
      </c>
      <c r="U472" s="13">
        <v>1.6694</v>
      </c>
      <c r="V472" s="11">
        <v>0</v>
      </c>
      <c r="W472" s="13">
        <v>63.7</v>
      </c>
      <c r="X472" s="13">
        <v>7.3</v>
      </c>
      <c r="Y472" s="11">
        <v>0</v>
      </c>
      <c r="Z472" s="11"/>
      <c r="AA472" s="13">
        <v>0.45</v>
      </c>
      <c r="AB472" s="13">
        <v>1</v>
      </c>
      <c r="AC472" s="13">
        <v>8.3000000000000007</v>
      </c>
      <c r="AD472" s="13">
        <v>0.16</v>
      </c>
      <c r="AE472" s="13">
        <v>0.15</v>
      </c>
      <c r="AF472" s="13">
        <v>3.85</v>
      </c>
      <c r="AG472" s="13">
        <v>203</v>
      </c>
      <c r="AH472" s="13">
        <v>0.34</v>
      </c>
      <c r="AI472" s="13">
        <v>0</v>
      </c>
      <c r="AJ472" s="13">
        <v>2.88</v>
      </c>
      <c r="AK472" s="13">
        <v>2.2000000000000002</v>
      </c>
      <c r="AL472" s="13">
        <v>0.76</v>
      </c>
      <c r="AM472" s="13">
        <v>0</v>
      </c>
      <c r="AN472" s="13">
        <v>0.21</v>
      </c>
      <c r="AO472" s="13">
        <v>0</v>
      </c>
      <c r="AP472" s="13">
        <v>0</v>
      </c>
      <c r="AQ472" s="13">
        <v>2.59</v>
      </c>
      <c r="AR472" s="13">
        <v>2.33</v>
      </c>
      <c r="AS472" s="13">
        <v>1.79</v>
      </c>
      <c r="AT472" s="13">
        <v>0.24</v>
      </c>
      <c r="AU472" s="13">
        <v>0.79</v>
      </c>
      <c r="AV472" s="13">
        <v>1.71</v>
      </c>
      <c r="AW472" s="13">
        <v>0.61</v>
      </c>
      <c r="AX472" s="9">
        <f>Tabelle1[[#This Row],[Vitamin D3 '[µg/100g']]]*40</f>
        <v>18</v>
      </c>
      <c r="AY472" s="9">
        <f>Tabelle1[[#This Row],[Vitamin A '[µg/100g']]]*3.33</f>
        <v>27.639000000000003</v>
      </c>
      <c r="AZ472" s="9">
        <f>Tabelle1[[#This Row],[Vitamin E '[mg/100g']]]*1.49</f>
        <v>1.49</v>
      </c>
    </row>
    <row r="473" spans="1:52" hidden="1" x14ac:dyDescent="0.45">
      <c r="A473" s="3" t="s">
        <v>58</v>
      </c>
      <c r="B473" s="3" t="s">
        <v>199</v>
      </c>
      <c r="C473" s="4" t="s">
        <v>200</v>
      </c>
      <c r="D473" s="11">
        <v>324</v>
      </c>
      <c r="E473" s="13">
        <f>Tabelle1[[#This Row],[Energie '[kcal/100g']]]/239</f>
        <v>1.3556485355648535</v>
      </c>
      <c r="F473" s="11">
        <v>17.739999999999998</v>
      </c>
      <c r="G473" s="11">
        <f>Tabelle1[[#This Row],[Rohprotein '[g/100g']]]*0.85</f>
        <v>15.078999999999999</v>
      </c>
      <c r="H473" s="11">
        <v>28.06</v>
      </c>
      <c r="I473" s="11">
        <f>Tabelle1[[#This Row],[TS]]-Tabelle1[[#This Row],[Rohprotein '[g/100g']]]-Tabelle1[[#This Row],[Rohfett '[g/100g']]]-Tabelle1[[#This Row],[Rohasche '[g/100g']]]-Tabelle1[[#This Row],[Rohfaser '[g/100g']]]</f>
        <v>0.25000000000000566</v>
      </c>
      <c r="J473" s="11">
        <v>0</v>
      </c>
      <c r="K473" s="11">
        <v>0.9</v>
      </c>
      <c r="L473" s="11">
        <v>53.05</v>
      </c>
      <c r="M473" s="11">
        <f>100-Tabelle1[[#This Row],[Wasser '[g/100g']]]</f>
        <v>46.95</v>
      </c>
      <c r="N473" s="11">
        <v>4.8</v>
      </c>
      <c r="O473" s="11">
        <v>122.7</v>
      </c>
      <c r="P473" s="11">
        <v>14.8</v>
      </c>
      <c r="Q473" s="11">
        <v>60.9</v>
      </c>
      <c r="R473" s="11">
        <v>255.6</v>
      </c>
      <c r="S473" s="11"/>
      <c r="T473" s="11">
        <v>0.46839999999999998</v>
      </c>
      <c r="U473" s="11">
        <v>1.4816</v>
      </c>
      <c r="V473" s="11">
        <v>0</v>
      </c>
      <c r="W473" s="11">
        <v>47.6</v>
      </c>
      <c r="X473" s="11">
        <v>5.2</v>
      </c>
      <c r="Y473" s="11">
        <v>0</v>
      </c>
      <c r="Z473" s="11"/>
      <c r="AA473" s="11">
        <v>0.43</v>
      </c>
      <c r="AB473" s="11">
        <v>0.94699999999999995</v>
      </c>
      <c r="AC473" s="11">
        <v>7.9</v>
      </c>
      <c r="AD473" s="11">
        <v>0.38</v>
      </c>
      <c r="AE473" s="11">
        <v>0.15</v>
      </c>
      <c r="AF473" s="11">
        <v>5.46</v>
      </c>
      <c r="AG473" s="11">
        <v>320</v>
      </c>
      <c r="AH473" s="11">
        <v>0.4</v>
      </c>
      <c r="AI473" s="11">
        <v>0</v>
      </c>
      <c r="AJ473" s="11">
        <v>2.73</v>
      </c>
      <c r="AK473" s="11">
        <v>1.6</v>
      </c>
      <c r="AL473" s="11">
        <v>0.77</v>
      </c>
      <c r="AM473" s="11">
        <v>0</v>
      </c>
      <c r="AN473" s="11">
        <v>0.2</v>
      </c>
      <c r="AO473" s="11">
        <v>4.4999999999999997E-3</v>
      </c>
      <c r="AP473" s="11">
        <v>1.4E-3</v>
      </c>
      <c r="AQ473" s="11">
        <v>2.46</v>
      </c>
      <c r="AR473" s="11">
        <v>2.21</v>
      </c>
      <c r="AS473" s="11">
        <v>1.41</v>
      </c>
      <c r="AT473" s="11">
        <v>0.19</v>
      </c>
      <c r="AU473" s="11">
        <v>0.62</v>
      </c>
      <c r="AV473" s="11">
        <v>1.35</v>
      </c>
      <c r="AW473" s="11">
        <v>0.48</v>
      </c>
      <c r="AX473" s="9">
        <f>Tabelle1[[#This Row],[Vitamin D3 '[µg/100g']]]*40</f>
        <v>17.2</v>
      </c>
      <c r="AY473" s="9">
        <f>Tabelle1[[#This Row],[Vitamin A '[µg/100g']]]*3.33</f>
        <v>26.307000000000002</v>
      </c>
      <c r="AZ473" s="9">
        <f>Tabelle1[[#This Row],[Vitamin E '[mg/100g']]]*1.49</f>
        <v>1.41103</v>
      </c>
    </row>
    <row r="474" spans="1:52" hidden="1" x14ac:dyDescent="0.45">
      <c r="A474" s="3" t="s">
        <v>58</v>
      </c>
      <c r="B474" s="5" t="s">
        <v>201</v>
      </c>
      <c r="C474" s="6" t="s">
        <v>202</v>
      </c>
      <c r="D474" s="13">
        <v>142</v>
      </c>
      <c r="E474" s="13">
        <f>Tabelle1[[#This Row],[Energie '[kcal/100g']]]/239</f>
        <v>0.59414225941422594</v>
      </c>
      <c r="F474" s="13">
        <v>29.84</v>
      </c>
      <c r="G474" s="11">
        <f>Tabelle1[[#This Row],[Rohprotein '[g/100g']]]*0.85</f>
        <v>25.364000000000001</v>
      </c>
      <c r="H474" s="13">
        <v>2.5099999999999998</v>
      </c>
      <c r="I474" s="11">
        <f>Tabelle1[[#This Row],[TS]]-Tabelle1[[#This Row],[Rohprotein '[g/100g']]]-Tabelle1[[#This Row],[Rohfett '[g/100g']]]-Tabelle1[[#This Row],[Rohasche '[g/100g']]]-Tabelle1[[#This Row],[Rohfaser '[g/100g']]]</f>
        <v>-0.42000000000000126</v>
      </c>
      <c r="J474" s="11">
        <v>0</v>
      </c>
      <c r="K474" s="13">
        <v>1.1499999999999999</v>
      </c>
      <c r="L474" s="13">
        <v>66.92</v>
      </c>
      <c r="M474" s="13">
        <f>100-Tabelle1[[#This Row],[Wasser '[g/100g']]]</f>
        <v>33.08</v>
      </c>
      <c r="N474" s="13">
        <v>4.3</v>
      </c>
      <c r="O474" s="13">
        <v>223</v>
      </c>
      <c r="P474" s="13">
        <v>26.9</v>
      </c>
      <c r="Q474" s="13">
        <v>47.9</v>
      </c>
      <c r="R474" s="13">
        <v>372</v>
      </c>
      <c r="S474" s="13"/>
      <c r="T474" s="13">
        <v>0.54810000000000003</v>
      </c>
      <c r="U474" s="13">
        <v>1.6913</v>
      </c>
      <c r="V474" s="11">
        <v>0</v>
      </c>
      <c r="W474" s="13">
        <v>54</v>
      </c>
      <c r="X474" s="13">
        <v>6.5</v>
      </c>
      <c r="Y474" s="13">
        <v>1</v>
      </c>
      <c r="Z474" s="13"/>
      <c r="AA474" s="13">
        <v>0</v>
      </c>
      <c r="AB474" s="13">
        <v>0.45</v>
      </c>
      <c r="AC474" s="13">
        <v>45</v>
      </c>
      <c r="AD474" s="13">
        <v>0.43</v>
      </c>
      <c r="AE474" s="13">
        <v>0.19</v>
      </c>
      <c r="AF474" s="13">
        <v>9.86</v>
      </c>
      <c r="AG474" s="13">
        <v>561</v>
      </c>
      <c r="AH474" s="13">
        <v>0.16</v>
      </c>
      <c r="AI474" s="13">
        <v>0</v>
      </c>
      <c r="AJ474" s="13">
        <v>3.77</v>
      </c>
      <c r="AK474" s="13">
        <v>13</v>
      </c>
      <c r="AL474" s="13">
        <v>0.9</v>
      </c>
      <c r="AM474" s="13">
        <v>0</v>
      </c>
      <c r="AN474" s="13">
        <v>1.7160000000000002E-2</v>
      </c>
      <c r="AO474" s="13">
        <v>7.4000000000000003E-3</v>
      </c>
      <c r="AP474" s="13">
        <v>8.0000000000000002E-3</v>
      </c>
      <c r="AQ474" s="13">
        <v>0.19400000000000001</v>
      </c>
      <c r="AR474" s="13">
        <v>0.16500000000000001</v>
      </c>
      <c r="AS474" s="13">
        <v>2.4853999999999998</v>
      </c>
      <c r="AT474" s="13">
        <v>0.34910000000000002</v>
      </c>
      <c r="AU474" s="13">
        <v>1.3848199999999999</v>
      </c>
      <c r="AV474" s="13">
        <v>2.5575399999999999</v>
      </c>
      <c r="AW474" s="13">
        <v>0.93276000000000003</v>
      </c>
      <c r="AX474" s="9">
        <f>Tabelle1[[#This Row],[Vitamin D3 '[µg/100g']]]*40</f>
        <v>0</v>
      </c>
      <c r="AY474" s="9">
        <f>Tabelle1[[#This Row],[Vitamin A '[µg/100g']]]*3.33</f>
        <v>149.85</v>
      </c>
      <c r="AZ474" s="9">
        <f>Tabelle1[[#This Row],[Vitamin E '[mg/100g']]]*1.49</f>
        <v>0.67049999999999998</v>
      </c>
    </row>
    <row r="475" spans="1:52" hidden="1" x14ac:dyDescent="0.45">
      <c r="A475" s="3" t="s">
        <v>58</v>
      </c>
      <c r="B475" s="5" t="s">
        <v>203</v>
      </c>
      <c r="C475" s="6" t="s">
        <v>204</v>
      </c>
      <c r="D475" s="13">
        <v>115</v>
      </c>
      <c r="E475" s="13">
        <f>Tabelle1[[#This Row],[Energie '[kcal/100g']]]/239</f>
        <v>0.48117154811715479</v>
      </c>
      <c r="F475" s="13">
        <v>23.56</v>
      </c>
      <c r="G475" s="11">
        <f>Tabelle1[[#This Row],[Rohprotein '[g/100g']]]*0.85</f>
        <v>20.026</v>
      </c>
      <c r="H475" s="13">
        <v>2.35</v>
      </c>
      <c r="I475" s="11">
        <f>Tabelle1[[#This Row],[TS]]-Tabelle1[[#This Row],[Rohprotein '[g/100g']]]-Tabelle1[[#This Row],[Rohfett '[g/100g']]]-Tabelle1[[#This Row],[Rohasche '[g/100g']]]-Tabelle1[[#This Row],[Rohfaser '[g/100g']]]</f>
        <v>-0.4200000000000057</v>
      </c>
      <c r="J475" s="11">
        <v>0</v>
      </c>
      <c r="K475" s="13">
        <v>1.33</v>
      </c>
      <c r="L475" s="13">
        <v>73.180000000000007</v>
      </c>
      <c r="M475" s="13">
        <f>100-Tabelle1[[#This Row],[Wasser '[g/100g']]]</f>
        <v>26.819999999999993</v>
      </c>
      <c r="N475" s="13">
        <v>3.5</v>
      </c>
      <c r="O475" s="13">
        <v>196.8</v>
      </c>
      <c r="P475" s="13">
        <v>25.2</v>
      </c>
      <c r="Q475" s="13">
        <v>43.8</v>
      </c>
      <c r="R475" s="13">
        <v>398.6</v>
      </c>
      <c r="S475" s="13"/>
      <c r="T475" s="13">
        <v>0.41110000000000002</v>
      </c>
      <c r="U475" s="13">
        <v>1.2685</v>
      </c>
      <c r="V475" s="11">
        <v>0</v>
      </c>
      <c r="W475" s="13">
        <v>40.5</v>
      </c>
      <c r="X475" s="13">
        <v>4.9000000000000004</v>
      </c>
      <c r="Y475" s="13">
        <v>1</v>
      </c>
      <c r="Z475" s="13"/>
      <c r="AA475" s="13">
        <v>0</v>
      </c>
      <c r="AB475" s="13">
        <v>0.39700000000000002</v>
      </c>
      <c r="AC475" s="13">
        <v>40</v>
      </c>
      <c r="AD475" s="13">
        <v>0.57999999999999996</v>
      </c>
      <c r="AE475" s="13">
        <v>0.16</v>
      </c>
      <c r="AF475" s="13">
        <v>9.24</v>
      </c>
      <c r="AG475" s="13">
        <v>584</v>
      </c>
      <c r="AH475" s="13">
        <v>0</v>
      </c>
      <c r="AI475" s="13">
        <v>0</v>
      </c>
      <c r="AJ475" s="13">
        <v>3.33</v>
      </c>
      <c r="AK475" s="13">
        <v>4</v>
      </c>
      <c r="AL475" s="13">
        <v>0.75</v>
      </c>
      <c r="AM475" s="13">
        <v>0</v>
      </c>
      <c r="AN475" s="13">
        <v>1.609E-2</v>
      </c>
      <c r="AO475" s="13">
        <v>0.01</v>
      </c>
      <c r="AP475" s="13">
        <v>0.01</v>
      </c>
      <c r="AQ475" s="13">
        <v>0.182</v>
      </c>
      <c r="AR475" s="13">
        <v>0.155</v>
      </c>
      <c r="AS475" s="13">
        <v>1.9621599999999999</v>
      </c>
      <c r="AT475" s="13">
        <v>0.27560000000000001</v>
      </c>
      <c r="AU475" s="13">
        <v>1.09328</v>
      </c>
      <c r="AV475" s="13">
        <v>2.01911</v>
      </c>
      <c r="AW475" s="13">
        <v>0.73638999999999999</v>
      </c>
      <c r="AX475" s="9">
        <f>Tabelle1[[#This Row],[Vitamin D3 '[µg/100g']]]*40</f>
        <v>0</v>
      </c>
      <c r="AY475" s="9">
        <f>Tabelle1[[#This Row],[Vitamin A '[µg/100g']]]*3.33</f>
        <v>133.19999999999999</v>
      </c>
      <c r="AZ475" s="9">
        <f>Tabelle1[[#This Row],[Vitamin E '[mg/100g']]]*1.49</f>
        <v>0.59153</v>
      </c>
    </row>
    <row r="476" spans="1:52" hidden="1" x14ac:dyDescent="0.45">
      <c r="A476" s="3" t="s">
        <v>58</v>
      </c>
      <c r="B476" s="5" t="s">
        <v>205</v>
      </c>
      <c r="C476" s="6" t="s">
        <v>206</v>
      </c>
      <c r="D476" s="13">
        <v>219</v>
      </c>
      <c r="E476" s="13">
        <f>Tabelle1[[#This Row],[Energie '[kcal/100g']]]/239</f>
        <v>0.91631799163179917</v>
      </c>
      <c r="F476" s="13">
        <v>27.53</v>
      </c>
      <c r="G476" s="11">
        <f>Tabelle1[[#This Row],[Rohprotein '[g/100g']]]*0.85</f>
        <v>23.400500000000001</v>
      </c>
      <c r="H476" s="13">
        <v>12.07</v>
      </c>
      <c r="I476" s="11">
        <f>Tabelle1[[#This Row],[TS]]-Tabelle1[[#This Row],[Rohprotein '[g/100g']]]-Tabelle1[[#This Row],[Rohfett '[g/100g']]]-Tabelle1[[#This Row],[Rohasche '[g/100g']]]-Tabelle1[[#This Row],[Rohfaser '[g/100g']]]</f>
        <v>-4.0000000000002922E-2</v>
      </c>
      <c r="J476" s="11">
        <v>0</v>
      </c>
      <c r="K476" s="13">
        <v>1.0900000000000001</v>
      </c>
      <c r="L476" s="13">
        <v>59.35</v>
      </c>
      <c r="M476" s="13">
        <f>100-Tabelle1[[#This Row],[Wasser '[g/100g']]]</f>
        <v>40.65</v>
      </c>
      <c r="N476" s="13">
        <v>7.2</v>
      </c>
      <c r="O476" s="13">
        <v>159</v>
      </c>
      <c r="P476" s="13">
        <v>19.399999999999999</v>
      </c>
      <c r="Q476" s="13">
        <v>41.2</v>
      </c>
      <c r="R476" s="13">
        <v>330.6</v>
      </c>
      <c r="S476" s="13"/>
      <c r="T476" s="13">
        <v>0.69520000000000004</v>
      </c>
      <c r="U476" s="13">
        <v>2.1114999999999999</v>
      </c>
      <c r="V476" s="11">
        <v>0</v>
      </c>
      <c r="W476" s="13">
        <v>62.4</v>
      </c>
      <c r="X476" s="13">
        <v>8</v>
      </c>
      <c r="Y476" s="13">
        <v>0.99</v>
      </c>
      <c r="Z476" s="13"/>
      <c r="AA476" s="13">
        <v>0.17</v>
      </c>
      <c r="AB476" s="13">
        <v>0.8</v>
      </c>
      <c r="AC476" s="13">
        <v>175</v>
      </c>
      <c r="AD476" s="13">
        <v>0.33</v>
      </c>
      <c r="AE476" s="13">
        <v>0.17</v>
      </c>
      <c r="AF476" s="13">
        <v>6.76</v>
      </c>
      <c r="AG476" s="13">
        <v>320</v>
      </c>
      <c r="AH476" s="13">
        <v>0.24</v>
      </c>
      <c r="AI476" s="13">
        <v>0</v>
      </c>
      <c r="AJ476" s="13">
        <v>3.66</v>
      </c>
      <c r="AK476" s="13">
        <v>6</v>
      </c>
      <c r="AL476" s="13">
        <v>0.91</v>
      </c>
      <c r="AM476" s="13">
        <v>0</v>
      </c>
      <c r="AN476" s="13">
        <v>8.5099999999999995E-2</v>
      </c>
      <c r="AO476" s="13">
        <v>5.9999999999999995E-4</v>
      </c>
      <c r="AP476" s="13">
        <v>4.0000000000000002E-4</v>
      </c>
      <c r="AQ476" s="13">
        <v>0.91259999999999997</v>
      </c>
      <c r="AR476" s="13">
        <v>0.8135</v>
      </c>
      <c r="AS476" s="13">
        <v>2.1663999999999999</v>
      </c>
      <c r="AT476" s="13">
        <v>0.30570000000000003</v>
      </c>
      <c r="AU476" s="13">
        <v>1.1480699999999999</v>
      </c>
      <c r="AV476" s="13">
        <v>2.4794800000000001</v>
      </c>
      <c r="AW476" s="13">
        <v>0.83923000000000003</v>
      </c>
      <c r="AX476" s="9">
        <f>Tabelle1[[#This Row],[Vitamin D3 '[µg/100g']]]*40</f>
        <v>6.8000000000000007</v>
      </c>
      <c r="AY476" s="9">
        <f>Tabelle1[[#This Row],[Vitamin A '[µg/100g']]]*3.33</f>
        <v>582.75</v>
      </c>
      <c r="AZ476" s="9">
        <f>Tabelle1[[#This Row],[Vitamin E '[mg/100g']]]*1.49</f>
        <v>1.1919999999999999</v>
      </c>
    </row>
    <row r="477" spans="1:52" hidden="1" x14ac:dyDescent="0.45">
      <c r="A477" s="3" t="s">
        <v>58</v>
      </c>
      <c r="B477" s="5" t="s">
        <v>207</v>
      </c>
      <c r="C477" s="6" t="s">
        <v>208</v>
      </c>
      <c r="D477" s="13">
        <v>175</v>
      </c>
      <c r="E477" s="13">
        <f>Tabelle1[[#This Row],[Energie '[kcal/100g']]]/239</f>
        <v>0.73221757322175729</v>
      </c>
      <c r="F477" s="13">
        <v>21.02</v>
      </c>
      <c r="G477" s="11">
        <f>Tabelle1[[#This Row],[Rohprotein '[g/100g']]]*0.85</f>
        <v>17.867000000000001</v>
      </c>
      <c r="H477" s="13">
        <v>10.08</v>
      </c>
      <c r="I477" s="11">
        <f>Tabelle1[[#This Row],[TS]]-Tabelle1[[#This Row],[Rohprotein '[g/100g']]]-Tabelle1[[#This Row],[Rohfett '[g/100g']]]-Tabelle1[[#This Row],[Rohasche '[g/100g']]]-Tabelle1[[#This Row],[Rohfaser '[g/100g']]]</f>
        <v>-3.9999999999999591E-2</v>
      </c>
      <c r="J477" s="11">
        <v>0</v>
      </c>
      <c r="K477" s="13">
        <v>1.19</v>
      </c>
      <c r="L477" s="13">
        <v>67.75</v>
      </c>
      <c r="M477" s="13">
        <f>100-Tabelle1[[#This Row],[Wasser '[g/100g']]]</f>
        <v>32.25</v>
      </c>
      <c r="N477" s="13">
        <v>6.2</v>
      </c>
      <c r="O477" s="13">
        <v>173.7</v>
      </c>
      <c r="P477" s="13">
        <v>21.2</v>
      </c>
      <c r="Q477" s="13">
        <v>48.7</v>
      </c>
      <c r="R477" s="13">
        <v>361.1</v>
      </c>
      <c r="S477" s="13"/>
      <c r="T477" s="13">
        <v>0.49359999999999998</v>
      </c>
      <c r="U477" s="13">
        <v>1.6657</v>
      </c>
      <c r="V477" s="11">
        <v>0</v>
      </c>
      <c r="W477" s="13">
        <v>44.3</v>
      </c>
      <c r="X477" s="13">
        <v>5.7</v>
      </c>
      <c r="Y477" s="13">
        <v>1</v>
      </c>
      <c r="Z477" s="13"/>
      <c r="AA477" s="13">
        <v>0</v>
      </c>
      <c r="AB477" s="13">
        <v>0.66800000000000004</v>
      </c>
      <c r="AC477" s="13">
        <v>10</v>
      </c>
      <c r="AD477" s="13">
        <v>0.56000000000000005</v>
      </c>
      <c r="AE477" s="13">
        <v>0.16</v>
      </c>
      <c r="AF477" s="13">
        <v>7.38</v>
      </c>
      <c r="AG477" s="13">
        <v>473</v>
      </c>
      <c r="AH477" s="13">
        <v>0</v>
      </c>
      <c r="AI477" s="13">
        <v>0</v>
      </c>
      <c r="AJ477" s="13">
        <v>3.06</v>
      </c>
      <c r="AK477" s="13">
        <v>1</v>
      </c>
      <c r="AL477" s="13">
        <v>0.92</v>
      </c>
      <c r="AM477" s="13">
        <v>0</v>
      </c>
      <c r="AN477" s="13">
        <v>7.0999999999999994E-2</v>
      </c>
      <c r="AO477" s="13">
        <v>0.01</v>
      </c>
      <c r="AP477" s="13">
        <v>0.01</v>
      </c>
      <c r="AQ477" s="13">
        <v>0.76229999999999998</v>
      </c>
      <c r="AR477" s="13">
        <v>0.67949999999999999</v>
      </c>
      <c r="AS477" s="13">
        <v>1.6539200000000001</v>
      </c>
      <c r="AT477" s="13">
        <v>0.2334</v>
      </c>
      <c r="AU477" s="13">
        <v>0.87648000000000004</v>
      </c>
      <c r="AV477" s="13">
        <v>1.8929400000000001</v>
      </c>
      <c r="AW477" s="13">
        <v>0.64070000000000005</v>
      </c>
      <c r="AX477" s="9">
        <f>Tabelle1[[#This Row],[Vitamin D3 '[µg/100g']]]*40</f>
        <v>0</v>
      </c>
      <c r="AY477" s="9">
        <f>Tabelle1[[#This Row],[Vitamin A '[µg/100g']]]*3.33</f>
        <v>33.299999999999997</v>
      </c>
      <c r="AZ477" s="9">
        <f>Tabelle1[[#This Row],[Vitamin E '[mg/100g']]]*1.49</f>
        <v>0.99532000000000009</v>
      </c>
    </row>
    <row r="478" spans="1:52" hidden="1" x14ac:dyDescent="0.45">
      <c r="A478" s="3" t="s">
        <v>58</v>
      </c>
      <c r="B478" s="5" t="s">
        <v>209</v>
      </c>
      <c r="C478" s="6" t="s">
        <v>210</v>
      </c>
      <c r="D478" s="13">
        <v>142</v>
      </c>
      <c r="E478" s="13">
        <f>Tabelle1[[#This Row],[Energie '[kcal/100g']]]/239</f>
        <v>0.59414225941422594</v>
      </c>
      <c r="F478" s="13">
        <v>29.84</v>
      </c>
      <c r="G478" s="11">
        <f>Tabelle1[[#This Row],[Rohprotein '[g/100g']]]*0.85</f>
        <v>25.364000000000001</v>
      </c>
      <c r="H478" s="13">
        <v>2.5099999999999998</v>
      </c>
      <c r="I478" s="11">
        <f>Tabelle1[[#This Row],[TS]]-Tabelle1[[#This Row],[Rohprotein '[g/100g']]]-Tabelle1[[#This Row],[Rohfett '[g/100g']]]-Tabelle1[[#This Row],[Rohasche '[g/100g']]]-Tabelle1[[#This Row],[Rohfaser '[g/100g']]]</f>
        <v>-0.42000000000000126</v>
      </c>
      <c r="J478" s="11">
        <v>0</v>
      </c>
      <c r="K478" s="13">
        <v>1.1499999999999999</v>
      </c>
      <c r="L478" s="13">
        <v>66.92</v>
      </c>
      <c r="M478" s="13">
        <f>100-Tabelle1[[#This Row],[Wasser '[g/100g']]]</f>
        <v>33.08</v>
      </c>
      <c r="N478" s="13">
        <v>4.3</v>
      </c>
      <c r="O478" s="13">
        <v>223</v>
      </c>
      <c r="P478" s="13">
        <v>26.9</v>
      </c>
      <c r="Q478" s="13">
        <v>47.9</v>
      </c>
      <c r="R478" s="13">
        <v>372</v>
      </c>
      <c r="S478" s="13"/>
      <c r="T478" s="13">
        <v>0.54810000000000003</v>
      </c>
      <c r="U478" s="13">
        <v>1.6913</v>
      </c>
      <c r="V478" s="11">
        <v>0</v>
      </c>
      <c r="W478" s="13">
        <v>54</v>
      </c>
      <c r="X478" s="13">
        <v>6.5</v>
      </c>
      <c r="Y478" s="13">
        <v>1</v>
      </c>
      <c r="Z478" s="13"/>
      <c r="AA478" s="13">
        <v>0</v>
      </c>
      <c r="AB478" s="13">
        <v>0.45</v>
      </c>
      <c r="AC478" s="13">
        <v>1</v>
      </c>
      <c r="AD478" s="13">
        <v>0.43</v>
      </c>
      <c r="AE478" s="13">
        <v>0.19</v>
      </c>
      <c r="AF478" s="13">
        <v>9.86</v>
      </c>
      <c r="AG478" s="13">
        <v>561</v>
      </c>
      <c r="AH478" s="13">
        <v>0.16</v>
      </c>
      <c r="AI478" s="13">
        <v>0</v>
      </c>
      <c r="AJ478" s="13">
        <v>3.77</v>
      </c>
      <c r="AK478" s="13">
        <v>5</v>
      </c>
      <c r="AL478" s="13">
        <v>0.9</v>
      </c>
      <c r="AM478" s="13">
        <v>0</v>
      </c>
      <c r="AN478" s="13">
        <v>0.01</v>
      </c>
      <c r="AO478" s="13">
        <v>0.18</v>
      </c>
      <c r="AP478" s="13">
        <v>0.2656</v>
      </c>
      <c r="AQ478" s="13">
        <v>0.18</v>
      </c>
      <c r="AR478" s="13">
        <v>0.17</v>
      </c>
      <c r="AS478" s="13">
        <v>2.34</v>
      </c>
      <c r="AT478" s="13">
        <v>0.33</v>
      </c>
      <c r="AU478" s="13">
        <v>1.24</v>
      </c>
      <c r="AV478" s="13">
        <v>2.69</v>
      </c>
      <c r="AW478" s="13">
        <v>0.91</v>
      </c>
      <c r="AX478" s="9">
        <f>Tabelle1[[#This Row],[Vitamin D3 '[µg/100g']]]*40</f>
        <v>0</v>
      </c>
      <c r="AY478" s="9">
        <f>Tabelle1[[#This Row],[Vitamin A '[µg/100g']]]*3.33</f>
        <v>3.33</v>
      </c>
      <c r="AZ478" s="9">
        <f>Tabelle1[[#This Row],[Vitamin E '[mg/100g']]]*1.49</f>
        <v>0.67049999999999998</v>
      </c>
    </row>
    <row r="479" spans="1:52" hidden="1" x14ac:dyDescent="0.45">
      <c r="A479" s="3" t="s">
        <v>58</v>
      </c>
      <c r="B479" s="3" t="s">
        <v>211</v>
      </c>
      <c r="C479" s="4" t="s">
        <v>212</v>
      </c>
      <c r="D479" s="11">
        <v>115</v>
      </c>
      <c r="E479" s="13">
        <f>Tabelle1[[#This Row],[Energie '[kcal/100g']]]/239</f>
        <v>0.48117154811715479</v>
      </c>
      <c r="F479" s="11">
        <v>23.56</v>
      </c>
      <c r="G479" s="11">
        <f>Tabelle1[[#This Row],[Rohprotein '[g/100g']]]*0.85</f>
        <v>20.026</v>
      </c>
      <c r="H479" s="11">
        <v>2.35</v>
      </c>
      <c r="I479" s="11">
        <f>Tabelle1[[#This Row],[TS]]-Tabelle1[[#This Row],[Rohprotein '[g/100g']]]-Tabelle1[[#This Row],[Rohfett '[g/100g']]]-Tabelle1[[#This Row],[Rohasche '[g/100g']]]-Tabelle1[[#This Row],[Rohfaser '[g/100g']]]</f>
        <v>-0.4200000000000057</v>
      </c>
      <c r="J479" s="11">
        <v>0</v>
      </c>
      <c r="K479" s="11">
        <v>1.33</v>
      </c>
      <c r="L479" s="11">
        <v>73.180000000000007</v>
      </c>
      <c r="M479" s="11">
        <f>100-Tabelle1[[#This Row],[Wasser '[g/100g']]]</f>
        <v>26.819999999999993</v>
      </c>
      <c r="N479" s="11">
        <v>3.5</v>
      </c>
      <c r="O479" s="11">
        <v>196.8</v>
      </c>
      <c r="P479" s="11">
        <v>25.2</v>
      </c>
      <c r="Q479" s="11">
        <v>43.8</v>
      </c>
      <c r="R479" s="11">
        <v>398.6</v>
      </c>
      <c r="S479" s="11"/>
      <c r="T479" s="11">
        <v>0.41110000000000002</v>
      </c>
      <c r="U479" s="11">
        <v>1.2685</v>
      </c>
      <c r="V479" s="11">
        <v>0</v>
      </c>
      <c r="W479" s="11">
        <v>40.5</v>
      </c>
      <c r="X479" s="11">
        <v>4.9000000000000004</v>
      </c>
      <c r="Y479" s="11">
        <v>1</v>
      </c>
      <c r="Z479" s="11"/>
      <c r="AA479" s="11">
        <v>0</v>
      </c>
      <c r="AB479" s="11">
        <v>0.39700000000000002</v>
      </c>
      <c r="AC479" s="11">
        <v>45</v>
      </c>
      <c r="AD479" s="11">
        <v>0.57999999999999996</v>
      </c>
      <c r="AE479" s="11">
        <v>0.16</v>
      </c>
      <c r="AF479" s="11">
        <v>9.24</v>
      </c>
      <c r="AG479" s="11">
        <v>584</v>
      </c>
      <c r="AH479" s="11">
        <v>0.15</v>
      </c>
      <c r="AI479" s="11">
        <v>0</v>
      </c>
      <c r="AJ479" s="11">
        <v>3.33</v>
      </c>
      <c r="AK479" s="11">
        <v>4</v>
      </c>
      <c r="AL479" s="11">
        <v>0.75</v>
      </c>
      <c r="AM479" s="11">
        <v>0</v>
      </c>
      <c r="AN479" s="11">
        <v>0.01</v>
      </c>
      <c r="AO479" s="11">
        <v>0.106</v>
      </c>
      <c r="AP479" s="11">
        <v>0.15540000000000001</v>
      </c>
      <c r="AQ479" s="11">
        <v>0.17</v>
      </c>
      <c r="AR479" s="11">
        <v>0.16</v>
      </c>
      <c r="AS479" s="11">
        <v>1.85</v>
      </c>
      <c r="AT479" s="11">
        <v>0.26</v>
      </c>
      <c r="AU479" s="11">
        <v>0.98</v>
      </c>
      <c r="AV479" s="11">
        <v>2.12</v>
      </c>
      <c r="AW479" s="11">
        <v>0.72</v>
      </c>
      <c r="AX479" s="9">
        <f>Tabelle1[[#This Row],[Vitamin D3 '[µg/100g']]]*40</f>
        <v>0</v>
      </c>
      <c r="AY479" s="9">
        <f>Tabelle1[[#This Row],[Vitamin A '[µg/100g']]]*3.33</f>
        <v>149.85</v>
      </c>
      <c r="AZ479" s="9">
        <f>Tabelle1[[#This Row],[Vitamin E '[mg/100g']]]*1.49</f>
        <v>0.59153</v>
      </c>
    </row>
    <row r="480" spans="1:52" hidden="1" x14ac:dyDescent="0.45">
      <c r="A480" t="s">
        <v>58</v>
      </c>
      <c r="B480" s="5" t="s">
        <v>213</v>
      </c>
      <c r="C480" s="6" t="s">
        <v>214</v>
      </c>
      <c r="D480" s="13">
        <v>364</v>
      </c>
      <c r="E480" s="13">
        <f>Tabelle1[[#This Row],[Energie '[kcal/100g']]]/239</f>
        <v>1.5230125523012552</v>
      </c>
      <c r="F480" s="13">
        <v>22.77</v>
      </c>
      <c r="G480" s="11">
        <f>Tabelle1[[#This Row],[Rohprotein '[g/100g']]]*0.85</f>
        <v>19.354499999999998</v>
      </c>
      <c r="H480" s="13">
        <v>30.34</v>
      </c>
      <c r="I480" s="11">
        <f>Tabelle1[[#This Row],[TS]]-Tabelle1[[#This Row],[Rohprotein '[g/100g']]]-Tabelle1[[#This Row],[Rohfett '[g/100g']]]-Tabelle1[[#This Row],[Rohasche '[g/100g']]]-Tabelle1[[#This Row],[Rohfaser '[g/100g']]]</f>
        <v>0.24999999999999911</v>
      </c>
      <c r="J480" s="11">
        <v>0</v>
      </c>
      <c r="K480" s="13">
        <v>0.79</v>
      </c>
      <c r="L480" s="13">
        <v>45.85</v>
      </c>
      <c r="M480" s="13">
        <f>100-Tabelle1[[#This Row],[Wasser '[g/100g']]]</f>
        <v>54.15</v>
      </c>
      <c r="N480" s="13">
        <v>6</v>
      </c>
      <c r="O480" s="13">
        <v>140.9</v>
      </c>
      <c r="P480" s="13">
        <v>16</v>
      </c>
      <c r="Q480" s="13">
        <v>67.5</v>
      </c>
      <c r="R480" s="13">
        <v>241.8</v>
      </c>
      <c r="S480" s="13"/>
      <c r="T480" s="13">
        <v>0.63300000000000001</v>
      </c>
      <c r="U480" s="13">
        <v>2.0022000000000002</v>
      </c>
      <c r="V480" s="11">
        <v>0</v>
      </c>
      <c r="W480" s="13">
        <v>64.3</v>
      </c>
      <c r="X480" s="13">
        <v>7</v>
      </c>
      <c r="Y480" s="13">
        <v>0</v>
      </c>
      <c r="Z480" s="13"/>
      <c r="AA480" s="13">
        <v>0.46</v>
      </c>
      <c r="AB480" s="13">
        <v>1.0880000000000001</v>
      </c>
      <c r="AC480" s="13">
        <v>4.4000000000000004</v>
      </c>
      <c r="AD480" s="13">
        <v>0.28000000000000003</v>
      </c>
      <c r="AE480" s="13">
        <v>0.18</v>
      </c>
      <c r="AF480" s="13">
        <v>5.9</v>
      </c>
      <c r="AG480" s="13">
        <v>311</v>
      </c>
      <c r="AH480" s="13">
        <v>0.43</v>
      </c>
      <c r="AI480" s="13">
        <v>0</v>
      </c>
      <c r="AJ480" s="13">
        <v>3.14</v>
      </c>
      <c r="AK480" s="13">
        <v>1.6</v>
      </c>
      <c r="AL480" s="13">
        <v>0.94</v>
      </c>
      <c r="AM480" s="13">
        <v>0</v>
      </c>
      <c r="AN480" s="13">
        <v>0.21</v>
      </c>
      <c r="AO480" s="13">
        <v>2.5000000000000001E-3</v>
      </c>
      <c r="AP480" s="13">
        <v>1.4E-3</v>
      </c>
      <c r="AQ480" s="13">
        <v>2.66</v>
      </c>
      <c r="AR480" s="13">
        <v>2.39</v>
      </c>
      <c r="AS480" s="13">
        <v>1.81</v>
      </c>
      <c r="AT480" s="13">
        <v>0.24</v>
      </c>
      <c r="AU480" s="13">
        <v>0.8</v>
      </c>
      <c r="AV480" s="13">
        <v>1.73</v>
      </c>
      <c r="AW480" s="13">
        <v>0.62</v>
      </c>
      <c r="AX480" s="9">
        <f>Tabelle1[[#This Row],[Vitamin D3 '[µg/100g']]]*40</f>
        <v>18.400000000000002</v>
      </c>
      <c r="AY480" s="9">
        <f>Tabelle1[[#This Row],[Vitamin A '[µg/100g']]]*3.33</f>
        <v>14.652000000000001</v>
      </c>
      <c r="AZ480" s="9">
        <f>Tabelle1[[#This Row],[Vitamin E '[mg/100g']]]*1.49</f>
        <v>1.6211200000000001</v>
      </c>
    </row>
    <row r="481" spans="1:52" hidden="1" x14ac:dyDescent="0.45">
      <c r="A481" t="s">
        <v>1151</v>
      </c>
      <c r="B481" s="3" t="s">
        <v>1137</v>
      </c>
      <c r="C481" s="4" t="s">
        <v>1138</v>
      </c>
      <c r="D481" s="11">
        <v>147</v>
      </c>
      <c r="E481" s="11">
        <f>Tabelle1[[#This Row],[Energie '[kcal/100g']]]/239</f>
        <v>0.61506276150627615</v>
      </c>
      <c r="F481" s="11">
        <v>23.15</v>
      </c>
      <c r="G481" s="11">
        <f>Tabelle1[[#This Row],[Rohprotein '[g/100g']]]*0.85</f>
        <v>19.677499999999998</v>
      </c>
      <c r="H481" s="11">
        <v>5.55</v>
      </c>
      <c r="I481" s="11">
        <f>Tabelle1[[#This Row],[TS]]-Tabelle1[[#This Row],[Rohprotein '[g/100g']]]-Tabelle1[[#This Row],[Rohfett '[g/100g']]]-Tabelle1[[#This Row],[Rohasche '[g/100g']]]-Tabelle1[[#This Row],[Rohfaser '[g/100g']]]</f>
        <v>-0.23999999999999311</v>
      </c>
      <c r="J481" s="11">
        <v>0</v>
      </c>
      <c r="K481" s="11">
        <v>2.8</v>
      </c>
      <c r="L481" s="11">
        <v>68.739999999999995</v>
      </c>
      <c r="M481" s="11">
        <f>100-Tabelle1[[#This Row],[Wasser '[g/100g']]]</f>
        <v>31.260000000000005</v>
      </c>
      <c r="N481" s="11">
        <v>6.3</v>
      </c>
      <c r="O481" s="11">
        <v>328</v>
      </c>
      <c r="P481" s="11">
        <v>19.3</v>
      </c>
      <c r="Q481" s="11">
        <v>98.5</v>
      </c>
      <c r="R481" s="11">
        <v>267.3</v>
      </c>
      <c r="S481" s="11"/>
      <c r="T481" s="11">
        <v>19.857500000000002</v>
      </c>
      <c r="U481" s="11">
        <v>7.0795000000000003</v>
      </c>
      <c r="V481" s="11">
        <v>0</v>
      </c>
      <c r="W481" s="11">
        <v>1084.7</v>
      </c>
      <c r="X481" s="11">
        <v>328.5</v>
      </c>
      <c r="Y481" s="11">
        <v>13</v>
      </c>
      <c r="Z481" s="11"/>
      <c r="AA481" s="11">
        <v>0.4</v>
      </c>
      <c r="AB481" s="11">
        <v>1.63</v>
      </c>
      <c r="AC481" s="11">
        <v>6</v>
      </c>
      <c r="AD481" s="11">
        <v>0.32</v>
      </c>
      <c r="AE481" s="11">
        <v>2.282</v>
      </c>
      <c r="AF481" s="11">
        <v>13.74</v>
      </c>
      <c r="AG481" s="11">
        <v>614</v>
      </c>
      <c r="AH481" s="11">
        <v>24.85</v>
      </c>
      <c r="AI481" s="11">
        <v>17.010000000000002</v>
      </c>
      <c r="AJ481" s="11">
        <v>0.5</v>
      </c>
      <c r="AK481" s="11">
        <v>5</v>
      </c>
      <c r="AL481" s="11">
        <v>4.25</v>
      </c>
      <c r="AM481" s="11">
        <v>0</v>
      </c>
      <c r="AN481" s="11">
        <v>0.154</v>
      </c>
      <c r="AO481" s="11">
        <v>3.3999999999999998E-3</v>
      </c>
      <c r="AP481" s="11">
        <v>2.3999999999999998E-3</v>
      </c>
      <c r="AQ481" s="11">
        <v>0.60699999999999998</v>
      </c>
      <c r="AR481" s="11">
        <v>0.54900000000000004</v>
      </c>
      <c r="AS481" s="11">
        <v>1.8160499999999999</v>
      </c>
      <c r="AT481" s="11">
        <v>0.45979999999999999</v>
      </c>
      <c r="AU481" s="11">
        <v>0.73660999999999999</v>
      </c>
      <c r="AV481" s="11">
        <v>1.8764400000000001</v>
      </c>
      <c r="AW481" s="11">
        <v>0.84892000000000001</v>
      </c>
      <c r="AX481" s="9">
        <f>Tabelle1[[#This Row],[Vitamin D3 '[µg/100g']]]*40</f>
        <v>16</v>
      </c>
      <c r="AY481" s="9">
        <f>Tabelle1[[#This Row],[Vitamin A '[µg/100g']]]*3.33</f>
        <v>19.98</v>
      </c>
      <c r="AZ481" s="9">
        <f>Tabelle1[[#This Row],[Vitamin E '[mg/100g']]]*1.49</f>
        <v>2.4286999999999996</v>
      </c>
    </row>
    <row r="482" spans="1:52" hidden="1" x14ac:dyDescent="0.45">
      <c r="A482" t="s">
        <v>1151</v>
      </c>
      <c r="B482" s="5" t="s">
        <v>1139</v>
      </c>
      <c r="C482" s="6" t="s">
        <v>1140</v>
      </c>
      <c r="D482" s="13">
        <v>131</v>
      </c>
      <c r="E482" s="11">
        <f>Tabelle1[[#This Row],[Energie '[kcal/100g']]]/239</f>
        <v>0.54811715481171552</v>
      </c>
      <c r="F482" s="13">
        <v>20.96</v>
      </c>
      <c r="G482" s="11">
        <f>Tabelle1[[#This Row],[Rohprotein '[g/100g']]]*0.85</f>
        <v>17.815999999999999</v>
      </c>
      <c r="H482" s="13">
        <v>4.7699999999999996</v>
      </c>
      <c r="I482" s="11">
        <f>Tabelle1[[#This Row],[TS]]-Tabelle1[[#This Row],[Rohprotein '[g/100g']]]-Tabelle1[[#This Row],[Rohfett '[g/100g']]]-Tabelle1[[#This Row],[Rohasche '[g/100g']]]-Tabelle1[[#This Row],[Rohfaser '[g/100g']]]</f>
        <v>-0.39999999999999414</v>
      </c>
      <c r="J482" s="11">
        <v>0</v>
      </c>
      <c r="K482" s="13">
        <v>3.21</v>
      </c>
      <c r="L482" s="13">
        <v>71.459999999999994</v>
      </c>
      <c r="M482" s="13">
        <f>100-Tabelle1[[#This Row],[Wasser '[g/100g']]]</f>
        <v>28.540000000000006</v>
      </c>
      <c r="N482" s="13">
        <v>5.4</v>
      </c>
      <c r="O482" s="13">
        <v>352.6</v>
      </c>
      <c r="P482" s="13">
        <v>19.5</v>
      </c>
      <c r="Q482" s="13">
        <v>99.7</v>
      </c>
      <c r="R482" s="13">
        <v>306.5</v>
      </c>
      <c r="S482" s="13"/>
      <c r="T482" s="13">
        <v>17.976299999999998</v>
      </c>
      <c r="U482" s="13">
        <v>7.1627999999999998</v>
      </c>
      <c r="V482" s="11">
        <v>0</v>
      </c>
      <c r="W482" s="13">
        <v>1166.0999999999999</v>
      </c>
      <c r="X482" s="13">
        <v>282.5</v>
      </c>
      <c r="Y482" s="13">
        <v>14</v>
      </c>
      <c r="Z482" s="13"/>
      <c r="AA482" s="13">
        <v>0.36</v>
      </c>
      <c r="AB482" s="13">
        <v>1.4</v>
      </c>
      <c r="AC482" s="13">
        <v>35</v>
      </c>
      <c r="AD482" s="13">
        <v>0.32400000000000001</v>
      </c>
      <c r="AE482" s="13">
        <v>2.0659999999999998</v>
      </c>
      <c r="AF482" s="13">
        <v>13.9</v>
      </c>
      <c r="AG482" s="13">
        <v>660</v>
      </c>
      <c r="AH482" s="13">
        <v>28.5</v>
      </c>
      <c r="AI482" s="13">
        <v>19.5</v>
      </c>
      <c r="AJ482" s="13">
        <v>0.5</v>
      </c>
      <c r="AK482" s="13">
        <v>10</v>
      </c>
      <c r="AL482" s="13">
        <v>4.3</v>
      </c>
      <c r="AM482" s="13">
        <v>0</v>
      </c>
      <c r="AN482" s="13">
        <v>0.13300000000000001</v>
      </c>
      <c r="AO482" s="13">
        <v>1.0699999999999999E-2</v>
      </c>
      <c r="AP482" s="13">
        <v>4.0000000000000001E-3</v>
      </c>
      <c r="AQ482" s="13">
        <v>0.52100000000000002</v>
      </c>
      <c r="AR482" s="13">
        <v>0.47199999999999998</v>
      </c>
      <c r="AS482" s="13">
        <v>1.6439999999999999</v>
      </c>
      <c r="AT482" s="13">
        <v>0.41620000000000001</v>
      </c>
      <c r="AU482" s="13">
        <v>0.66683000000000003</v>
      </c>
      <c r="AV482" s="13">
        <v>1.6986699999999999</v>
      </c>
      <c r="AW482" s="13">
        <v>0.76849999999999996</v>
      </c>
      <c r="AX482" s="9">
        <f>Tabelle1[[#This Row],[Vitamin D3 '[µg/100g']]]*40</f>
        <v>14.399999999999999</v>
      </c>
      <c r="AY482" s="9">
        <f>Tabelle1[[#This Row],[Vitamin A '[µg/100g']]]*3.33</f>
        <v>116.55</v>
      </c>
      <c r="AZ482" s="9">
        <f>Tabelle1[[#This Row],[Vitamin E '[mg/100g']]]*1.49</f>
        <v>2.0859999999999999</v>
      </c>
    </row>
    <row r="483" spans="1:52" hidden="1" x14ac:dyDescent="0.45">
      <c r="A483" t="s">
        <v>1151</v>
      </c>
      <c r="B483" s="5" t="s">
        <v>1141</v>
      </c>
      <c r="C483" s="6" t="s">
        <v>1142</v>
      </c>
      <c r="D483" s="13">
        <v>107</v>
      </c>
      <c r="E483" s="11">
        <f>Tabelle1[[#This Row],[Energie '[kcal/100g']]]/239</f>
        <v>0.44769874476987448</v>
      </c>
      <c r="F483" s="13">
        <v>13.5</v>
      </c>
      <c r="G483" s="11">
        <f>Tabelle1[[#This Row],[Rohprotein '[g/100g']]]*0.85</f>
        <v>11.475</v>
      </c>
      <c r="H483" s="13">
        <v>5.9290000000000003</v>
      </c>
      <c r="I483" s="11">
        <f>Tabelle1[[#This Row],[TS]]-Tabelle1[[#This Row],[Rohprotein '[g/100g']]]-Tabelle1[[#This Row],[Rohfett '[g/100g']]]-Tabelle1[[#This Row],[Rohasche '[g/100g']]]-Tabelle1[[#This Row],[Rohfaser '[g/100g']]]</f>
        <v>6.3282712403633923E-15</v>
      </c>
      <c r="J483" s="11">
        <v>0</v>
      </c>
      <c r="K483" s="13">
        <v>0.62</v>
      </c>
      <c r="L483" s="13">
        <v>79.950999999999993</v>
      </c>
      <c r="M483" s="13">
        <f>100-Tabelle1[[#This Row],[Wasser '[g/100g']]]</f>
        <v>20.049000000000007</v>
      </c>
      <c r="N483" s="13">
        <v>3</v>
      </c>
      <c r="O483" s="13">
        <v>179</v>
      </c>
      <c r="P483" s="13">
        <v>12</v>
      </c>
      <c r="Q483" s="13">
        <v>101</v>
      </c>
      <c r="R483" s="13">
        <v>162</v>
      </c>
      <c r="S483" s="13"/>
      <c r="T483" s="13">
        <v>5.2779999999999996</v>
      </c>
      <c r="U483" s="13">
        <v>1.294</v>
      </c>
      <c r="V483" s="11">
        <v>0</v>
      </c>
      <c r="W483" s="13">
        <v>226</v>
      </c>
      <c r="X483" s="13">
        <v>21</v>
      </c>
      <c r="Y483" s="13">
        <v>0</v>
      </c>
      <c r="Z483" s="13"/>
      <c r="AA483" s="13">
        <v>0</v>
      </c>
      <c r="AB483" s="13">
        <v>0</v>
      </c>
      <c r="AC483" s="13">
        <v>4</v>
      </c>
      <c r="AD483" s="13">
        <v>4.7E-2</v>
      </c>
      <c r="AE483" s="13">
        <v>0.187</v>
      </c>
      <c r="AF483" s="13">
        <v>1.889</v>
      </c>
      <c r="AG483" s="13">
        <v>60</v>
      </c>
      <c r="AH483" s="13">
        <v>2.62</v>
      </c>
      <c r="AI483" s="13">
        <v>10.189</v>
      </c>
      <c r="AJ483" s="13">
        <v>0</v>
      </c>
      <c r="AK483" s="13">
        <v>1.7</v>
      </c>
      <c r="AL483" s="13">
        <v>0</v>
      </c>
      <c r="AM483" s="13">
        <v>0</v>
      </c>
      <c r="AN483" s="13">
        <v>0.16500000000000001</v>
      </c>
      <c r="AO483" s="13">
        <v>8.9999999999999998E-4</v>
      </c>
      <c r="AP483" s="13">
        <v>2.9999999999999997E-4</v>
      </c>
      <c r="AQ483" s="13">
        <v>0.64900000000000002</v>
      </c>
      <c r="AR483" s="13">
        <v>0.58699999999999997</v>
      </c>
      <c r="AS483" s="13">
        <v>0.69</v>
      </c>
      <c r="AT483" s="13">
        <v>0</v>
      </c>
      <c r="AU483" s="13">
        <v>0.31</v>
      </c>
      <c r="AV483" s="13">
        <v>0.1</v>
      </c>
      <c r="AW483" s="13">
        <v>0.23</v>
      </c>
      <c r="AX483" s="9">
        <f>Tabelle1[[#This Row],[Vitamin D3 '[µg/100g']]]*40</f>
        <v>0</v>
      </c>
      <c r="AY483" s="9">
        <f>Tabelle1[[#This Row],[Vitamin A '[µg/100g']]]*3.33</f>
        <v>13.32</v>
      </c>
      <c r="AZ483" s="9">
        <f>Tabelle1[[#This Row],[Vitamin E '[mg/100g']]]*1.49</f>
        <v>0</v>
      </c>
    </row>
    <row r="484" spans="1:52" hidden="1" x14ac:dyDescent="0.45">
      <c r="A484" t="s">
        <v>1151</v>
      </c>
      <c r="B484" s="3" t="s">
        <v>1143</v>
      </c>
      <c r="C484" s="4" t="s">
        <v>1144</v>
      </c>
      <c r="D484" s="11">
        <v>114</v>
      </c>
      <c r="E484" s="11">
        <f>Tabelle1[[#This Row],[Energie '[kcal/100g']]]/239</f>
        <v>0.47698744769874479</v>
      </c>
      <c r="F484" s="11">
        <v>13.5</v>
      </c>
      <c r="G484" s="11">
        <f>Tabelle1[[#This Row],[Rohprotein '[g/100g']]]*0.85</f>
        <v>11.475</v>
      </c>
      <c r="H484" s="11">
        <v>6.67</v>
      </c>
      <c r="I484" s="11">
        <f>Tabelle1[[#This Row],[TS]]-Tabelle1[[#This Row],[Rohprotein '[g/100g']]]-Tabelle1[[#This Row],[Rohfett '[g/100g']]]-Tabelle1[[#This Row],[Rohasche '[g/100g']]]-Tabelle1[[#This Row],[Rohfaser '[g/100g']]]</f>
        <v>-5.6621374255882984E-15</v>
      </c>
      <c r="J484" s="11">
        <v>0</v>
      </c>
      <c r="K484" s="11">
        <v>0.93</v>
      </c>
      <c r="L484" s="11">
        <v>78.900000000000006</v>
      </c>
      <c r="M484" s="11">
        <f>100-Tabelle1[[#This Row],[Wasser '[g/100g']]]</f>
        <v>21.099999999999994</v>
      </c>
      <c r="N484" s="11">
        <v>3</v>
      </c>
      <c r="O484" s="11">
        <v>230</v>
      </c>
      <c r="P484" s="11">
        <v>14</v>
      </c>
      <c r="Q484" s="11">
        <v>151</v>
      </c>
      <c r="R484" s="11">
        <v>243</v>
      </c>
      <c r="S484" s="11"/>
      <c r="T484" s="11">
        <v>5</v>
      </c>
      <c r="U484" s="11">
        <v>1.37</v>
      </c>
      <c r="V484" s="11">
        <v>0</v>
      </c>
      <c r="W484" s="11">
        <v>254</v>
      </c>
      <c r="X484" s="11">
        <v>19</v>
      </c>
      <c r="Y484" s="13">
        <v>0</v>
      </c>
      <c r="Z484" s="13"/>
      <c r="AA484" s="13">
        <v>0</v>
      </c>
      <c r="AB484" s="13">
        <v>0</v>
      </c>
      <c r="AC484" s="11">
        <v>43</v>
      </c>
      <c r="AD484" s="11">
        <v>0.06</v>
      </c>
      <c r="AE484" s="11">
        <v>0.21</v>
      </c>
      <c r="AF484" s="11">
        <v>3.4</v>
      </c>
      <c r="AG484" s="11">
        <v>110</v>
      </c>
      <c r="AH484" s="11">
        <v>3.93</v>
      </c>
      <c r="AI484" s="11">
        <v>13.1</v>
      </c>
      <c r="AJ484" s="13">
        <v>0</v>
      </c>
      <c r="AK484" s="11">
        <v>51</v>
      </c>
      <c r="AL484" s="13">
        <v>0</v>
      </c>
      <c r="AM484" s="11">
        <v>0</v>
      </c>
      <c r="AN484" s="11">
        <v>0.185</v>
      </c>
      <c r="AO484" s="11">
        <v>0.11</v>
      </c>
      <c r="AP484" s="11">
        <v>0.09</v>
      </c>
      <c r="AQ484" s="11">
        <v>0.72899999999999998</v>
      </c>
      <c r="AR484" s="11">
        <v>0.66</v>
      </c>
      <c r="AS484" s="11">
        <v>0.69</v>
      </c>
      <c r="AT484" s="13">
        <v>0</v>
      </c>
      <c r="AU484" s="11">
        <v>0.31</v>
      </c>
      <c r="AV484" s="11">
        <v>0.1</v>
      </c>
      <c r="AW484" s="11">
        <v>0.23</v>
      </c>
      <c r="AX484" s="9">
        <f>Tabelle1[[#This Row],[Vitamin D3 '[µg/100g']]]*40</f>
        <v>0</v>
      </c>
      <c r="AY484" s="9">
        <f>Tabelle1[[#This Row],[Vitamin A '[µg/100g']]]*3.33</f>
        <v>143.19</v>
      </c>
      <c r="AZ484" s="9">
        <f>Tabelle1[[#This Row],[Vitamin E '[mg/100g']]]*1.49</f>
        <v>0</v>
      </c>
    </row>
    <row r="485" spans="1:52" hidden="1" x14ac:dyDescent="0.45">
      <c r="A485" t="s">
        <v>1151</v>
      </c>
      <c r="B485" s="5" t="s">
        <v>1145</v>
      </c>
      <c r="C485" s="6" t="s">
        <v>1146</v>
      </c>
      <c r="D485" s="13">
        <v>102</v>
      </c>
      <c r="E485" s="11">
        <f>Tabelle1[[#This Row],[Energie '[kcal/100g']]]/239</f>
        <v>0.42677824267782427</v>
      </c>
      <c r="F485" s="13">
        <v>17.2</v>
      </c>
      <c r="G485" s="11">
        <f>Tabelle1[[#This Row],[Rohprotein '[g/100g']]]*0.85</f>
        <v>14.62</v>
      </c>
      <c r="H485" s="13">
        <v>3.64</v>
      </c>
      <c r="I485" s="11">
        <f>Tabelle1[[#This Row],[TS]]-Tabelle1[[#This Row],[Rohprotein '[g/100g']]]-Tabelle1[[#This Row],[Rohfett '[g/100g']]]-Tabelle1[[#This Row],[Rohasche '[g/100g']]]-Tabelle1[[#This Row],[Rohfaser '[g/100g']]]</f>
        <v>0.31999999999999496</v>
      </c>
      <c r="J485" s="11">
        <v>0</v>
      </c>
      <c r="K485" s="13">
        <v>1.44</v>
      </c>
      <c r="L485" s="13">
        <v>77.400000000000006</v>
      </c>
      <c r="M485" s="13">
        <f>100-Tabelle1[[#This Row],[Wasser '[g/100g']]]</f>
        <v>22.599999999999994</v>
      </c>
      <c r="N485" s="13">
        <v>7</v>
      </c>
      <c r="O485" s="13">
        <v>173</v>
      </c>
      <c r="P485" s="13">
        <v>21</v>
      </c>
      <c r="Q485" s="13">
        <v>100</v>
      </c>
      <c r="R485" s="13">
        <v>380</v>
      </c>
      <c r="S485" s="13"/>
      <c r="T485" s="13">
        <v>19.399999999999999</v>
      </c>
      <c r="U485" s="13">
        <v>2.84</v>
      </c>
      <c r="V485" s="11">
        <v>0</v>
      </c>
      <c r="W485" s="13">
        <v>121</v>
      </c>
      <c r="X485" s="13">
        <v>51</v>
      </c>
      <c r="Y485" s="13">
        <v>0</v>
      </c>
      <c r="Z485" s="13"/>
      <c r="AA485" s="13">
        <v>0</v>
      </c>
      <c r="AB485" s="13">
        <v>0</v>
      </c>
      <c r="AC485" s="13">
        <v>24</v>
      </c>
      <c r="AD485" s="13">
        <v>0.13</v>
      </c>
      <c r="AE485" s="13">
        <v>0.32</v>
      </c>
      <c r="AF485" s="13">
        <v>3.35</v>
      </c>
      <c r="AG485" s="13">
        <v>110</v>
      </c>
      <c r="AH485" s="13">
        <v>4.0999999999999996</v>
      </c>
      <c r="AI485" s="13">
        <v>30</v>
      </c>
      <c r="AJ485" s="13">
        <v>0</v>
      </c>
      <c r="AK485" s="13">
        <v>8</v>
      </c>
      <c r="AL485" s="13">
        <v>0</v>
      </c>
      <c r="AM485" s="13">
        <v>0</v>
      </c>
      <c r="AN485" s="13">
        <v>0.11700000000000001</v>
      </c>
      <c r="AO485" s="13">
        <v>0</v>
      </c>
      <c r="AP485" s="13">
        <v>0</v>
      </c>
      <c r="AQ485" s="13">
        <v>0.112</v>
      </c>
      <c r="AR485" s="13">
        <v>7.9000000000000001E-2</v>
      </c>
      <c r="AS485" s="13">
        <v>0.96</v>
      </c>
      <c r="AT485" s="13">
        <v>0</v>
      </c>
      <c r="AU485" s="13">
        <v>0.43</v>
      </c>
      <c r="AV485" s="13">
        <v>1.39</v>
      </c>
      <c r="AW485" s="13">
        <v>0.34</v>
      </c>
      <c r="AX485" s="9">
        <f>Tabelle1[[#This Row],[Vitamin D3 '[µg/100g']]]*40</f>
        <v>0</v>
      </c>
      <c r="AY485" s="9">
        <f>Tabelle1[[#This Row],[Vitamin A '[µg/100g']]]*3.33</f>
        <v>79.92</v>
      </c>
      <c r="AZ485" s="9">
        <f>Tabelle1[[#This Row],[Vitamin E '[mg/100g']]]*1.49</f>
        <v>0</v>
      </c>
    </row>
    <row r="486" spans="1:52" hidden="1" x14ac:dyDescent="0.45">
      <c r="A486" t="s">
        <v>58</v>
      </c>
      <c r="B486" s="5" t="s">
        <v>215</v>
      </c>
      <c r="C486" s="6" t="s">
        <v>216</v>
      </c>
      <c r="D486" s="13">
        <v>105</v>
      </c>
      <c r="E486" s="13">
        <f>Tabelle1[[#This Row],[Energie '[kcal/100g']]]/239</f>
        <v>0.43933054393305437</v>
      </c>
      <c r="F486" s="13">
        <v>22</v>
      </c>
      <c r="G486" s="11">
        <f>Tabelle1[[#This Row],[Rohprotein '[g/100g']]]*0.85</f>
        <v>18.7</v>
      </c>
      <c r="H486" s="13">
        <v>1.86</v>
      </c>
      <c r="I486" s="11">
        <f>Tabelle1[[#This Row],[TS]]-Tabelle1[[#This Row],[Rohprotein '[g/100g']]]-Tabelle1[[#This Row],[Rohfett '[g/100g']]]-Tabelle1[[#This Row],[Rohasche '[g/100g']]]-Tabelle1[[#This Row],[Rohfaser '[g/100g']]]</f>
        <v>0.38999999999999702</v>
      </c>
      <c r="J486" s="11">
        <v>0</v>
      </c>
      <c r="K486" s="13">
        <v>1.05</v>
      </c>
      <c r="L486" s="13">
        <v>74.7</v>
      </c>
      <c r="M486" s="13">
        <f>100-Tabelle1[[#This Row],[Wasser '[g/100g']]]</f>
        <v>25.299999999999997</v>
      </c>
      <c r="N486" s="13">
        <v>5.1349999999999998</v>
      </c>
      <c r="O486" s="13">
        <v>189</v>
      </c>
      <c r="P486" s="13">
        <v>25.8</v>
      </c>
      <c r="Q486" s="13">
        <v>71</v>
      </c>
      <c r="R486" s="13">
        <v>393</v>
      </c>
      <c r="S486" s="13"/>
      <c r="T486" s="13">
        <v>0.42</v>
      </c>
      <c r="U486" s="13">
        <v>1.55</v>
      </c>
      <c r="V486" s="11">
        <v>0</v>
      </c>
      <c r="W486" s="13">
        <v>88</v>
      </c>
      <c r="X486" s="13">
        <v>26</v>
      </c>
      <c r="Y486" s="13">
        <v>4.4909999999999997</v>
      </c>
      <c r="Z486" s="13"/>
      <c r="AA486" s="13">
        <v>0.15</v>
      </c>
      <c r="AB486" s="13">
        <v>0.4</v>
      </c>
      <c r="AC486" s="13">
        <v>8.6999999999999993</v>
      </c>
      <c r="AD486" s="13">
        <v>0.6</v>
      </c>
      <c r="AE486" s="13">
        <v>0.13</v>
      </c>
      <c r="AF486" s="13">
        <v>4.2</v>
      </c>
      <c r="AG486" s="13">
        <v>565</v>
      </c>
      <c r="AH486" s="13">
        <v>2.04</v>
      </c>
      <c r="AI486" s="13">
        <v>0</v>
      </c>
      <c r="AJ486" s="13">
        <v>2.34</v>
      </c>
      <c r="AK486" s="13">
        <v>2.7</v>
      </c>
      <c r="AL486" s="13">
        <v>5</v>
      </c>
      <c r="AM486" s="13">
        <v>0</v>
      </c>
      <c r="AN486" s="13">
        <v>6.3E-2</v>
      </c>
      <c r="AO486" s="13">
        <v>4.3E-3</v>
      </c>
      <c r="AP486" s="13">
        <v>2.3999999999999998E-3</v>
      </c>
      <c r="AQ486" s="13">
        <v>0.19800000000000001</v>
      </c>
      <c r="AR486" s="13">
        <v>0.16175</v>
      </c>
      <c r="AS486" s="13">
        <v>1.53</v>
      </c>
      <c r="AT486" s="13">
        <v>0.31</v>
      </c>
      <c r="AU486" s="13">
        <v>0.99</v>
      </c>
      <c r="AV486" s="13">
        <v>2.2000000000000002</v>
      </c>
      <c r="AW486" s="13">
        <v>0.72</v>
      </c>
      <c r="AX486" s="9">
        <f>Tabelle1[[#This Row],[Vitamin D3 '[µg/100g']]]*40</f>
        <v>6</v>
      </c>
      <c r="AY486" s="9">
        <f>Tabelle1[[#This Row],[Vitamin A '[µg/100g']]]*3.33</f>
        <v>28.970999999999997</v>
      </c>
      <c r="AZ486" s="9">
        <f>Tabelle1[[#This Row],[Vitamin E '[mg/100g']]]*1.49</f>
        <v>0.59599999999999997</v>
      </c>
    </row>
    <row r="487" spans="1:52" hidden="1" x14ac:dyDescent="0.45">
      <c r="A487" t="s">
        <v>1151</v>
      </c>
      <c r="B487" s="3" t="s">
        <v>1147</v>
      </c>
      <c r="C487" s="4" t="s">
        <v>1148</v>
      </c>
      <c r="D487" s="11">
        <v>113</v>
      </c>
      <c r="E487" s="11">
        <f>Tabelle1[[#This Row],[Energie '[kcal/100g']]]/239</f>
        <v>0.47280334728033474</v>
      </c>
      <c r="F487" s="11">
        <v>19.937999999999999</v>
      </c>
      <c r="G487" s="11">
        <f>Tabelle1[[#This Row],[Rohprotein '[g/100g']]]*0.85</f>
        <v>16.947299999999998</v>
      </c>
      <c r="H487" s="11">
        <v>3.7189999999999999</v>
      </c>
      <c r="I487" s="11">
        <f>Tabelle1[[#This Row],[TS]]-Tabelle1[[#This Row],[Rohprotein '[g/100g']]]-Tabelle1[[#This Row],[Rohfett '[g/100g']]]-Tabelle1[[#This Row],[Rohasche '[g/100g']]]-Tabelle1[[#This Row],[Rohfaser '[g/100g']]]</f>
        <v>-0.36499999999999244</v>
      </c>
      <c r="J487" s="11">
        <v>0</v>
      </c>
      <c r="K487" s="11">
        <v>1.123</v>
      </c>
      <c r="L487" s="11">
        <v>75.584999999999994</v>
      </c>
      <c r="M487" s="11">
        <f>100-Tabelle1[[#This Row],[Wasser '[g/100g']]]</f>
        <v>24.415000000000006</v>
      </c>
      <c r="N487" s="11">
        <v>8.9</v>
      </c>
      <c r="O487" s="11">
        <v>247</v>
      </c>
      <c r="P487" s="11">
        <v>18</v>
      </c>
      <c r="Q487" s="11">
        <v>127</v>
      </c>
      <c r="R487" s="11">
        <v>216</v>
      </c>
      <c r="S487" s="11"/>
      <c r="T487" s="11">
        <v>8.5779999999999994</v>
      </c>
      <c r="U487" s="11">
        <v>2.89</v>
      </c>
      <c r="V487" s="11">
        <v>0</v>
      </c>
      <c r="W487" s="11">
        <v>623</v>
      </c>
      <c r="X487" s="11">
        <v>185</v>
      </c>
      <c r="Y487" s="13">
        <v>0</v>
      </c>
      <c r="Z487" s="13"/>
      <c r="AA487" s="11">
        <v>0.1</v>
      </c>
      <c r="AB487" s="11">
        <v>0.5</v>
      </c>
      <c r="AC487" s="11">
        <v>8.9</v>
      </c>
      <c r="AD487" s="11">
        <v>0.35699999999999998</v>
      </c>
      <c r="AE487" s="11">
        <v>2.1110000000000002</v>
      </c>
      <c r="AF487" s="11">
        <v>8.7620000000000005</v>
      </c>
      <c r="AG487" s="11">
        <v>543</v>
      </c>
      <c r="AH487" s="11">
        <v>13</v>
      </c>
      <c r="AI487" s="11">
        <v>14.815</v>
      </c>
      <c r="AJ487" s="13">
        <v>0</v>
      </c>
      <c r="AK487" s="11">
        <v>3</v>
      </c>
      <c r="AL487" s="11">
        <v>13.8</v>
      </c>
      <c r="AM487" s="11">
        <v>0</v>
      </c>
      <c r="AN487" s="11">
        <v>0.253</v>
      </c>
      <c r="AO487" s="11">
        <v>7.3000000000000001E-3</v>
      </c>
      <c r="AP487" s="11">
        <v>3.3999999999999998E-3</v>
      </c>
      <c r="AQ487" s="11">
        <v>0.79549999999999998</v>
      </c>
      <c r="AR487" s="11">
        <v>0.44913999999999998</v>
      </c>
      <c r="AS487" s="11">
        <v>1.1379999999999999</v>
      </c>
      <c r="AT487" s="11">
        <v>0.23499999999999999</v>
      </c>
      <c r="AU487" s="11">
        <v>0.504</v>
      </c>
      <c r="AV487" s="11">
        <v>1.466</v>
      </c>
      <c r="AW487" s="11">
        <v>0.42199999999999999</v>
      </c>
      <c r="AX487" s="9">
        <f>Tabelle1[[#This Row],[Vitamin D3 '[µg/100g']]]*40</f>
        <v>4</v>
      </c>
      <c r="AY487" s="9">
        <f>Tabelle1[[#This Row],[Vitamin A '[µg/100g']]]*3.33</f>
        <v>29.637</v>
      </c>
      <c r="AZ487" s="9">
        <f>Tabelle1[[#This Row],[Vitamin E '[mg/100g']]]*1.49</f>
        <v>0.745</v>
      </c>
    </row>
    <row r="488" spans="1:52" hidden="1" x14ac:dyDescent="0.45">
      <c r="A488" t="s">
        <v>1151</v>
      </c>
      <c r="B488" s="3" t="s">
        <v>1149</v>
      </c>
      <c r="C488" s="4" t="s">
        <v>1150</v>
      </c>
      <c r="D488" s="11">
        <v>102</v>
      </c>
      <c r="E488" s="11">
        <f>Tabelle1[[#This Row],[Energie '[kcal/100g']]]/239</f>
        <v>0.42677824267782427</v>
      </c>
      <c r="F488" s="11">
        <v>17</v>
      </c>
      <c r="G488" s="11">
        <f>Tabelle1[[#This Row],[Rohprotein '[g/100g']]]*0.85</f>
        <v>14.45</v>
      </c>
      <c r="H488" s="11">
        <v>3.7650000000000001</v>
      </c>
      <c r="I488" s="11">
        <f>Tabelle1[[#This Row],[TS]]-Tabelle1[[#This Row],[Rohprotein '[g/100g']]]-Tabelle1[[#This Row],[Rohfett '[g/100g']]]-Tabelle1[[#This Row],[Rohasche '[g/100g']]]-Tabelle1[[#This Row],[Rohfaser '[g/100g']]]</f>
        <v>-0.36499999999999733</v>
      </c>
      <c r="J488" s="11">
        <v>0</v>
      </c>
      <c r="K488" s="11">
        <v>1.3</v>
      </c>
      <c r="L488" s="11">
        <v>78.3</v>
      </c>
      <c r="M488" s="11">
        <f>100-Tabelle1[[#This Row],[Wasser '[g/100g']]]</f>
        <v>21.700000000000003</v>
      </c>
      <c r="N488" s="11">
        <v>7.2</v>
      </c>
      <c r="O488" s="11">
        <v>250</v>
      </c>
      <c r="P488" s="11">
        <v>17</v>
      </c>
      <c r="Q488" s="11">
        <v>147</v>
      </c>
      <c r="R488" s="11">
        <v>250</v>
      </c>
      <c r="S488" s="11"/>
      <c r="T488" s="11">
        <v>7.3140000000000001</v>
      </c>
      <c r="U488" s="11">
        <v>2.75</v>
      </c>
      <c r="V488" s="11">
        <v>0</v>
      </c>
      <c r="W488" s="11">
        <v>631</v>
      </c>
      <c r="X488" s="11">
        <v>150</v>
      </c>
      <c r="Y488" s="13">
        <v>0</v>
      </c>
      <c r="Z488" s="13"/>
      <c r="AA488" s="11">
        <v>0.1</v>
      </c>
      <c r="AB488" s="11">
        <v>0.45</v>
      </c>
      <c r="AC488" s="11">
        <v>18</v>
      </c>
      <c r="AD488" s="11">
        <v>0.34</v>
      </c>
      <c r="AE488" s="11">
        <v>1.8</v>
      </c>
      <c r="AF488" s="11">
        <v>8.35</v>
      </c>
      <c r="AG488" s="11">
        <v>550</v>
      </c>
      <c r="AH488" s="11">
        <v>15</v>
      </c>
      <c r="AI488" s="11">
        <v>16</v>
      </c>
      <c r="AJ488" s="13">
        <v>0</v>
      </c>
      <c r="AK488" s="11">
        <v>2</v>
      </c>
      <c r="AL488" s="11">
        <v>16</v>
      </c>
      <c r="AM488" s="11">
        <v>0</v>
      </c>
      <c r="AN488" s="11">
        <v>0.25600000000000001</v>
      </c>
      <c r="AO488" s="11">
        <v>2.1000000000000001E-2</v>
      </c>
      <c r="AP488" s="11">
        <v>1.6E-2</v>
      </c>
      <c r="AQ488" s="11">
        <v>0.8054</v>
      </c>
      <c r="AR488" s="11">
        <v>0.45474999999999999</v>
      </c>
      <c r="AS488" s="11">
        <v>0.97</v>
      </c>
      <c r="AT488" s="11">
        <v>0.2</v>
      </c>
      <c r="AU488" s="11">
        <v>0.43</v>
      </c>
      <c r="AV488" s="11">
        <v>1.25</v>
      </c>
      <c r="AW488" s="11">
        <v>0.36</v>
      </c>
      <c r="AX488" s="9">
        <f>Tabelle1[[#This Row],[Vitamin D3 '[µg/100g']]]*40</f>
        <v>4</v>
      </c>
      <c r="AY488" s="9">
        <f>Tabelle1[[#This Row],[Vitamin A '[µg/100g']]]*3.33</f>
        <v>59.94</v>
      </c>
      <c r="AZ488" s="9">
        <f>Tabelle1[[#This Row],[Vitamin E '[mg/100g']]]*1.49</f>
        <v>0.67049999999999998</v>
      </c>
    </row>
    <row r="489" spans="1:52" hidden="1" x14ac:dyDescent="0.45">
      <c r="A489" t="s">
        <v>58</v>
      </c>
      <c r="B489" s="3" t="s">
        <v>217</v>
      </c>
      <c r="C489" s="4" t="s">
        <v>218</v>
      </c>
      <c r="D489" s="11">
        <v>135</v>
      </c>
      <c r="E489" s="13">
        <f>Tabelle1[[#This Row],[Energie '[kcal/100g']]]/239</f>
        <v>0.56485355648535562</v>
      </c>
      <c r="F489" s="11">
        <v>27.95</v>
      </c>
      <c r="G489" s="11">
        <f>Tabelle1[[#This Row],[Rohprotein '[g/100g']]]*0.85</f>
        <v>23.7575</v>
      </c>
      <c r="H489" s="11">
        <v>2.63</v>
      </c>
      <c r="I489" s="11">
        <f>Tabelle1[[#This Row],[TS]]-Tabelle1[[#This Row],[Rohprotein '[g/100g']]]-Tabelle1[[#This Row],[Rohfett '[g/100g']]]-Tabelle1[[#This Row],[Rohasche '[g/100g']]]-Tabelle1[[#This Row],[Rohfaser '[g/100g']]]</f>
        <v>-0.7900000000000027</v>
      </c>
      <c r="J489" s="11">
        <v>0</v>
      </c>
      <c r="K489" s="11">
        <v>1.1200000000000001</v>
      </c>
      <c r="L489" s="11">
        <v>69.09</v>
      </c>
      <c r="M489" s="11">
        <f>100-Tabelle1[[#This Row],[Wasser '[g/100g']]]</f>
        <v>30.909999999999997</v>
      </c>
      <c r="N489" s="11">
        <v>4.5</v>
      </c>
      <c r="O489" s="11">
        <v>223.9</v>
      </c>
      <c r="P489" s="11">
        <v>25.3</v>
      </c>
      <c r="Q489" s="11">
        <v>60.2</v>
      </c>
      <c r="R489" s="11">
        <v>371.6</v>
      </c>
      <c r="S489" s="11"/>
      <c r="T489" s="11">
        <v>1.1000000000000001</v>
      </c>
      <c r="U489" s="11">
        <v>2.9992999999999999</v>
      </c>
      <c r="V489" s="11">
        <v>0</v>
      </c>
      <c r="W489" s="11">
        <v>96.9</v>
      </c>
      <c r="X489" s="11">
        <v>12.2</v>
      </c>
      <c r="Y489" s="11">
        <v>0</v>
      </c>
      <c r="Z489" s="11"/>
      <c r="AA489" s="11">
        <v>0</v>
      </c>
      <c r="AB489" s="11">
        <v>0.61699999999999999</v>
      </c>
      <c r="AC489" s="11">
        <v>8</v>
      </c>
      <c r="AD489" s="11">
        <v>0.56000000000000005</v>
      </c>
      <c r="AE489" s="11">
        <v>0.27</v>
      </c>
      <c r="AF489" s="11">
        <v>7.01</v>
      </c>
      <c r="AG489" s="11">
        <v>478</v>
      </c>
      <c r="AH489" s="11">
        <v>0.25</v>
      </c>
      <c r="AI489" s="11">
        <v>0</v>
      </c>
      <c r="AJ489" s="11">
        <v>2.69</v>
      </c>
      <c r="AK489" s="11">
        <v>0.6</v>
      </c>
      <c r="AL489" s="11">
        <v>0.95</v>
      </c>
      <c r="AM489" s="11">
        <v>0</v>
      </c>
      <c r="AN489" s="11">
        <v>1.8200000000000001E-2</v>
      </c>
      <c r="AO489" s="11">
        <v>0.01</v>
      </c>
      <c r="AP489" s="11">
        <v>0.01</v>
      </c>
      <c r="AQ489" s="11">
        <v>0.22500000000000001</v>
      </c>
      <c r="AR489" s="11">
        <v>0.19900000000000001</v>
      </c>
      <c r="AS489" s="11">
        <v>1.8956999999999999</v>
      </c>
      <c r="AT489" s="11">
        <v>0.31</v>
      </c>
      <c r="AU489" s="11">
        <v>1.15615</v>
      </c>
      <c r="AV489" s="11">
        <v>2.56989</v>
      </c>
      <c r="AW489" s="11">
        <v>0.85707</v>
      </c>
      <c r="AX489" s="9">
        <f>Tabelle1[[#This Row],[Vitamin D3 '[µg/100g']]]*40</f>
        <v>0</v>
      </c>
      <c r="AY489" s="9">
        <f>Tabelle1[[#This Row],[Vitamin A '[µg/100g']]]*3.33</f>
        <v>26.64</v>
      </c>
      <c r="AZ489" s="9">
        <f>Tabelle1[[#This Row],[Vitamin E '[mg/100g']]]*1.49</f>
        <v>0.91932999999999998</v>
      </c>
    </row>
    <row r="490" spans="1:52" hidden="1" x14ac:dyDescent="0.45">
      <c r="A490" t="s">
        <v>58</v>
      </c>
      <c r="B490" s="5" t="s">
        <v>219</v>
      </c>
      <c r="C490" s="6" t="s">
        <v>220</v>
      </c>
      <c r="D490" s="13">
        <v>109</v>
      </c>
      <c r="E490" s="13">
        <f>Tabelle1[[#This Row],[Energie '[kcal/100g']]]/239</f>
        <v>0.45606694560669458</v>
      </c>
      <c r="F490" s="13">
        <v>21.77</v>
      </c>
      <c r="G490" s="11">
        <f>Tabelle1[[#This Row],[Rohprotein '[g/100g']]]*0.85</f>
        <v>18.5045</v>
      </c>
      <c r="H490" s="13">
        <v>2.4300000000000002</v>
      </c>
      <c r="I490" s="11">
        <f>Tabelle1[[#This Row],[TS]]-Tabelle1[[#This Row],[Rohprotein '[g/100g']]]-Tabelle1[[#This Row],[Rohfett '[g/100g']]]-Tabelle1[[#This Row],[Rohasche '[g/100g']]]-Tabelle1[[#This Row],[Rohfaser '[g/100g']]]</f>
        <v>-0.79000000000000203</v>
      </c>
      <c r="J490" s="11">
        <v>0</v>
      </c>
      <c r="K490" s="13">
        <v>1.28</v>
      </c>
      <c r="L490" s="13">
        <v>75.31</v>
      </c>
      <c r="M490" s="13">
        <f>100-Tabelle1[[#This Row],[Wasser '[g/100g']]]</f>
        <v>24.689999999999998</v>
      </c>
      <c r="N490" s="13">
        <v>3.6</v>
      </c>
      <c r="O490" s="13">
        <v>194.9</v>
      </c>
      <c r="P490" s="13">
        <v>23.4</v>
      </c>
      <c r="Q490" s="13">
        <v>54.3</v>
      </c>
      <c r="R490" s="13">
        <v>392.8</v>
      </c>
      <c r="S490" s="13"/>
      <c r="T490" s="13">
        <v>0.81399999999999995</v>
      </c>
      <c r="U490" s="13">
        <v>2.2195</v>
      </c>
      <c r="V490" s="11">
        <v>0</v>
      </c>
      <c r="W490" s="13">
        <v>71.7</v>
      </c>
      <c r="X490" s="13">
        <v>9</v>
      </c>
      <c r="Y490" s="11">
        <v>0</v>
      </c>
      <c r="Z490" s="11"/>
      <c r="AA490" s="13">
        <v>0</v>
      </c>
      <c r="AB490" s="13">
        <v>0.53700000000000003</v>
      </c>
      <c r="AC490" s="13">
        <v>9.1</v>
      </c>
      <c r="AD490" s="13">
        <v>0.75</v>
      </c>
      <c r="AE490" s="13">
        <v>0.22</v>
      </c>
      <c r="AF490" s="13">
        <v>6.48</v>
      </c>
      <c r="AG490" s="13">
        <v>491</v>
      </c>
      <c r="AH490" s="13">
        <v>0</v>
      </c>
      <c r="AI490" s="13">
        <v>0</v>
      </c>
      <c r="AJ490" s="13">
        <v>2.34</v>
      </c>
      <c r="AK490" s="13">
        <v>1.7</v>
      </c>
      <c r="AL490" s="13">
        <v>0.78</v>
      </c>
      <c r="AM490" s="13">
        <v>0</v>
      </c>
      <c r="AN490" s="13">
        <v>1.6799999999999999E-2</v>
      </c>
      <c r="AO490" s="13">
        <v>8.9999999999999993E-3</v>
      </c>
      <c r="AP490" s="13">
        <v>6.4000000000000003E-3</v>
      </c>
      <c r="AQ490" s="13">
        <v>0.20799999999999999</v>
      </c>
      <c r="AR490" s="13">
        <v>0.184</v>
      </c>
      <c r="AS490" s="13">
        <v>1.47665</v>
      </c>
      <c r="AT490" s="13">
        <v>0.24149999999999999</v>
      </c>
      <c r="AU490" s="13">
        <v>0.90058000000000005</v>
      </c>
      <c r="AV490" s="13">
        <v>2.0018099999999999</v>
      </c>
      <c r="AW490" s="13">
        <v>0.66761000000000004</v>
      </c>
      <c r="AX490" s="9">
        <f>Tabelle1[[#This Row],[Vitamin D3 '[µg/100g']]]*40</f>
        <v>0</v>
      </c>
      <c r="AY490" s="9">
        <f>Tabelle1[[#This Row],[Vitamin A '[µg/100g']]]*3.33</f>
        <v>30.303000000000001</v>
      </c>
      <c r="AZ490" s="9">
        <f>Tabelle1[[#This Row],[Vitamin E '[mg/100g']]]*1.49</f>
        <v>0.80013000000000001</v>
      </c>
    </row>
    <row r="491" spans="1:52" hidden="1" x14ac:dyDescent="0.45">
      <c r="A491" t="s">
        <v>58</v>
      </c>
      <c r="B491" s="5" t="s">
        <v>221</v>
      </c>
      <c r="C491" s="6" t="s">
        <v>222</v>
      </c>
      <c r="D491" s="13">
        <v>143</v>
      </c>
      <c r="E491" s="13">
        <f>Tabelle1[[#This Row],[Energie '[kcal/100g']]]/239</f>
        <v>0.59832635983263593</v>
      </c>
      <c r="F491" s="13">
        <v>29.54</v>
      </c>
      <c r="G491" s="11">
        <f>Tabelle1[[#This Row],[Rohprotein '[g/100g']]]*0.85</f>
        <v>25.108999999999998</v>
      </c>
      <c r="H491" s="13">
        <v>2.71</v>
      </c>
      <c r="I491" s="11">
        <f>Tabelle1[[#This Row],[TS]]-Tabelle1[[#This Row],[Rohprotein '[g/100g']]]-Tabelle1[[#This Row],[Rohfett '[g/100g']]]-Tabelle1[[#This Row],[Rohasche '[g/100g']]]-Tabelle1[[#This Row],[Rohfaser '[g/100g']]]</f>
        <v>-1.0599999999999923</v>
      </c>
      <c r="J491" s="11">
        <v>0</v>
      </c>
      <c r="K491" s="13">
        <v>1.24</v>
      </c>
      <c r="L491" s="13">
        <v>67.569999999999993</v>
      </c>
      <c r="M491" s="13">
        <f>100-Tabelle1[[#This Row],[Wasser '[g/100g']]]</f>
        <v>32.430000000000007</v>
      </c>
      <c r="N491" s="13">
        <v>4.5</v>
      </c>
      <c r="O491" s="13">
        <v>235</v>
      </c>
      <c r="P491" s="13">
        <v>27.8</v>
      </c>
      <c r="Q491" s="13">
        <v>52.9</v>
      </c>
      <c r="R491" s="13">
        <v>379.5</v>
      </c>
      <c r="S491" s="13"/>
      <c r="T491" s="13">
        <v>0.77110000000000001</v>
      </c>
      <c r="U491" s="13">
        <v>2.0909</v>
      </c>
      <c r="V491" s="11">
        <v>0</v>
      </c>
      <c r="W491" s="13">
        <v>74.599999999999994</v>
      </c>
      <c r="X491" s="13">
        <v>10.3</v>
      </c>
      <c r="Y491" s="11">
        <v>0</v>
      </c>
      <c r="Z491" s="11"/>
      <c r="AA491" s="13">
        <v>0</v>
      </c>
      <c r="AB491" s="13">
        <v>0.50800000000000001</v>
      </c>
      <c r="AC491" s="13">
        <v>33</v>
      </c>
      <c r="AD491" s="13">
        <v>0.52</v>
      </c>
      <c r="AE491" s="13">
        <v>0.23</v>
      </c>
      <c r="AF491" s="13">
        <v>8.92</v>
      </c>
      <c r="AG491" s="13">
        <v>587</v>
      </c>
      <c r="AH491" s="13">
        <v>0.21</v>
      </c>
      <c r="AI491" s="13">
        <v>0</v>
      </c>
      <c r="AJ491" s="13">
        <v>3.3</v>
      </c>
      <c r="AK491" s="13">
        <v>10</v>
      </c>
      <c r="AL491" s="13">
        <v>0.75</v>
      </c>
      <c r="AM491" s="13">
        <v>0</v>
      </c>
      <c r="AN491" s="13">
        <v>1.7639999999999999E-2</v>
      </c>
      <c r="AO491" s="13">
        <v>0</v>
      </c>
      <c r="AP491" s="13">
        <v>8.0000000000000002E-3</v>
      </c>
      <c r="AQ491" s="13">
        <v>0.20599999999999999</v>
      </c>
      <c r="AR491" s="13">
        <v>0.18099999999999999</v>
      </c>
      <c r="AS491" s="13">
        <v>2.3368099999999998</v>
      </c>
      <c r="AT491" s="13">
        <v>0.35799999999999998</v>
      </c>
      <c r="AU491" s="13">
        <v>1.3491299999999999</v>
      </c>
      <c r="AV491" s="13">
        <v>2.4687899999999998</v>
      </c>
      <c r="AW491" s="13">
        <v>0.88848000000000005</v>
      </c>
      <c r="AX491" s="9">
        <f>Tabelle1[[#This Row],[Vitamin D3 '[µg/100g']]]*40</f>
        <v>0</v>
      </c>
      <c r="AY491" s="9">
        <f>Tabelle1[[#This Row],[Vitamin A '[µg/100g']]]*3.33</f>
        <v>109.89</v>
      </c>
      <c r="AZ491" s="9">
        <f>Tabelle1[[#This Row],[Vitamin E '[mg/100g']]]*1.49</f>
        <v>0.75692000000000004</v>
      </c>
    </row>
    <row r="492" spans="1:52" hidden="1" x14ac:dyDescent="0.45">
      <c r="A492" t="s">
        <v>58</v>
      </c>
      <c r="B492" s="5" t="s">
        <v>223</v>
      </c>
      <c r="C492" s="6" t="s">
        <v>224</v>
      </c>
      <c r="D492" s="13">
        <v>145</v>
      </c>
      <c r="E492" s="13">
        <f>Tabelle1[[#This Row],[Energie '[kcal/100g']]]/239</f>
        <v>0.60669456066945604</v>
      </c>
      <c r="F492" s="13">
        <v>30.01</v>
      </c>
      <c r="G492" s="11">
        <f>Tabelle1[[#This Row],[Rohprotein '[g/100g']]]*0.85</f>
        <v>25.508500000000002</v>
      </c>
      <c r="H492" s="13">
        <v>2.73</v>
      </c>
      <c r="I492" s="11">
        <f>Tabelle1[[#This Row],[TS]]-Tabelle1[[#This Row],[Rohprotein '[g/100g']]]-Tabelle1[[#This Row],[Rohfett '[g/100g']]]-Tabelle1[[#This Row],[Rohasche '[g/100g']]]-Tabelle1[[#This Row],[Rohfaser '[g/100g']]]</f>
        <v>-1.0600000000000049</v>
      </c>
      <c r="J492" s="11">
        <v>0</v>
      </c>
      <c r="K492" s="13">
        <v>1.23</v>
      </c>
      <c r="L492" s="13">
        <v>67.09</v>
      </c>
      <c r="M492" s="13">
        <f>100-Tabelle1[[#This Row],[Wasser '[g/100g']]]</f>
        <v>32.909999999999997</v>
      </c>
      <c r="N492" s="13">
        <v>4.2</v>
      </c>
      <c r="O492" s="13">
        <v>177.9</v>
      </c>
      <c r="P492" s="13">
        <v>22.3</v>
      </c>
      <c r="Q492" s="13">
        <v>31.1</v>
      </c>
      <c r="R492" s="13">
        <v>290.7</v>
      </c>
      <c r="S492" s="13"/>
      <c r="T492" s="13">
        <v>0.82699999999999996</v>
      </c>
      <c r="U492" s="13">
        <v>1.794</v>
      </c>
      <c r="V492" s="11">
        <v>0</v>
      </c>
      <c r="W492" s="13">
        <v>76</v>
      </c>
      <c r="X492" s="13">
        <v>11</v>
      </c>
      <c r="Y492" s="11">
        <v>0</v>
      </c>
      <c r="Z492" s="11"/>
      <c r="AA492" s="13">
        <v>0</v>
      </c>
      <c r="AB492" s="13">
        <v>0.48</v>
      </c>
      <c r="AC492" s="13">
        <v>23</v>
      </c>
      <c r="AD492" s="13">
        <v>0.3</v>
      </c>
      <c r="AE492" s="13">
        <v>0.19</v>
      </c>
      <c r="AF492" s="13">
        <v>5.98</v>
      </c>
      <c r="AG492" s="13">
        <v>393</v>
      </c>
      <c r="AH492" s="13">
        <v>0.17</v>
      </c>
      <c r="AI492" s="13">
        <v>0</v>
      </c>
      <c r="AJ492" s="13">
        <v>3.12</v>
      </c>
      <c r="AK492" s="13">
        <v>7</v>
      </c>
      <c r="AL492" s="13">
        <v>0.63</v>
      </c>
      <c r="AM492" s="13">
        <v>0</v>
      </c>
      <c r="AN492" s="13">
        <v>1.7729999999999999E-2</v>
      </c>
      <c r="AO492" s="13">
        <v>1.2200000000000001E-2</v>
      </c>
      <c r="AP492" s="13">
        <v>3.0000000000000001E-3</v>
      </c>
      <c r="AQ492" s="13">
        <v>0.20699999999999999</v>
      </c>
      <c r="AR492" s="13">
        <v>0.182</v>
      </c>
      <c r="AS492" s="13">
        <v>2.3742399999999999</v>
      </c>
      <c r="AT492" s="13">
        <v>0.36380000000000001</v>
      </c>
      <c r="AU492" s="13">
        <v>1.3707400000000001</v>
      </c>
      <c r="AV492" s="13">
        <v>2.50834</v>
      </c>
      <c r="AW492" s="13">
        <v>0.90271000000000001</v>
      </c>
      <c r="AX492" s="9">
        <f>Tabelle1[[#This Row],[Vitamin D3 '[µg/100g']]]*40</f>
        <v>0</v>
      </c>
      <c r="AY492" s="9">
        <f>Tabelle1[[#This Row],[Vitamin A '[µg/100g']]]*3.33</f>
        <v>76.59</v>
      </c>
      <c r="AZ492" s="9">
        <f>Tabelle1[[#This Row],[Vitamin E '[mg/100g']]]*1.49</f>
        <v>0.71519999999999995</v>
      </c>
    </row>
    <row r="493" spans="1:52" hidden="1" x14ac:dyDescent="0.45">
      <c r="A493" t="s">
        <v>58</v>
      </c>
      <c r="B493" s="3" t="s">
        <v>225</v>
      </c>
      <c r="C493" s="4" t="s">
        <v>226</v>
      </c>
      <c r="D493" s="11">
        <v>115</v>
      </c>
      <c r="E493" s="13">
        <f>Tabelle1[[#This Row],[Energie '[kcal/100g']]]/239</f>
        <v>0.48117154811715479</v>
      </c>
      <c r="F493" s="11">
        <v>23.01</v>
      </c>
      <c r="G493" s="11">
        <f>Tabelle1[[#This Row],[Rohprotein '[g/100g']]]*0.85</f>
        <v>19.558500000000002</v>
      </c>
      <c r="H493" s="11">
        <v>2.5099999999999998</v>
      </c>
      <c r="I493" s="11">
        <f>Tabelle1[[#This Row],[TS]]-Tabelle1[[#This Row],[Rohprotein '[g/100g']]]-Tabelle1[[#This Row],[Rohfett '[g/100g']]]-Tabelle1[[#This Row],[Rohasche '[g/100g']]]-Tabelle1[[#This Row],[Rohfaser '[g/100g']]]</f>
        <v>-1.0599999999999967</v>
      </c>
      <c r="J493" s="11">
        <v>0</v>
      </c>
      <c r="K493" s="11">
        <v>1.41</v>
      </c>
      <c r="L493" s="11">
        <v>74.13</v>
      </c>
      <c r="M493" s="11">
        <f>100-Tabelle1[[#This Row],[Wasser '[g/100g']]]</f>
        <v>25.870000000000005</v>
      </c>
      <c r="N493" s="11">
        <v>3.6</v>
      </c>
      <c r="O493" s="11">
        <v>204.6</v>
      </c>
      <c r="P493" s="11">
        <v>25.7</v>
      </c>
      <c r="Q493" s="11">
        <v>47.7</v>
      </c>
      <c r="R493" s="11">
        <v>401.2</v>
      </c>
      <c r="S493" s="11"/>
      <c r="T493" s="11">
        <v>0.5706</v>
      </c>
      <c r="U493" s="11">
        <v>1.5472999999999999</v>
      </c>
      <c r="V493" s="11">
        <v>0</v>
      </c>
      <c r="W493" s="11">
        <v>55.2</v>
      </c>
      <c r="X493" s="11">
        <v>7.6</v>
      </c>
      <c r="Y493" s="11">
        <v>0</v>
      </c>
      <c r="Z493" s="11"/>
      <c r="AA493" s="11">
        <v>0</v>
      </c>
      <c r="AB493" s="11">
        <v>0.442</v>
      </c>
      <c r="AC493" s="11">
        <v>8</v>
      </c>
      <c r="AD493" s="11">
        <v>0.7</v>
      </c>
      <c r="AE493" s="11">
        <v>0.19</v>
      </c>
      <c r="AF493" s="11">
        <v>8.25</v>
      </c>
      <c r="AG493" s="11">
        <v>603</v>
      </c>
      <c r="AH493" s="11">
        <v>0</v>
      </c>
      <c r="AI493" s="11">
        <v>0</v>
      </c>
      <c r="AJ493" s="11">
        <v>2.87</v>
      </c>
      <c r="AK493" s="11">
        <v>1.8</v>
      </c>
      <c r="AL493" s="11">
        <v>0.62</v>
      </c>
      <c r="AM493" s="11">
        <v>0</v>
      </c>
      <c r="AN493" s="11">
        <v>1.6310000000000002E-2</v>
      </c>
      <c r="AO493" s="11">
        <v>0</v>
      </c>
      <c r="AP493" s="11">
        <v>0</v>
      </c>
      <c r="AQ493" s="11">
        <v>0.19</v>
      </c>
      <c r="AR493" s="11">
        <v>0.16700000000000001</v>
      </c>
      <c r="AS493" s="11">
        <v>1.8202499999999999</v>
      </c>
      <c r="AT493" s="11">
        <v>0.27889999999999998</v>
      </c>
      <c r="AU493" s="11">
        <v>1.0508999999999999</v>
      </c>
      <c r="AV493" s="11">
        <v>1.92306</v>
      </c>
      <c r="AW493" s="11">
        <v>0.69208000000000003</v>
      </c>
      <c r="AX493" s="9">
        <f>Tabelle1[[#This Row],[Vitamin D3 '[µg/100g']]]*40</f>
        <v>0</v>
      </c>
      <c r="AY493" s="9">
        <f>Tabelle1[[#This Row],[Vitamin A '[µg/100g']]]*3.33</f>
        <v>26.64</v>
      </c>
      <c r="AZ493" s="9">
        <f>Tabelle1[[#This Row],[Vitamin E '[mg/100g']]]*1.49</f>
        <v>0.65858000000000005</v>
      </c>
    </row>
    <row r="494" spans="1:52" hidden="1" x14ac:dyDescent="0.45">
      <c r="A494" t="s">
        <v>58</v>
      </c>
      <c r="B494" s="5" t="s">
        <v>227</v>
      </c>
      <c r="C494" s="6" t="s">
        <v>228</v>
      </c>
      <c r="D494" s="13">
        <v>134</v>
      </c>
      <c r="E494" s="13">
        <f>Tabelle1[[#This Row],[Energie '[kcal/100g']]]/239</f>
        <v>0.56066945606694563</v>
      </c>
      <c r="F494" s="13">
        <v>27.58</v>
      </c>
      <c r="G494" s="11">
        <f>Tabelle1[[#This Row],[Rohprotein '[g/100g']]]*0.85</f>
        <v>23.442999999999998</v>
      </c>
      <c r="H494" s="13">
        <v>2.59</v>
      </c>
      <c r="I494" s="11">
        <f>Tabelle1[[#This Row],[TS]]-Tabelle1[[#This Row],[Rohprotein '[g/100g']]]-Tabelle1[[#This Row],[Rohfett '[g/100g']]]-Tabelle1[[#This Row],[Rohasche '[g/100g']]]-Tabelle1[[#This Row],[Rohfaser '[g/100g']]]</f>
        <v>-0.79000000000000337</v>
      </c>
      <c r="J494" s="11">
        <v>0</v>
      </c>
      <c r="K494" s="13">
        <v>1.1100000000000001</v>
      </c>
      <c r="L494" s="13">
        <v>69.510000000000005</v>
      </c>
      <c r="M494" s="13">
        <f>100-Tabelle1[[#This Row],[Wasser '[g/100g']]]</f>
        <v>30.489999999999995</v>
      </c>
      <c r="N494" s="13">
        <v>4.4000000000000004</v>
      </c>
      <c r="O494" s="13">
        <v>220.9</v>
      </c>
      <c r="P494" s="13">
        <v>25</v>
      </c>
      <c r="Q494" s="13">
        <v>59.4</v>
      </c>
      <c r="R494" s="13">
        <v>366.6</v>
      </c>
      <c r="S494" s="13"/>
      <c r="T494" s="13">
        <v>1.0852999999999999</v>
      </c>
      <c r="U494" s="13">
        <v>2.9592999999999998</v>
      </c>
      <c r="V494" s="11">
        <v>0</v>
      </c>
      <c r="W494" s="13">
        <v>95.6</v>
      </c>
      <c r="X494" s="13">
        <v>12</v>
      </c>
      <c r="Y494" s="11">
        <v>0</v>
      </c>
      <c r="Z494" s="11"/>
      <c r="AA494" s="13">
        <v>0</v>
      </c>
      <c r="AB494" s="13">
        <v>0.60899999999999999</v>
      </c>
      <c r="AC494" s="13">
        <v>14700</v>
      </c>
      <c r="AD494" s="13">
        <v>0.55000000000000004</v>
      </c>
      <c r="AE494" s="13">
        <v>0.26</v>
      </c>
      <c r="AF494" s="13">
        <v>6.91</v>
      </c>
      <c r="AG494" s="13">
        <v>471</v>
      </c>
      <c r="AH494" s="13">
        <v>0.25</v>
      </c>
      <c r="AI494" s="13">
        <v>0</v>
      </c>
      <c r="AJ494" s="13">
        <v>2.65</v>
      </c>
      <c r="AK494" s="13">
        <v>197</v>
      </c>
      <c r="AL494" s="13">
        <v>0.94</v>
      </c>
      <c r="AM494" s="13">
        <v>0</v>
      </c>
      <c r="AN494" s="13">
        <v>0.01</v>
      </c>
      <c r="AO494" s="13">
        <v>1.7999999999999999E-2</v>
      </c>
      <c r="AP494" s="13">
        <v>1E-3</v>
      </c>
      <c r="AQ494" s="13">
        <v>0.21</v>
      </c>
      <c r="AR494" s="13">
        <v>0.19</v>
      </c>
      <c r="AS494" s="13">
        <v>1.87</v>
      </c>
      <c r="AT494" s="13">
        <v>0.3</v>
      </c>
      <c r="AU494" s="13">
        <v>1.1399999999999999</v>
      </c>
      <c r="AV494" s="13">
        <v>2.5299999999999998</v>
      </c>
      <c r="AW494" s="13">
        <v>0.85</v>
      </c>
      <c r="AX494" s="9">
        <f>Tabelle1[[#This Row],[Vitamin D3 '[µg/100g']]]*40</f>
        <v>0</v>
      </c>
      <c r="AY494" s="9">
        <f>Tabelle1[[#This Row],[Vitamin A '[µg/100g']]]*3.33</f>
        <v>48951</v>
      </c>
      <c r="AZ494" s="9">
        <f>Tabelle1[[#This Row],[Vitamin E '[mg/100g']]]*1.49</f>
        <v>0.90740999999999994</v>
      </c>
    </row>
    <row r="495" spans="1:52" hidden="1" x14ac:dyDescent="0.45">
      <c r="A495" t="s">
        <v>58</v>
      </c>
      <c r="B495" s="3" t="s">
        <v>229</v>
      </c>
      <c r="C495" s="4" t="s">
        <v>230</v>
      </c>
      <c r="D495" s="11">
        <v>154</v>
      </c>
      <c r="E495" s="13">
        <f>Tabelle1[[#This Row],[Energie '[kcal/100g']]]/239</f>
        <v>0.64435146443514646</v>
      </c>
      <c r="F495" s="11">
        <v>31.82</v>
      </c>
      <c r="G495" s="11">
        <f>Tabelle1[[#This Row],[Rohprotein '[g/100g']]]*0.85</f>
        <v>27.047000000000001</v>
      </c>
      <c r="H495" s="11">
        <v>2.99</v>
      </c>
      <c r="I495" s="11">
        <f>Tabelle1[[#This Row],[TS]]-Tabelle1[[#This Row],[Rohprotein '[g/100g']]]-Tabelle1[[#This Row],[Rohfett '[g/100g']]]-Tabelle1[[#This Row],[Rohasche '[g/100g']]]-Tabelle1[[#This Row],[Rohfaser '[g/100g']]]</f>
        <v>-0.79000000000000337</v>
      </c>
      <c r="J495" s="11">
        <v>0</v>
      </c>
      <c r="K495" s="11">
        <v>1.28</v>
      </c>
      <c r="L495" s="11">
        <v>64.7</v>
      </c>
      <c r="M495" s="11">
        <f>100-Tabelle1[[#This Row],[Wasser '[g/100g']]]</f>
        <v>35.299999999999997</v>
      </c>
      <c r="N495" s="11">
        <v>5</v>
      </c>
      <c r="O495" s="11">
        <v>254.9</v>
      </c>
      <c r="P495" s="11">
        <v>30.6</v>
      </c>
      <c r="Q495" s="11">
        <v>71</v>
      </c>
      <c r="R495" s="11">
        <v>362.6</v>
      </c>
      <c r="S495" s="11"/>
      <c r="T495" s="11">
        <v>1.2523</v>
      </c>
      <c r="U495" s="11">
        <v>3.4146000000000001</v>
      </c>
      <c r="V495" s="11">
        <v>0</v>
      </c>
      <c r="W495" s="11">
        <v>110.3</v>
      </c>
      <c r="X495" s="11">
        <v>13.8</v>
      </c>
      <c r="Y495" s="11">
        <v>0</v>
      </c>
      <c r="Z495" s="11"/>
      <c r="AA495" s="11">
        <v>0</v>
      </c>
      <c r="AB495" s="11">
        <v>0.70199999999999996</v>
      </c>
      <c r="AC495" s="11">
        <v>10</v>
      </c>
      <c r="AD495" s="11">
        <v>0.57999999999999996</v>
      </c>
      <c r="AE495" s="11">
        <v>0.28999999999999998</v>
      </c>
      <c r="AF495" s="11">
        <v>7.48</v>
      </c>
      <c r="AG495" s="11">
        <v>453</v>
      </c>
      <c r="AH495" s="11">
        <v>0.28000000000000003</v>
      </c>
      <c r="AI495" s="11">
        <v>0</v>
      </c>
      <c r="AJ495" s="11">
        <v>3.06</v>
      </c>
      <c r="AK495" s="11">
        <v>3</v>
      </c>
      <c r="AL495" s="11">
        <v>1.08</v>
      </c>
      <c r="AM495" s="11">
        <v>0</v>
      </c>
      <c r="AN495" s="11">
        <v>0.01</v>
      </c>
      <c r="AO495" s="11">
        <v>7.4999999999999997E-3</v>
      </c>
      <c r="AP495" s="11">
        <v>3.5000000000000001E-3</v>
      </c>
      <c r="AQ495" s="11">
        <v>0.24</v>
      </c>
      <c r="AR495" s="11">
        <v>0.22</v>
      </c>
      <c r="AS495" s="11">
        <v>2.16</v>
      </c>
      <c r="AT495" s="11">
        <v>0.35</v>
      </c>
      <c r="AU495" s="11">
        <v>1.32</v>
      </c>
      <c r="AV495" s="11">
        <v>2.92</v>
      </c>
      <c r="AW495" s="11">
        <v>0.98</v>
      </c>
      <c r="AX495" s="9">
        <f>Tabelle1[[#This Row],[Vitamin D3 '[µg/100g']]]*40</f>
        <v>0</v>
      </c>
      <c r="AY495" s="9">
        <f>Tabelle1[[#This Row],[Vitamin A '[µg/100g']]]*3.33</f>
        <v>33.299999999999997</v>
      </c>
      <c r="AZ495" s="9">
        <f>Tabelle1[[#This Row],[Vitamin E '[mg/100g']]]*1.49</f>
        <v>1.0459799999999999</v>
      </c>
    </row>
    <row r="496" spans="1:52" hidden="1" x14ac:dyDescent="0.45">
      <c r="A496" t="s">
        <v>58</v>
      </c>
      <c r="B496" s="3" t="s">
        <v>231</v>
      </c>
      <c r="C496" s="4" t="s">
        <v>232</v>
      </c>
      <c r="D496" s="11">
        <v>109</v>
      </c>
      <c r="E496" s="13">
        <f>Tabelle1[[#This Row],[Energie '[kcal/100g']]]/239</f>
        <v>0.45606694560669458</v>
      </c>
      <c r="F496" s="11">
        <v>21.77</v>
      </c>
      <c r="G496" s="11">
        <f>Tabelle1[[#This Row],[Rohprotein '[g/100g']]]*0.85</f>
        <v>18.5045</v>
      </c>
      <c r="H496" s="11">
        <v>2.4300000000000002</v>
      </c>
      <c r="I496" s="11">
        <f>Tabelle1[[#This Row],[TS]]-Tabelle1[[#This Row],[Rohprotein '[g/100g']]]-Tabelle1[[#This Row],[Rohfett '[g/100g']]]-Tabelle1[[#This Row],[Rohasche '[g/100g']]]-Tabelle1[[#This Row],[Rohfaser '[g/100g']]]</f>
        <v>-0.79000000000000203</v>
      </c>
      <c r="J496" s="11">
        <v>0</v>
      </c>
      <c r="K496" s="11">
        <v>1.28</v>
      </c>
      <c r="L496" s="11">
        <v>75.31</v>
      </c>
      <c r="M496" s="11">
        <f>100-Tabelle1[[#This Row],[Wasser '[g/100g']]]</f>
        <v>24.689999999999998</v>
      </c>
      <c r="N496" s="11">
        <v>3.6</v>
      </c>
      <c r="O496" s="11">
        <v>194.9</v>
      </c>
      <c r="P496" s="11">
        <v>23.4</v>
      </c>
      <c r="Q496" s="11">
        <v>54.3</v>
      </c>
      <c r="R496" s="11">
        <v>392.8</v>
      </c>
      <c r="S496" s="11"/>
      <c r="T496" s="11">
        <v>0.81399999999999995</v>
      </c>
      <c r="U496" s="11">
        <v>2.2195</v>
      </c>
      <c r="V496" s="11">
        <v>0</v>
      </c>
      <c r="W496" s="11">
        <v>71.7</v>
      </c>
      <c r="X496" s="11">
        <v>9</v>
      </c>
      <c r="Y496" s="11">
        <v>0</v>
      </c>
      <c r="Z496" s="11"/>
      <c r="AA496" s="11">
        <v>0</v>
      </c>
      <c r="AB496" s="11">
        <v>0.53700000000000003</v>
      </c>
      <c r="AC496" s="11">
        <v>11.4</v>
      </c>
      <c r="AD496" s="11">
        <v>0.75</v>
      </c>
      <c r="AE496" s="11">
        <v>0.22</v>
      </c>
      <c r="AF496" s="11">
        <v>6.48</v>
      </c>
      <c r="AG496" s="11">
        <v>491</v>
      </c>
      <c r="AH496" s="11">
        <v>0.23</v>
      </c>
      <c r="AI496" s="11">
        <v>0</v>
      </c>
      <c r="AJ496" s="11">
        <v>2.34</v>
      </c>
      <c r="AK496" s="11">
        <v>2.7</v>
      </c>
      <c r="AL496" s="11">
        <v>0.78</v>
      </c>
      <c r="AM496" s="11">
        <v>0</v>
      </c>
      <c r="AN496" s="11">
        <v>0.01</v>
      </c>
      <c r="AO496" s="11">
        <v>8.0999999999999996E-3</v>
      </c>
      <c r="AP496" s="11">
        <v>2.5000000000000001E-3</v>
      </c>
      <c r="AQ496" s="11">
        <v>0.2</v>
      </c>
      <c r="AR496" s="11">
        <v>0.18</v>
      </c>
      <c r="AS496" s="11">
        <v>1.48</v>
      </c>
      <c r="AT496" s="11">
        <v>0.24</v>
      </c>
      <c r="AU496" s="11">
        <v>0.9</v>
      </c>
      <c r="AV496" s="11">
        <v>2</v>
      </c>
      <c r="AW496" s="11">
        <v>0.67</v>
      </c>
      <c r="AX496" s="9">
        <f>Tabelle1[[#This Row],[Vitamin D3 '[µg/100g']]]*40</f>
        <v>0</v>
      </c>
      <c r="AY496" s="9">
        <f>Tabelle1[[#This Row],[Vitamin A '[µg/100g']]]*3.33</f>
        <v>37.962000000000003</v>
      </c>
      <c r="AZ496" s="9">
        <f>Tabelle1[[#This Row],[Vitamin E '[mg/100g']]]*1.49</f>
        <v>0.80013000000000001</v>
      </c>
    </row>
    <row r="497" spans="1:52" hidden="1" x14ac:dyDescent="0.45">
      <c r="A497" t="s">
        <v>58</v>
      </c>
      <c r="B497" s="5" t="s">
        <v>233</v>
      </c>
      <c r="C497" s="6" t="s">
        <v>234</v>
      </c>
      <c r="D497" s="13">
        <v>131</v>
      </c>
      <c r="E497" s="13">
        <f>Tabelle1[[#This Row],[Energie '[kcal/100g']]]/239</f>
        <v>0.54811715481171552</v>
      </c>
      <c r="F497" s="13">
        <v>28.12</v>
      </c>
      <c r="G497" s="11">
        <f>Tabelle1[[#This Row],[Rohprotein '[g/100g']]]*0.85</f>
        <v>23.902000000000001</v>
      </c>
      <c r="H497" s="13">
        <v>2.0270000000000001</v>
      </c>
      <c r="I497" s="11">
        <f>Tabelle1[[#This Row],[TS]]-Tabelle1[[#This Row],[Rohprotein '[g/100g']]]-Tabelle1[[#This Row],[Rohfett '[g/100g']]]-Tabelle1[[#This Row],[Rohasche '[g/100g']]]-Tabelle1[[#This Row],[Rohfaser '[g/100g']]]</f>
        <v>-5.0000000000000711E-2</v>
      </c>
      <c r="J497" s="11">
        <v>0</v>
      </c>
      <c r="K497" s="13">
        <v>1.04</v>
      </c>
      <c r="L497" s="13">
        <v>68.863</v>
      </c>
      <c r="M497" s="13">
        <f>100-Tabelle1[[#This Row],[Wasser '[g/100g']]]</f>
        <v>31.137</v>
      </c>
      <c r="N497" s="13">
        <v>11</v>
      </c>
      <c r="O497" s="13">
        <v>195</v>
      </c>
      <c r="P497" s="13">
        <v>22</v>
      </c>
      <c r="Q497" s="13">
        <v>79</v>
      </c>
      <c r="R497" s="13">
        <v>273</v>
      </c>
      <c r="S497" s="13"/>
      <c r="T497" s="13">
        <v>2.2669999999999999</v>
      </c>
      <c r="U497" s="13">
        <v>3.4670000000000001</v>
      </c>
      <c r="V497" s="11">
        <v>0</v>
      </c>
      <c r="W497" s="13">
        <v>90</v>
      </c>
      <c r="X497" s="13">
        <v>53</v>
      </c>
      <c r="Y497" s="11">
        <v>0</v>
      </c>
      <c r="Z497" s="11"/>
      <c r="AA497" s="13">
        <v>0</v>
      </c>
      <c r="AB497" s="13">
        <v>0.501</v>
      </c>
      <c r="AC497" s="13">
        <v>14611</v>
      </c>
      <c r="AD497" s="13">
        <v>0.58699999999999997</v>
      </c>
      <c r="AE497" s="13">
        <v>0.22800000000000001</v>
      </c>
      <c r="AF497" s="13">
        <v>4.5869999999999997</v>
      </c>
      <c r="AG497" s="13">
        <v>374</v>
      </c>
      <c r="AH497" s="13">
        <v>1.1000000000000001</v>
      </c>
      <c r="AI497" s="13">
        <v>0</v>
      </c>
      <c r="AJ497" s="13">
        <v>3.25</v>
      </c>
      <c r="AK497" s="13">
        <v>185.3</v>
      </c>
      <c r="AL497" s="13">
        <v>6</v>
      </c>
      <c r="AM497" s="13">
        <v>0</v>
      </c>
      <c r="AN497" s="13">
        <v>0.03</v>
      </c>
      <c r="AO497" s="13">
        <v>0.02</v>
      </c>
      <c r="AP497" s="13">
        <v>1E-3</v>
      </c>
      <c r="AQ497" s="13">
        <v>0.11700000000000001</v>
      </c>
      <c r="AR497" s="13">
        <v>0.11700000000000001</v>
      </c>
      <c r="AS497" s="13">
        <v>1.9510000000000001</v>
      </c>
      <c r="AT497" s="13">
        <v>0.38</v>
      </c>
      <c r="AU497" s="13">
        <v>1.2669999999999999</v>
      </c>
      <c r="AV497" s="13">
        <v>2.8119999999999998</v>
      </c>
      <c r="AW497" s="13">
        <v>0.92500000000000004</v>
      </c>
      <c r="AX497" s="9">
        <f>Tabelle1[[#This Row],[Vitamin D3 '[µg/100g']]]*40</f>
        <v>0</v>
      </c>
      <c r="AY497" s="9">
        <f>Tabelle1[[#This Row],[Vitamin A '[µg/100g']]]*3.33</f>
        <v>48654.630000000005</v>
      </c>
      <c r="AZ497" s="9">
        <f>Tabelle1[[#This Row],[Vitamin E '[mg/100g']]]*1.49</f>
        <v>0.74648999999999999</v>
      </c>
    </row>
    <row r="498" spans="1:52" hidden="1" x14ac:dyDescent="0.45">
      <c r="A498" t="s">
        <v>58</v>
      </c>
      <c r="B498" s="3" t="s">
        <v>235</v>
      </c>
      <c r="C498" s="4" t="s">
        <v>236</v>
      </c>
      <c r="D498" s="11">
        <v>144</v>
      </c>
      <c r="E498" s="13">
        <f>Tabelle1[[#This Row],[Energie '[kcal/100g']]]/239</f>
        <v>0.60251046025104604</v>
      </c>
      <c r="F498" s="11">
        <v>31.015000000000001</v>
      </c>
      <c r="G498" s="11">
        <f>Tabelle1[[#This Row],[Rohprotein '[g/100g']]]*0.85</f>
        <v>26.362749999999998</v>
      </c>
      <c r="H498" s="11">
        <v>2.2349999999999999</v>
      </c>
      <c r="I498" s="11">
        <f>Tabelle1[[#This Row],[TS]]-Tabelle1[[#This Row],[Rohprotein '[g/100g']]]-Tabelle1[[#This Row],[Rohfett '[g/100g']]]-Tabelle1[[#This Row],[Rohasche '[g/100g']]]-Tabelle1[[#This Row],[Rohfaser '[g/100g']]]</f>
        <v>-5.0000000000006262E-2</v>
      </c>
      <c r="J498" s="11">
        <v>0</v>
      </c>
      <c r="K498" s="11">
        <v>1.147</v>
      </c>
      <c r="L498" s="11">
        <v>65.653000000000006</v>
      </c>
      <c r="M498" s="11">
        <f>100-Tabelle1[[#This Row],[Wasser '[g/100g']]]</f>
        <v>34.346999999999994</v>
      </c>
      <c r="N498" s="11">
        <v>12</v>
      </c>
      <c r="O498" s="11">
        <v>215</v>
      </c>
      <c r="P498" s="11">
        <v>26</v>
      </c>
      <c r="Q498" s="11">
        <v>90</v>
      </c>
      <c r="R498" s="11">
        <v>258</v>
      </c>
      <c r="S498" s="11"/>
      <c r="T498" s="11">
        <v>2.5</v>
      </c>
      <c r="U498" s="11">
        <v>3.8239999999999998</v>
      </c>
      <c r="V498" s="11">
        <v>0</v>
      </c>
      <c r="W498" s="11">
        <v>100</v>
      </c>
      <c r="X498" s="11">
        <v>59</v>
      </c>
      <c r="Y498" s="11">
        <v>0</v>
      </c>
      <c r="Z498" s="11"/>
      <c r="AA498" s="11">
        <v>0</v>
      </c>
      <c r="AB498" s="11">
        <v>0.55200000000000005</v>
      </c>
      <c r="AC498" s="11">
        <v>8.5</v>
      </c>
      <c r="AD498" s="11">
        <v>0.58799999999999997</v>
      </c>
      <c r="AE498" s="11">
        <v>0.23799999999999999</v>
      </c>
      <c r="AF498" s="11">
        <v>4.7430000000000003</v>
      </c>
      <c r="AG498" s="11">
        <v>344</v>
      </c>
      <c r="AH498" s="11">
        <v>1.2</v>
      </c>
      <c r="AI498" s="11">
        <v>0</v>
      </c>
      <c r="AJ498" s="11">
        <v>3.59</v>
      </c>
      <c r="AK498" s="11">
        <v>1.8</v>
      </c>
      <c r="AL498" s="11">
        <v>7</v>
      </c>
      <c r="AM498" s="11">
        <v>0</v>
      </c>
      <c r="AN498" s="11">
        <v>3.3000000000000002E-2</v>
      </c>
      <c r="AO498" s="11">
        <v>0</v>
      </c>
      <c r="AP498" s="11">
        <v>0</v>
      </c>
      <c r="AQ498" s="11">
        <v>0.129</v>
      </c>
      <c r="AR498" s="11">
        <v>0.129</v>
      </c>
      <c r="AS498" s="11">
        <v>2.1509999999999998</v>
      </c>
      <c r="AT498" s="11">
        <v>0.41899999999999998</v>
      </c>
      <c r="AU498" s="11">
        <v>1.397</v>
      </c>
      <c r="AV498" s="11">
        <v>3.101</v>
      </c>
      <c r="AW498" s="11">
        <v>1.02</v>
      </c>
      <c r="AX498" s="9">
        <f>Tabelle1[[#This Row],[Vitamin D3 '[µg/100g']]]*40</f>
        <v>0</v>
      </c>
      <c r="AY498" s="9">
        <f>Tabelle1[[#This Row],[Vitamin A '[µg/100g']]]*3.33</f>
        <v>28.305</v>
      </c>
      <c r="AZ498" s="9">
        <f>Tabelle1[[#This Row],[Vitamin E '[mg/100g']]]*1.49</f>
        <v>0.8224800000000001</v>
      </c>
    </row>
    <row r="499" spans="1:52" hidden="1" x14ac:dyDescent="0.45">
      <c r="A499" t="s">
        <v>58</v>
      </c>
      <c r="B499" s="3" t="s">
        <v>237</v>
      </c>
      <c r="C499" s="4" t="s">
        <v>238</v>
      </c>
      <c r="D499" s="11">
        <v>106</v>
      </c>
      <c r="E499" s="13">
        <f>Tabelle1[[#This Row],[Energie '[kcal/100g']]]/239</f>
        <v>0.44351464435146443</v>
      </c>
      <c r="F499" s="11">
        <v>22.2</v>
      </c>
      <c r="G499" s="11">
        <f>Tabelle1[[#This Row],[Rohprotein '[g/100g']]]*0.85</f>
        <v>18.869999999999997</v>
      </c>
      <c r="H499" s="11">
        <v>1.9</v>
      </c>
      <c r="I499" s="11">
        <f>Tabelle1[[#This Row],[TS]]-Tabelle1[[#This Row],[Rohprotein '[g/100g']]]-Tabelle1[[#This Row],[Rohfett '[g/100g']]]-Tabelle1[[#This Row],[Rohasche '[g/100g']]]-Tabelle1[[#This Row],[Rohfaser '[g/100g']]]</f>
        <v>-4.9999999999999156E-2</v>
      </c>
      <c r="J499" s="11">
        <v>0</v>
      </c>
      <c r="K499" s="11">
        <v>1.2</v>
      </c>
      <c r="L499" s="11">
        <v>74.75</v>
      </c>
      <c r="M499" s="11">
        <f>100-Tabelle1[[#This Row],[Wasser '[g/100g']]]</f>
        <v>25.25</v>
      </c>
      <c r="N499" s="11">
        <v>9</v>
      </c>
      <c r="O499" s="11">
        <v>172</v>
      </c>
      <c r="P499" s="11">
        <v>21</v>
      </c>
      <c r="Q499" s="11">
        <v>72</v>
      </c>
      <c r="R499" s="11">
        <v>292</v>
      </c>
      <c r="S499" s="11"/>
      <c r="T499" s="11">
        <v>1.7</v>
      </c>
      <c r="U499" s="11">
        <v>2.6</v>
      </c>
      <c r="V499" s="11">
        <v>0</v>
      </c>
      <c r="W499" s="11">
        <v>70</v>
      </c>
      <c r="X499" s="11">
        <v>40</v>
      </c>
      <c r="Y499" s="11">
        <v>0</v>
      </c>
      <c r="Z499" s="11"/>
      <c r="AA499" s="11">
        <v>0</v>
      </c>
      <c r="AB499" s="11">
        <v>0.442</v>
      </c>
      <c r="AC499" s="11">
        <v>9.6</v>
      </c>
      <c r="AD499" s="11">
        <v>0.8</v>
      </c>
      <c r="AE499" s="11">
        <v>0.19</v>
      </c>
      <c r="AF499" s="11">
        <v>4.3</v>
      </c>
      <c r="AG499" s="11">
        <v>390</v>
      </c>
      <c r="AH499" s="11">
        <v>1</v>
      </c>
      <c r="AI499" s="11">
        <v>0</v>
      </c>
      <c r="AJ499" s="11">
        <v>2.87</v>
      </c>
      <c r="AK499" s="11">
        <v>3</v>
      </c>
      <c r="AL499" s="11">
        <v>5</v>
      </c>
      <c r="AM499" s="11">
        <v>0</v>
      </c>
      <c r="AN499" s="11">
        <v>2.8000000000000001E-2</v>
      </c>
      <c r="AO499" s="11">
        <v>6.3E-3</v>
      </c>
      <c r="AP499" s="11">
        <v>2.8999999999999998E-3</v>
      </c>
      <c r="AQ499" s="11">
        <v>0.11</v>
      </c>
      <c r="AR499" s="11">
        <v>0.11</v>
      </c>
      <c r="AS499" s="11">
        <v>1.54</v>
      </c>
      <c r="AT499" s="11">
        <v>0.3</v>
      </c>
      <c r="AU499" s="11">
        <v>1</v>
      </c>
      <c r="AV499" s="11">
        <v>2.2200000000000002</v>
      </c>
      <c r="AW499" s="11">
        <v>0.73</v>
      </c>
      <c r="AX499" s="9">
        <f>Tabelle1[[#This Row],[Vitamin D3 '[µg/100g']]]*40</f>
        <v>0</v>
      </c>
      <c r="AY499" s="9">
        <f>Tabelle1[[#This Row],[Vitamin A '[µg/100g']]]*3.33</f>
        <v>31.968</v>
      </c>
      <c r="AZ499" s="9">
        <f>Tabelle1[[#This Row],[Vitamin E '[mg/100g']]]*1.49</f>
        <v>0.65858000000000005</v>
      </c>
    </row>
    <row r="500" spans="1:52" hidden="1" x14ac:dyDescent="0.45">
      <c r="A500" t="s">
        <v>641</v>
      </c>
      <c r="B500" s="3" t="s">
        <v>621</v>
      </c>
      <c r="C500" s="4" t="s">
        <v>622</v>
      </c>
      <c r="D500" s="11">
        <v>64</v>
      </c>
      <c r="E500" s="11">
        <f>Tabelle1[[#This Row],[Energie '[kcal/100g']]]/239</f>
        <v>0.26778242677824265</v>
      </c>
      <c r="F500" s="11">
        <v>10.35</v>
      </c>
      <c r="G500" s="11">
        <f>Tabelle1[[#This Row],[Rohprotein '[g/100g']]]*0.85</f>
        <v>8.7974999999999994</v>
      </c>
      <c r="H500" s="11">
        <v>0.84</v>
      </c>
      <c r="I500" s="11">
        <f>Tabelle1[[#This Row],[TS]]-Tabelle1[[#This Row],[Rohprotein '[g/100g']]]-Tabelle1[[#This Row],[Rohfett '[g/100g']]]-Tabelle1[[#This Row],[Rohasche '[g/100g']]]-Tabelle1[[#This Row],[Rohfaser '[g/100g']]]</f>
        <v>4.1000000000000059</v>
      </c>
      <c r="J500" s="11">
        <v>0</v>
      </c>
      <c r="K500" s="11">
        <v>0.86</v>
      </c>
      <c r="L500" s="11">
        <v>83.85</v>
      </c>
      <c r="M500" s="11">
        <f>100-Tabelle1[[#This Row],[Wasser '[g/100g']]]</f>
        <v>16.150000000000006</v>
      </c>
      <c r="N500" s="11">
        <v>127.5</v>
      </c>
      <c r="O500" s="11">
        <v>152.5</v>
      </c>
      <c r="P500" s="11">
        <v>11.3</v>
      </c>
      <c r="Q500" s="11">
        <v>33.299999999999997</v>
      </c>
      <c r="R500" s="11">
        <v>141.5</v>
      </c>
      <c r="S500" s="11"/>
      <c r="T500" s="11">
        <v>4.1000000000000002E-2</v>
      </c>
      <c r="U500" s="11">
        <v>0.46</v>
      </c>
      <c r="V500" s="11">
        <v>0</v>
      </c>
      <c r="W500" s="11">
        <v>13</v>
      </c>
      <c r="X500" s="11">
        <v>3.3</v>
      </c>
      <c r="Y500" s="11">
        <v>20.350000000000001</v>
      </c>
      <c r="Z500" s="11"/>
      <c r="AA500" s="11">
        <v>0</v>
      </c>
      <c r="AB500" s="11">
        <v>2.4E-2</v>
      </c>
      <c r="AC500" s="11">
        <v>1.5</v>
      </c>
      <c r="AD500" s="11">
        <v>0.04</v>
      </c>
      <c r="AE500" s="11">
        <v>0.27</v>
      </c>
      <c r="AF500" s="11">
        <v>0</v>
      </c>
      <c r="AG500" s="11">
        <v>54</v>
      </c>
      <c r="AH500" s="11">
        <v>0</v>
      </c>
      <c r="AI500" s="11">
        <v>0</v>
      </c>
      <c r="AJ500" s="11">
        <v>1.55</v>
      </c>
      <c r="AK500" s="11">
        <v>12.5</v>
      </c>
      <c r="AL500" s="11">
        <v>2.4500000000000002</v>
      </c>
      <c r="AM500" s="11">
        <v>3.14</v>
      </c>
      <c r="AN500" s="11">
        <v>0</v>
      </c>
      <c r="AO500" s="11">
        <v>0</v>
      </c>
      <c r="AP500" s="11">
        <v>0</v>
      </c>
      <c r="AQ500" s="11">
        <v>5.7000000000000002E-2</v>
      </c>
      <c r="AR500" s="11">
        <v>5.7000000000000002E-2</v>
      </c>
      <c r="AS500" s="11">
        <v>0.40699999999999997</v>
      </c>
      <c r="AT500" s="11">
        <v>8.2000000000000003E-2</v>
      </c>
      <c r="AU500" s="11">
        <v>0.32400000000000001</v>
      </c>
      <c r="AV500" s="11">
        <v>0.98199999999999998</v>
      </c>
      <c r="AW500" s="11">
        <v>0.29599999999999999</v>
      </c>
      <c r="AX500" s="9">
        <f>Tabelle1[[#This Row],[Vitamin D3 '[µg/100g']]]*40</f>
        <v>0</v>
      </c>
      <c r="AY500" s="9">
        <f>Tabelle1[[#This Row],[Vitamin A '[µg/100g']]]*3.33</f>
        <v>4.9950000000000001</v>
      </c>
      <c r="AZ500" s="9">
        <f>Tabelle1[[#This Row],[Vitamin E '[mg/100g']]]*1.49</f>
        <v>3.576E-2</v>
      </c>
    </row>
    <row r="501" spans="1:52" hidden="1" x14ac:dyDescent="0.45">
      <c r="A501" t="s">
        <v>934</v>
      </c>
      <c r="B501" s="5" t="s">
        <v>919</v>
      </c>
      <c r="C501" s="6" t="s">
        <v>1161</v>
      </c>
      <c r="D501" s="13">
        <v>564</v>
      </c>
      <c r="E501" s="11">
        <f>Tabelle1[[#This Row],[Energie '[kcal/100g']]]/239</f>
        <v>2.3598326359832638</v>
      </c>
      <c r="F501" s="13">
        <v>26.11</v>
      </c>
      <c r="G501" s="11">
        <f>Tabelle1[[#This Row],[Rohprotein '[g/100g']]]*0.85</f>
        <v>22.1935</v>
      </c>
      <c r="H501" s="13">
        <v>47.6</v>
      </c>
      <c r="I501" s="11">
        <f>Tabelle1[[#This Row],[TS]]-Tabelle1[[#This Row],[Rohprotein '[g/100g']]]-Tabelle1[[#This Row],[Rohfett '[g/100g']]]-Tabelle1[[#This Row],[Rohasche '[g/100g']]]-Tabelle1[[#This Row],[Rohfaser '[g/100g']]]</f>
        <v>19.240000000000002</v>
      </c>
      <c r="J501" s="11">
        <v>0</v>
      </c>
      <c r="K501" s="13">
        <v>3.28</v>
      </c>
      <c r="L501" s="13">
        <v>3.77</v>
      </c>
      <c r="M501" s="13">
        <f>100-Tabelle1[[#This Row],[Wasser '[g/100g']]]</f>
        <v>96.23</v>
      </c>
      <c r="N501" s="13">
        <v>85.7</v>
      </c>
      <c r="O501" s="13">
        <v>688</v>
      </c>
      <c r="P501" s="13">
        <v>336</v>
      </c>
      <c r="Q501" s="13">
        <v>0</v>
      </c>
      <c r="R501" s="13">
        <v>784</v>
      </c>
      <c r="S501" s="13"/>
      <c r="T501" s="13">
        <v>5.72</v>
      </c>
      <c r="U501" s="13">
        <v>5.76</v>
      </c>
      <c r="V501" s="11">
        <v>0</v>
      </c>
      <c r="W501" s="13">
        <v>1890</v>
      </c>
      <c r="X501" s="13">
        <v>2380</v>
      </c>
      <c r="Y501" s="13">
        <v>4</v>
      </c>
      <c r="Z501" s="13"/>
      <c r="AA501" s="13">
        <v>0</v>
      </c>
      <c r="AB501" s="13">
        <v>37.200000000000003</v>
      </c>
      <c r="AC501" s="13">
        <v>3</v>
      </c>
      <c r="AD501" s="13">
        <v>1.9</v>
      </c>
      <c r="AE501" s="13">
        <v>0.26</v>
      </c>
      <c r="AF501" s="13">
        <v>5</v>
      </c>
      <c r="AG501" s="13">
        <v>1270</v>
      </c>
      <c r="AH501" s="13">
        <v>0</v>
      </c>
      <c r="AI501" s="13">
        <v>0</v>
      </c>
      <c r="AJ501" s="13">
        <v>2.6</v>
      </c>
      <c r="AK501" s="13">
        <v>121</v>
      </c>
      <c r="AL501" s="13">
        <v>56</v>
      </c>
      <c r="AM501" s="13">
        <v>0</v>
      </c>
      <c r="AN501" s="13">
        <v>5.5E-2</v>
      </c>
      <c r="AO501" s="13">
        <v>0</v>
      </c>
      <c r="AP501" s="13">
        <v>0</v>
      </c>
      <c r="AQ501" s="13">
        <v>26.64</v>
      </c>
      <c r="AR501" s="13">
        <v>26.64</v>
      </c>
      <c r="AS501" s="13">
        <v>2.39</v>
      </c>
      <c r="AT501" s="13">
        <v>0.45</v>
      </c>
      <c r="AU501" s="13">
        <v>0.67</v>
      </c>
      <c r="AV501" s="13">
        <v>0.96</v>
      </c>
      <c r="AW501" s="13">
        <v>0.55000000000000004</v>
      </c>
      <c r="AX501" s="9">
        <f>Tabelle1[[#This Row],[Vitamin D3 '[µg/100g']]]*40</f>
        <v>0</v>
      </c>
      <c r="AY501" s="9">
        <f>Tabelle1[[#This Row],[Vitamin A '[µg/100g']]]*3.33</f>
        <v>9.99</v>
      </c>
      <c r="AZ501" s="9">
        <f>Tabelle1[[#This Row],[Vitamin E '[mg/100g']]]*1.49</f>
        <v>55.428000000000004</v>
      </c>
    </row>
    <row r="502" spans="1:52" hidden="1" x14ac:dyDescent="0.45">
      <c r="A502" t="s">
        <v>972</v>
      </c>
      <c r="B502" s="3" t="s">
        <v>947</v>
      </c>
      <c r="C502" s="4" t="s">
        <v>948</v>
      </c>
      <c r="D502" s="11">
        <v>900</v>
      </c>
      <c r="E502" s="11">
        <f>Tabelle1[[#This Row],[Energie '[kcal/100g']]]/239</f>
        <v>3.7656903765690375</v>
      </c>
      <c r="F502" s="11">
        <v>0</v>
      </c>
      <c r="G502" s="11">
        <f>Tabelle1[[#This Row],[Rohprotein '[g/100g']]]*0.85</f>
        <v>0</v>
      </c>
      <c r="H502" s="11">
        <v>100</v>
      </c>
      <c r="I502" s="11">
        <f>Tabelle1[[#This Row],[TS]]-Tabelle1[[#This Row],[Rohprotein '[g/100g']]]-Tabelle1[[#This Row],[Rohfett '[g/100g']]]-Tabelle1[[#This Row],[Rohasche '[g/100g']]]-Tabelle1[[#This Row],[Rohfaser '[g/100g']]]</f>
        <v>0</v>
      </c>
      <c r="J502" s="11">
        <v>0</v>
      </c>
      <c r="K502" s="11">
        <v>0</v>
      </c>
      <c r="L502" s="11">
        <v>0</v>
      </c>
      <c r="M502" s="11">
        <f>100-Tabelle1[[#This Row],[Wasser '[g/100g']]]</f>
        <v>100</v>
      </c>
      <c r="N502" s="11">
        <v>0.51183299999999998</v>
      </c>
      <c r="O502" s="11">
        <v>0.40543800000000002</v>
      </c>
      <c r="P502" s="11">
        <v>0.339229</v>
      </c>
      <c r="Q502" s="11">
        <v>1.29</v>
      </c>
      <c r="R502" s="11">
        <v>0.62360000000000004</v>
      </c>
      <c r="S502" s="11"/>
      <c r="T502" s="11">
        <v>7.1194099999999996E-2</v>
      </c>
      <c r="U502" s="11">
        <v>5.5273099999999999E-2</v>
      </c>
      <c r="V502" s="11">
        <v>0</v>
      </c>
      <c r="W502" s="11">
        <v>1.393</v>
      </c>
      <c r="X502" s="11">
        <v>0.26068599999999997</v>
      </c>
      <c r="Y502" s="11">
        <v>1.1812E-2</v>
      </c>
      <c r="Z502" s="11"/>
      <c r="AA502" s="11">
        <v>0</v>
      </c>
      <c r="AB502" s="11">
        <v>59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8</v>
      </c>
      <c r="AK502" s="11">
        <v>0</v>
      </c>
      <c r="AL502" s="11">
        <v>0</v>
      </c>
      <c r="AM502" s="11">
        <v>0</v>
      </c>
      <c r="AN502" s="11">
        <v>0.1</v>
      </c>
      <c r="AO502" s="11">
        <v>0</v>
      </c>
      <c r="AP502" s="11">
        <v>0</v>
      </c>
      <c r="AQ502" s="11">
        <v>54.5</v>
      </c>
      <c r="AR502" s="11">
        <v>54.5</v>
      </c>
      <c r="AS502" s="11">
        <v>0</v>
      </c>
      <c r="AT502" s="11">
        <v>0</v>
      </c>
      <c r="AU502" s="11">
        <v>0</v>
      </c>
      <c r="AV502" s="11">
        <v>0</v>
      </c>
      <c r="AW502" s="11">
        <v>0</v>
      </c>
      <c r="AX502" s="9">
        <f>Tabelle1[[#This Row],[Vitamin D3 '[µg/100g']]]*40</f>
        <v>0</v>
      </c>
      <c r="AY502" s="9">
        <f>Tabelle1[[#This Row],[Vitamin A '[µg/100g']]]*3.33</f>
        <v>0</v>
      </c>
      <c r="AZ502" s="9">
        <f>Tabelle1[[#This Row],[Vitamin E '[mg/100g']]]*1.49</f>
        <v>87.91</v>
      </c>
    </row>
    <row r="503" spans="1:52" hidden="1" x14ac:dyDescent="0.45">
      <c r="A503" t="s">
        <v>58</v>
      </c>
      <c r="B503" s="5" t="s">
        <v>341</v>
      </c>
      <c r="C503" s="6" t="s">
        <v>342</v>
      </c>
      <c r="D503" s="13">
        <v>246</v>
      </c>
      <c r="E503" s="13">
        <f>Tabelle1[[#This Row],[Energie '[kcal/100g']]]/239</f>
        <v>1.0292887029288702</v>
      </c>
      <c r="F503" s="13">
        <v>24.484999999999999</v>
      </c>
      <c r="G503" s="13">
        <f>Tabelle1[[#This Row],[Rohprotein '[g/100g']]]*0.85</f>
        <v>20.812249999999999</v>
      </c>
      <c r="H503" s="13">
        <v>16.419</v>
      </c>
      <c r="I503" s="11">
        <f>Tabelle1[[#This Row],[TS]]-Tabelle1[[#This Row],[Rohprotein '[g/100g']]]-Tabelle1[[#This Row],[Rohfett '[g/100g']]]-Tabelle1[[#This Row],[Rohasche '[g/100g']]]-Tabelle1[[#This Row],[Rohfaser '[g/100g']]]</f>
        <v>0.26999999999999758</v>
      </c>
      <c r="J503" s="11">
        <v>0</v>
      </c>
      <c r="K503" s="13">
        <v>0.82099999999999995</v>
      </c>
      <c r="L503" s="13">
        <v>58.005000000000003</v>
      </c>
      <c r="M503" s="13">
        <f>100-Tabelle1[[#This Row],[Wasser '[g/100g']]]</f>
        <v>41.994999999999997</v>
      </c>
      <c r="N503" s="13">
        <v>14</v>
      </c>
      <c r="O503" s="13">
        <v>185</v>
      </c>
      <c r="P503" s="13">
        <v>18</v>
      </c>
      <c r="Q503" s="13">
        <v>37.9</v>
      </c>
      <c r="R503" s="13">
        <v>106</v>
      </c>
      <c r="S503" s="13"/>
      <c r="T503" s="13">
        <v>1.4119999999999999</v>
      </c>
      <c r="U503" s="13">
        <v>1.9119999999999999</v>
      </c>
      <c r="V503" s="11">
        <v>0</v>
      </c>
      <c r="W503" s="13">
        <v>42</v>
      </c>
      <c r="X503" s="13">
        <v>32</v>
      </c>
      <c r="Y503" s="13">
        <v>0</v>
      </c>
      <c r="Z503" s="13"/>
      <c r="AA503" s="13">
        <v>0.2</v>
      </c>
      <c r="AB503" s="13">
        <v>0.69110000000000005</v>
      </c>
      <c r="AC503" s="13">
        <v>29</v>
      </c>
      <c r="AD503" s="13">
        <v>4.9000000000000002E-2</v>
      </c>
      <c r="AE503" s="13">
        <v>0.23799999999999999</v>
      </c>
      <c r="AF503" s="13">
        <v>7.7649999999999997</v>
      </c>
      <c r="AG503" s="13">
        <v>379</v>
      </c>
      <c r="AH503" s="13">
        <v>0.05</v>
      </c>
      <c r="AI503" s="13">
        <v>2.9409999999999998</v>
      </c>
      <c r="AJ503" s="13">
        <v>4.72</v>
      </c>
      <c r="AK503" s="13">
        <v>4</v>
      </c>
      <c r="AL503" s="13">
        <v>0.86</v>
      </c>
      <c r="AM503" s="13">
        <v>0</v>
      </c>
      <c r="AN503" s="13">
        <v>0.51800000000000002</v>
      </c>
      <c r="AO503" s="11">
        <v>0</v>
      </c>
      <c r="AP503" s="13">
        <v>0.372</v>
      </c>
      <c r="AQ503" s="13">
        <v>3.98</v>
      </c>
      <c r="AR503" s="13">
        <v>3.2919999999999998</v>
      </c>
      <c r="AS503" s="13">
        <v>1.5489999999999999</v>
      </c>
      <c r="AT503" s="13">
        <v>0.33100000000000002</v>
      </c>
      <c r="AU503" s="13">
        <v>0.70099999999999996</v>
      </c>
      <c r="AV503" s="13">
        <v>2.157</v>
      </c>
      <c r="AW503" s="13">
        <v>0.63500000000000001</v>
      </c>
      <c r="AX503" s="9">
        <f>Tabelle1[[#This Row],[Vitamin D3 '[µg/100g']]]*40</f>
        <v>8</v>
      </c>
      <c r="AY503" s="9">
        <f>Tabelle1[[#This Row],[Vitamin A '[µg/100g']]]*3.33</f>
        <v>96.570000000000007</v>
      </c>
      <c r="AZ503" s="9">
        <f>Tabelle1[[#This Row],[Vitamin E '[mg/100g']]]*1.49</f>
        <v>1.029739</v>
      </c>
    </row>
    <row r="504" spans="1:52" hidden="1" x14ac:dyDescent="0.45">
      <c r="A504" t="s">
        <v>58</v>
      </c>
      <c r="B504" s="3" t="s">
        <v>343</v>
      </c>
      <c r="C504" s="4" t="s">
        <v>344</v>
      </c>
      <c r="D504" s="11">
        <v>257</v>
      </c>
      <c r="E504" s="13">
        <f>Tabelle1[[#This Row],[Energie '[kcal/100g']]]/239</f>
        <v>1.0753138075313808</v>
      </c>
      <c r="F504" s="11">
        <v>18.5</v>
      </c>
      <c r="G504" s="13">
        <f>Tabelle1[[#This Row],[Rohprotein '[g/100g']]]*0.85</f>
        <v>15.725</v>
      </c>
      <c r="H504" s="11">
        <v>20.3</v>
      </c>
      <c r="I504" s="11">
        <f>Tabelle1[[#This Row],[TS]]-Tabelle1[[#This Row],[Rohprotein '[g/100g']]]-Tabelle1[[#This Row],[Rohfett '[g/100g']]]-Tabelle1[[#This Row],[Rohasche '[g/100g']]]-Tabelle1[[#This Row],[Rohfaser '[g/100g']]]</f>
        <v>0.26999999999999924</v>
      </c>
      <c r="J504" s="11">
        <v>0</v>
      </c>
      <c r="K504" s="11">
        <v>0.93</v>
      </c>
      <c r="L504" s="11">
        <v>60</v>
      </c>
      <c r="M504" s="11">
        <f>100-Tabelle1[[#This Row],[Wasser '[g/100g']]]</f>
        <v>40</v>
      </c>
      <c r="N504" s="11">
        <v>11</v>
      </c>
      <c r="O504" s="11">
        <v>180</v>
      </c>
      <c r="P504" s="11">
        <v>17</v>
      </c>
      <c r="Q504" s="11">
        <v>64.5</v>
      </c>
      <c r="R504" s="11">
        <v>180</v>
      </c>
      <c r="S504" s="11"/>
      <c r="T504" s="11">
        <v>1.2</v>
      </c>
      <c r="U504" s="11">
        <v>1.3</v>
      </c>
      <c r="V504" s="11">
        <v>0</v>
      </c>
      <c r="W504" s="11">
        <v>57</v>
      </c>
      <c r="X504" s="11">
        <v>22</v>
      </c>
      <c r="Y504" s="13">
        <v>0</v>
      </c>
      <c r="Z504" s="13"/>
      <c r="AA504" s="11">
        <v>0.3</v>
      </c>
      <c r="AB504" s="11">
        <v>0.85450000000000004</v>
      </c>
      <c r="AC504" s="11">
        <v>36</v>
      </c>
      <c r="AD504" s="11">
        <v>0.06</v>
      </c>
      <c r="AE504" s="11">
        <v>0.17</v>
      </c>
      <c r="AF504" s="11">
        <v>8.8000000000000007</v>
      </c>
      <c r="AG504" s="11">
        <v>430</v>
      </c>
      <c r="AH504" s="11">
        <v>7.0000000000000007E-2</v>
      </c>
      <c r="AI504" s="11">
        <v>2.5</v>
      </c>
      <c r="AJ504" s="11">
        <v>5.83</v>
      </c>
      <c r="AK504" s="11">
        <v>5.5</v>
      </c>
      <c r="AL504" s="11">
        <v>0.84</v>
      </c>
      <c r="AM504" s="11">
        <v>0</v>
      </c>
      <c r="AN504" s="11">
        <v>0.64</v>
      </c>
      <c r="AO504" s="11">
        <v>0</v>
      </c>
      <c r="AP504" s="11">
        <v>0.46</v>
      </c>
      <c r="AQ504" s="11">
        <v>4.92</v>
      </c>
      <c r="AR504" s="11">
        <v>4.07</v>
      </c>
      <c r="AS504" s="11">
        <v>1.17</v>
      </c>
      <c r="AT504" s="11">
        <v>0.25</v>
      </c>
      <c r="AU504" s="11">
        <v>0.53</v>
      </c>
      <c r="AV504" s="11">
        <v>1.63</v>
      </c>
      <c r="AW504" s="11">
        <v>0.48</v>
      </c>
      <c r="AX504" s="9">
        <f>Tabelle1[[#This Row],[Vitamin D3 '[µg/100g']]]*40</f>
        <v>12</v>
      </c>
      <c r="AY504" s="9">
        <f>Tabelle1[[#This Row],[Vitamin A '[µg/100g']]]*3.33</f>
        <v>119.88</v>
      </c>
      <c r="AZ504" s="9">
        <f>Tabelle1[[#This Row],[Vitamin E '[mg/100g']]]*1.49</f>
        <v>1.2732050000000001</v>
      </c>
    </row>
    <row r="505" spans="1:52" hidden="1" x14ac:dyDescent="0.45">
      <c r="A505" t="s">
        <v>58</v>
      </c>
      <c r="B505" s="5" t="s">
        <v>345</v>
      </c>
      <c r="C505" s="6" t="s">
        <v>346</v>
      </c>
      <c r="D505" s="13">
        <v>226</v>
      </c>
      <c r="E505" s="13">
        <f>Tabelle1[[#This Row],[Energie '[kcal/100g']]]/239</f>
        <v>0.94560669456066948</v>
      </c>
      <c r="F505" s="13">
        <v>22.5</v>
      </c>
      <c r="G505" s="13">
        <f>Tabelle1[[#This Row],[Rohprotein '[g/100g']]]*0.85</f>
        <v>19.125</v>
      </c>
      <c r="H505" s="13">
        <v>15.087999999999999</v>
      </c>
      <c r="I505" s="11">
        <f>Tabelle1[[#This Row],[TS]]-Tabelle1[[#This Row],[Rohprotein '[g/100g']]]-Tabelle1[[#This Row],[Rohfett '[g/100g']]]-Tabelle1[[#This Row],[Rohasche '[g/100g']]]-Tabelle1[[#This Row],[Rohfaser '[g/100g']]]</f>
        <v>0.27000000000000268</v>
      </c>
      <c r="J505" s="11">
        <v>0</v>
      </c>
      <c r="K505" s="13">
        <v>0.754</v>
      </c>
      <c r="L505" s="13">
        <v>61.387999999999998</v>
      </c>
      <c r="M505" s="13">
        <f>100-Tabelle1[[#This Row],[Wasser '[g/100g']]]</f>
        <v>38.612000000000002</v>
      </c>
      <c r="N505" s="13">
        <v>13</v>
      </c>
      <c r="O505" s="13">
        <v>170</v>
      </c>
      <c r="P505" s="13">
        <v>16</v>
      </c>
      <c r="Q505" s="13">
        <v>34.9</v>
      </c>
      <c r="R505" s="13">
        <v>97</v>
      </c>
      <c r="S505" s="13"/>
      <c r="T505" s="13">
        <v>1.2969999999999999</v>
      </c>
      <c r="U505" s="13">
        <v>1.7569999999999999</v>
      </c>
      <c r="V505" s="11">
        <v>0</v>
      </c>
      <c r="W505" s="13">
        <v>39</v>
      </c>
      <c r="X505" s="13">
        <v>30</v>
      </c>
      <c r="Y505" s="13">
        <v>0</v>
      </c>
      <c r="Z505" s="13"/>
      <c r="AA505" s="13">
        <v>0.2</v>
      </c>
      <c r="AB505" s="13">
        <v>0.6351</v>
      </c>
      <c r="AC505" s="13">
        <v>27</v>
      </c>
      <c r="AD505" s="13">
        <v>4.4999999999999998E-2</v>
      </c>
      <c r="AE505" s="13">
        <v>0.218</v>
      </c>
      <c r="AF505" s="13">
        <v>7.1349999999999998</v>
      </c>
      <c r="AG505" s="13">
        <v>349</v>
      </c>
      <c r="AH505" s="13">
        <v>0.05</v>
      </c>
      <c r="AI505" s="13">
        <v>2.7029999999999998</v>
      </c>
      <c r="AJ505" s="13">
        <v>4.33</v>
      </c>
      <c r="AK505" s="13">
        <v>3.7</v>
      </c>
      <c r="AL505" s="13">
        <v>0.79</v>
      </c>
      <c r="AM505" s="13">
        <v>0</v>
      </c>
      <c r="AN505" s="13">
        <v>0.22500000000000001</v>
      </c>
      <c r="AO505" s="13">
        <v>3.0000000000000001E-3</v>
      </c>
      <c r="AP505" s="13">
        <v>4.0000000000000001E-3</v>
      </c>
      <c r="AQ505" s="13">
        <v>2.286</v>
      </c>
      <c r="AR505" s="13">
        <v>2.19</v>
      </c>
      <c r="AS505" s="13">
        <v>1.494</v>
      </c>
      <c r="AT505" s="13">
        <v>0.30199999999999999</v>
      </c>
      <c r="AU505" s="13">
        <v>0.72199999999999998</v>
      </c>
      <c r="AV505" s="13">
        <v>1.996</v>
      </c>
      <c r="AW505" s="13">
        <v>0.625</v>
      </c>
      <c r="AX505" s="9">
        <f>Tabelle1[[#This Row],[Vitamin D3 '[µg/100g']]]*40</f>
        <v>8</v>
      </c>
      <c r="AY505" s="9">
        <f>Tabelle1[[#This Row],[Vitamin A '[µg/100g']]]*3.33</f>
        <v>89.91</v>
      </c>
      <c r="AZ505" s="9">
        <f>Tabelle1[[#This Row],[Vitamin E '[mg/100g']]]*1.49</f>
        <v>0.946299</v>
      </c>
    </row>
    <row r="506" spans="1:52" hidden="1" x14ac:dyDescent="0.45">
      <c r="A506" t="s">
        <v>58</v>
      </c>
      <c r="B506" s="5" t="s">
        <v>347</v>
      </c>
      <c r="C506" s="6" t="s">
        <v>348</v>
      </c>
      <c r="D506" s="13">
        <v>257</v>
      </c>
      <c r="E506" s="13">
        <f>Tabelle1[[#This Row],[Energie '[kcal/100g']]]/239</f>
        <v>1.0753138075313808</v>
      </c>
      <c r="F506" s="13">
        <v>18.5</v>
      </c>
      <c r="G506" s="13">
        <f>Tabelle1[[#This Row],[Rohprotein '[g/100g']]]*0.85</f>
        <v>15.725</v>
      </c>
      <c r="H506" s="13">
        <v>20.3</v>
      </c>
      <c r="I506" s="11">
        <f>Tabelle1[[#This Row],[TS]]-Tabelle1[[#This Row],[Rohprotein '[g/100g']]]-Tabelle1[[#This Row],[Rohfett '[g/100g']]]-Tabelle1[[#This Row],[Rohasche '[g/100g']]]-Tabelle1[[#This Row],[Rohfaser '[g/100g']]]</f>
        <v>0.26999999999999924</v>
      </c>
      <c r="J506" s="11">
        <v>0</v>
      </c>
      <c r="K506" s="13">
        <v>0.93</v>
      </c>
      <c r="L506" s="13">
        <v>60</v>
      </c>
      <c r="M506" s="13">
        <f>100-Tabelle1[[#This Row],[Wasser '[g/100g']]]</f>
        <v>40</v>
      </c>
      <c r="N506" s="13">
        <v>11</v>
      </c>
      <c r="O506" s="13">
        <v>180</v>
      </c>
      <c r="P506" s="13">
        <v>17</v>
      </c>
      <c r="Q506" s="13">
        <v>64.5</v>
      </c>
      <c r="R506" s="13">
        <v>180</v>
      </c>
      <c r="S506" s="13"/>
      <c r="T506" s="13">
        <v>1.2</v>
      </c>
      <c r="U506" s="13">
        <v>1.3</v>
      </c>
      <c r="V506" s="11">
        <v>0</v>
      </c>
      <c r="W506" s="13">
        <v>57</v>
      </c>
      <c r="X506" s="13">
        <v>22</v>
      </c>
      <c r="Y506" s="13">
        <v>0</v>
      </c>
      <c r="Z506" s="13"/>
      <c r="AA506" s="13">
        <v>0.3</v>
      </c>
      <c r="AB506" s="13">
        <v>0.85450000000000004</v>
      </c>
      <c r="AC506" s="13">
        <v>36</v>
      </c>
      <c r="AD506" s="13">
        <v>0.06</v>
      </c>
      <c r="AE506" s="13">
        <v>0.17</v>
      </c>
      <c r="AF506" s="13">
        <v>8.8000000000000007</v>
      </c>
      <c r="AG506" s="13">
        <v>430</v>
      </c>
      <c r="AH506" s="13">
        <v>7.0000000000000007E-2</v>
      </c>
      <c r="AI506" s="13">
        <v>2.5</v>
      </c>
      <c r="AJ506" s="13">
        <v>5.83</v>
      </c>
      <c r="AK506" s="13">
        <v>5.5</v>
      </c>
      <c r="AL506" s="13">
        <v>0.84</v>
      </c>
      <c r="AM506" s="13">
        <v>0</v>
      </c>
      <c r="AN506" s="13">
        <v>0.30399999999999999</v>
      </c>
      <c r="AO506" s="13">
        <v>4.0000000000000001E-3</v>
      </c>
      <c r="AP506" s="13">
        <v>6.0000000000000001E-3</v>
      </c>
      <c r="AQ506" s="13">
        <v>3.077</v>
      </c>
      <c r="AR506" s="13">
        <v>2.9460000000000002</v>
      </c>
      <c r="AS506" s="13">
        <v>1.228</v>
      </c>
      <c r="AT506" s="13">
        <v>0.248</v>
      </c>
      <c r="AU506" s="13">
        <v>0.59399999999999997</v>
      </c>
      <c r="AV506" s="13">
        <v>1.641</v>
      </c>
      <c r="AW506" s="13">
        <v>0.51400000000000001</v>
      </c>
      <c r="AX506" s="9">
        <f>Tabelle1[[#This Row],[Vitamin D3 '[µg/100g']]]*40</f>
        <v>12</v>
      </c>
      <c r="AY506" s="9">
        <f>Tabelle1[[#This Row],[Vitamin A '[µg/100g']]]*3.33</f>
        <v>119.88</v>
      </c>
      <c r="AZ506" s="9">
        <f>Tabelle1[[#This Row],[Vitamin E '[mg/100g']]]*1.49</f>
        <v>1.2732050000000001</v>
      </c>
    </row>
    <row r="507" spans="1:52" hidden="1" x14ac:dyDescent="0.45">
      <c r="A507" t="s">
        <v>534</v>
      </c>
      <c r="B507" s="3" t="s">
        <v>1019</v>
      </c>
      <c r="C507" s="4" t="s">
        <v>1020</v>
      </c>
      <c r="D507" s="11">
        <v>346</v>
      </c>
      <c r="E507" s="11">
        <f>Tabelle1[[#This Row],[Energie '[kcal/100g']]]/239</f>
        <v>1.4476987447698744</v>
      </c>
      <c r="F507" s="11">
        <v>0.625</v>
      </c>
      <c r="G507" s="11">
        <f>Tabelle1[[#This Row],[Rohprotein '[g/100g']]]*0.85</f>
        <v>0.53125</v>
      </c>
      <c r="H507" s="11">
        <v>0.24</v>
      </c>
      <c r="I507" s="11">
        <f>Tabelle1[[#This Row],[TS]]-Tabelle1[[#This Row],[Rohprotein '[g/100g']]]-Tabelle1[[#This Row],[Rohfett '[g/100g']]]-Tabelle1[[#This Row],[Rohasche '[g/100g']]]-Tabelle1[[#This Row],[Rohfaser '[g/100g']]]</f>
        <v>86.245000000000005</v>
      </c>
      <c r="J507" s="11">
        <v>0</v>
      </c>
      <c r="K507" s="11">
        <v>0.28999999999999998</v>
      </c>
      <c r="L507" s="11">
        <v>12.6</v>
      </c>
      <c r="M507" s="11">
        <f>100-Tabelle1[[#This Row],[Wasser '[g/100g']]]</f>
        <v>87.4</v>
      </c>
      <c r="N507" s="11">
        <v>12</v>
      </c>
      <c r="O507" s="11">
        <v>12</v>
      </c>
      <c r="P507" s="11">
        <v>3</v>
      </c>
      <c r="Q507" s="11">
        <v>4</v>
      </c>
      <c r="R507" s="11">
        <v>20</v>
      </c>
      <c r="S507" s="11"/>
      <c r="T507" s="11">
        <v>1</v>
      </c>
      <c r="U507" s="11">
        <v>0.15</v>
      </c>
      <c r="V507" s="11">
        <v>0</v>
      </c>
      <c r="W507" s="11">
        <v>40</v>
      </c>
      <c r="X507" s="11">
        <v>110</v>
      </c>
      <c r="Y507" s="11">
        <v>1</v>
      </c>
      <c r="Z507" s="11"/>
      <c r="AA507" s="11">
        <v>0</v>
      </c>
      <c r="AB507" s="11">
        <v>0</v>
      </c>
      <c r="AC507" s="11">
        <v>0</v>
      </c>
      <c r="AD507" s="11">
        <v>6.0000000000000001E-3</v>
      </c>
      <c r="AE507" s="11">
        <v>0.1</v>
      </c>
      <c r="AF507" s="11">
        <v>0.14000000000000001</v>
      </c>
      <c r="AG507" s="11">
        <v>10</v>
      </c>
      <c r="AH507" s="11">
        <v>0</v>
      </c>
      <c r="AI507" s="11">
        <v>0</v>
      </c>
      <c r="AJ507" s="11">
        <v>0</v>
      </c>
      <c r="AK507" s="11">
        <v>0</v>
      </c>
      <c r="AL507" s="11">
        <v>6</v>
      </c>
      <c r="AM507" s="11">
        <v>0</v>
      </c>
      <c r="AN507" s="11">
        <v>0</v>
      </c>
      <c r="AO507" s="11">
        <v>0</v>
      </c>
      <c r="AP507" s="11">
        <v>0</v>
      </c>
      <c r="AQ507" s="11">
        <v>0</v>
      </c>
      <c r="AR507" s="11">
        <v>0</v>
      </c>
      <c r="AS507" s="11">
        <v>2.5000000000000001E-2</v>
      </c>
      <c r="AT507" s="11">
        <v>0.01</v>
      </c>
      <c r="AU507" s="11">
        <v>1.0999999999999999E-2</v>
      </c>
      <c r="AV507" s="11">
        <v>2.5000000000000001E-2</v>
      </c>
      <c r="AW507" s="11">
        <v>1.0999999999999999E-2</v>
      </c>
      <c r="AX507" s="9">
        <f>Tabelle1[[#This Row],[Vitamin D3 '[µg/100g']]]*40</f>
        <v>0</v>
      </c>
      <c r="AY507" s="9">
        <f>Tabelle1[[#This Row],[Vitamin A '[µg/100g']]]*3.33</f>
        <v>0</v>
      </c>
      <c r="AZ507" s="9">
        <f>Tabelle1[[#This Row],[Vitamin E '[mg/100g']]]*1.49</f>
        <v>0</v>
      </c>
    </row>
    <row r="508" spans="1:52" hidden="1" x14ac:dyDescent="0.45">
      <c r="A508" s="14" t="s">
        <v>534</v>
      </c>
      <c r="B508" s="5" t="s">
        <v>975</v>
      </c>
      <c r="C508" s="6" t="s">
        <v>976</v>
      </c>
      <c r="D508" s="13">
        <v>146</v>
      </c>
      <c r="E508" s="11">
        <f>Tabelle1[[#This Row],[Energie '[kcal/100g']]]/239</f>
        <v>0.61087866108786615</v>
      </c>
      <c r="F508" s="13">
        <v>5.4</v>
      </c>
      <c r="G508" s="11">
        <f>Tabelle1[[#This Row],[Rohprotein '[g/100g']]]*0.85</f>
        <v>4.59</v>
      </c>
      <c r="H508" s="13">
        <v>0.70199999999999996</v>
      </c>
      <c r="I508" s="11">
        <f>Tabelle1[[#This Row],[TS]]-Tabelle1[[#This Row],[Rohprotein '[g/100g']]]-Tabelle1[[#This Row],[Rohfett '[g/100g']]]-Tabelle1[[#This Row],[Rohasche '[g/100g']]]-Tabelle1[[#This Row],[Rohfaser '[g/100g']]]</f>
        <v>31.598000000000003</v>
      </c>
      <c r="J508" s="11">
        <v>0</v>
      </c>
      <c r="K508" s="13">
        <v>0.7</v>
      </c>
      <c r="L508" s="13">
        <v>61.6</v>
      </c>
      <c r="M508" s="13">
        <f>100-Tabelle1[[#This Row],[Wasser '[g/100g']]]</f>
        <v>38.4</v>
      </c>
      <c r="N508" s="13">
        <v>11.6</v>
      </c>
      <c r="O508" s="13">
        <v>150</v>
      </c>
      <c r="P508" s="13">
        <v>20</v>
      </c>
      <c r="Q508" s="13">
        <v>0.7</v>
      </c>
      <c r="R508" s="13">
        <v>84</v>
      </c>
      <c r="S508" s="13"/>
      <c r="T508" s="13">
        <v>0.88800000000000001</v>
      </c>
      <c r="U508" s="13">
        <v>1.1399999999999999</v>
      </c>
      <c r="V508" s="11">
        <v>0</v>
      </c>
      <c r="W508" s="13">
        <v>100</v>
      </c>
      <c r="X508" s="13">
        <v>370</v>
      </c>
      <c r="Y508" s="11">
        <v>0</v>
      </c>
      <c r="Z508" s="11"/>
      <c r="AA508" s="13">
        <v>0</v>
      </c>
      <c r="AB508" s="13">
        <v>0.2</v>
      </c>
      <c r="AC508" s="13">
        <v>0</v>
      </c>
      <c r="AD508" s="13">
        <v>3.3000000000000002E-2</v>
      </c>
      <c r="AE508" s="13">
        <v>1.2999999999999999E-2</v>
      </c>
      <c r="AF508" s="13">
        <v>1.3029999999999999</v>
      </c>
      <c r="AG508" s="13">
        <v>45.48</v>
      </c>
      <c r="AH508" s="13">
        <v>0</v>
      </c>
      <c r="AI508" s="13">
        <v>0</v>
      </c>
      <c r="AJ508" s="13">
        <v>0.6</v>
      </c>
      <c r="AK508" s="13">
        <v>8</v>
      </c>
      <c r="AL508" s="13">
        <v>2</v>
      </c>
      <c r="AM508" s="13">
        <v>0</v>
      </c>
      <c r="AN508" s="13">
        <v>1.7000000000000001E-2</v>
      </c>
      <c r="AO508" s="13">
        <v>0</v>
      </c>
      <c r="AP508" s="13">
        <v>0</v>
      </c>
      <c r="AQ508" s="13">
        <v>0.254</v>
      </c>
      <c r="AR508" s="13">
        <v>0.254</v>
      </c>
      <c r="AS508" s="13">
        <v>0.2</v>
      </c>
      <c r="AT508" s="13">
        <v>0.1</v>
      </c>
      <c r="AU508" s="13">
        <v>0.1</v>
      </c>
      <c r="AV508" s="13">
        <v>0.1</v>
      </c>
      <c r="AW508" s="13">
        <v>0.1</v>
      </c>
      <c r="AX508" s="9">
        <f>Tabelle1[[#This Row],[Vitamin D3 '[µg/100g']]]*40</f>
        <v>0</v>
      </c>
      <c r="AY508" s="9">
        <f>Tabelle1[[#This Row],[Vitamin A '[µg/100g']]]*3.33</f>
        <v>0</v>
      </c>
      <c r="AZ508" s="9">
        <f>Tabelle1[[#This Row],[Vitamin E '[mg/100g']]]*1.49</f>
        <v>0.29799999999999999</v>
      </c>
    </row>
    <row r="509" spans="1:52" hidden="1" x14ac:dyDescent="0.45">
      <c r="A509" s="14" t="s">
        <v>534</v>
      </c>
      <c r="B509" s="5" t="s">
        <v>973</v>
      </c>
      <c r="C509" s="6" t="s">
        <v>974</v>
      </c>
      <c r="D509" s="13">
        <v>346</v>
      </c>
      <c r="E509" s="11">
        <f>Tabelle1[[#This Row],[Energie '[kcal/100g']]]/239</f>
        <v>1.4476987447698744</v>
      </c>
      <c r="F509" s="13">
        <v>12.4</v>
      </c>
      <c r="G509" s="11">
        <f>Tabelle1[[#This Row],[Rohprotein '[g/100g']]]*0.85</f>
        <v>10.54</v>
      </c>
      <c r="H509" s="13">
        <v>1.6</v>
      </c>
      <c r="I509" s="11">
        <f>Tabelle1[[#This Row],[TS]]-Tabelle1[[#This Row],[Rohprotein '[g/100g']]]-Tabelle1[[#This Row],[Rohfett '[g/100g']]]-Tabelle1[[#This Row],[Rohasche '[g/100g']]]-Tabelle1[[#This Row],[Rohfaser '[g/100g']]]</f>
        <v>74.03</v>
      </c>
      <c r="J509" s="11">
        <v>0</v>
      </c>
      <c r="K509" s="13">
        <v>1.6</v>
      </c>
      <c r="L509" s="13">
        <v>10.37</v>
      </c>
      <c r="M509" s="13">
        <f>100-Tabelle1[[#This Row],[Wasser '[g/100g']]]</f>
        <v>89.63</v>
      </c>
      <c r="N509" s="13">
        <v>27.9</v>
      </c>
      <c r="O509" s="13">
        <v>360</v>
      </c>
      <c r="P509" s="13">
        <v>53</v>
      </c>
      <c r="Q509" s="13">
        <v>3.1</v>
      </c>
      <c r="R509" s="13">
        <v>320</v>
      </c>
      <c r="S509" s="13"/>
      <c r="T509" s="13">
        <v>2.7</v>
      </c>
      <c r="U509" s="13">
        <v>2.6</v>
      </c>
      <c r="V509" s="11">
        <v>0</v>
      </c>
      <c r="W509" s="13">
        <v>300</v>
      </c>
      <c r="X509" s="13">
        <v>840</v>
      </c>
      <c r="Y509" s="11">
        <v>0</v>
      </c>
      <c r="Z509" s="11"/>
      <c r="AA509" s="13">
        <v>0</v>
      </c>
      <c r="AB509" s="13">
        <v>0.46</v>
      </c>
      <c r="AC509" s="13">
        <v>0</v>
      </c>
      <c r="AD509" s="13">
        <v>8.7999999999999995E-2</v>
      </c>
      <c r="AE509" s="13">
        <v>0.03</v>
      </c>
      <c r="AF509" s="13">
        <v>3.3</v>
      </c>
      <c r="AG509" s="13">
        <v>115.22</v>
      </c>
      <c r="AH509" s="13">
        <v>0</v>
      </c>
      <c r="AI509" s="13">
        <v>0</v>
      </c>
      <c r="AJ509" s="13">
        <v>1.4</v>
      </c>
      <c r="AK509" s="13">
        <v>19</v>
      </c>
      <c r="AL509" s="13">
        <v>4</v>
      </c>
      <c r="AM509" s="13">
        <v>0</v>
      </c>
      <c r="AN509" s="13">
        <v>3.7999999999999999E-2</v>
      </c>
      <c r="AO509" s="13">
        <v>0</v>
      </c>
      <c r="AP509" s="13">
        <v>0</v>
      </c>
      <c r="AQ509" s="13">
        <v>0.57999999999999996</v>
      </c>
      <c r="AR509" s="13">
        <v>0.57899999999999996</v>
      </c>
      <c r="AS509" s="13">
        <v>0.5</v>
      </c>
      <c r="AT509" s="13">
        <v>0.3</v>
      </c>
      <c r="AU509" s="13">
        <v>0.3</v>
      </c>
      <c r="AV509" s="13">
        <v>0.3</v>
      </c>
      <c r="AW509" s="13">
        <v>0.2</v>
      </c>
      <c r="AX509" s="9">
        <f>Tabelle1[[#This Row],[Vitamin D3 '[µg/100g']]]*40</f>
        <v>0</v>
      </c>
      <c r="AY509" s="9">
        <f>Tabelle1[[#This Row],[Vitamin A '[µg/100g']]]*3.33</f>
        <v>0</v>
      </c>
      <c r="AZ509" s="9">
        <f>Tabelle1[[#This Row],[Vitamin E '[mg/100g']]]*1.49</f>
        <v>0.68540000000000001</v>
      </c>
    </row>
    <row r="510" spans="1:52" hidden="1" x14ac:dyDescent="0.45">
      <c r="A510" t="s">
        <v>877</v>
      </c>
      <c r="B510" s="3" t="s">
        <v>855</v>
      </c>
      <c r="C510" s="4" t="s">
        <v>856</v>
      </c>
      <c r="D510" s="11">
        <v>22</v>
      </c>
      <c r="E510" s="11">
        <f>Tabelle1[[#This Row],[Energie '[kcal/100g']]]/239</f>
        <v>9.2050209205020925E-2</v>
      </c>
      <c r="F510" s="11">
        <v>0.99399999999999999</v>
      </c>
      <c r="G510" s="11">
        <f>Tabelle1[[#This Row],[Rohprotein '[g/100g']]]*0.85</f>
        <v>0.84489999999999998</v>
      </c>
      <c r="H510" s="11">
        <v>0.115</v>
      </c>
      <c r="I510" s="11">
        <f>Tabelle1[[#This Row],[TS]]-Tabelle1[[#This Row],[Rohprotein '[g/100g']]]-Tabelle1[[#This Row],[Rohfett '[g/100g']]]-Tabelle1[[#This Row],[Rohasche '[g/100g']]]-Tabelle1[[#This Row],[Rohfaser '[g/100g']]]</f>
        <v>3.9349999999999943</v>
      </c>
      <c r="J510" s="11">
        <v>0</v>
      </c>
      <c r="K510" s="11">
        <v>0.55600000000000005</v>
      </c>
      <c r="L510" s="11">
        <v>94.4</v>
      </c>
      <c r="M510" s="11">
        <f>100-Tabelle1[[#This Row],[Wasser '[g/100g']]]</f>
        <v>5.5999999999999943</v>
      </c>
      <c r="N510" s="11">
        <v>11</v>
      </c>
      <c r="O510" s="11">
        <v>22.731000000000002</v>
      </c>
      <c r="P510" s="11">
        <v>8</v>
      </c>
      <c r="Q510" s="11">
        <v>3</v>
      </c>
      <c r="R510" s="11">
        <v>139</v>
      </c>
      <c r="S510" s="11"/>
      <c r="T510" s="11">
        <v>0.2</v>
      </c>
      <c r="U510" s="11">
        <v>0.12</v>
      </c>
      <c r="V510" s="11">
        <v>0</v>
      </c>
      <c r="W510" s="11">
        <v>44</v>
      </c>
      <c r="X510" s="11">
        <v>120</v>
      </c>
      <c r="Y510" s="11">
        <v>2</v>
      </c>
      <c r="Z510" s="11"/>
      <c r="AA510" s="11">
        <v>0</v>
      </c>
      <c r="AB510" s="11">
        <v>1.0349999999999999</v>
      </c>
      <c r="AC510" s="11">
        <v>121</v>
      </c>
      <c r="AD510" s="11">
        <v>3.3000000000000002E-2</v>
      </c>
      <c r="AE510" s="11">
        <v>1.0999999999999999E-2</v>
      </c>
      <c r="AF510" s="11">
        <v>0.378</v>
      </c>
      <c r="AG510" s="11">
        <v>51</v>
      </c>
      <c r="AH510" s="11">
        <v>0</v>
      </c>
      <c r="AI510" s="11">
        <v>18.713999999999999</v>
      </c>
      <c r="AJ510" s="11">
        <v>6</v>
      </c>
      <c r="AK510" s="11">
        <v>59</v>
      </c>
      <c r="AL510" s="11">
        <v>1.3</v>
      </c>
      <c r="AM510" s="11">
        <v>0</v>
      </c>
      <c r="AN510" s="11">
        <v>8.5699999999999995E-3</v>
      </c>
      <c r="AO510" s="11">
        <v>0</v>
      </c>
      <c r="AP510" s="11">
        <v>0</v>
      </c>
      <c r="AQ510" s="11">
        <v>3.7699999999999997E-2</v>
      </c>
      <c r="AR510" s="11">
        <v>3.7600000000000001E-2</v>
      </c>
      <c r="AS510" s="11">
        <v>1.9E-2</v>
      </c>
      <c r="AT510" s="11">
        <v>1E-3</v>
      </c>
      <c r="AU510" s="11">
        <v>1.4E-2</v>
      </c>
      <c r="AV510" s="11">
        <v>0.03</v>
      </c>
      <c r="AW510" s="11">
        <v>7.0000000000000001E-3</v>
      </c>
      <c r="AX510" s="9">
        <f>Tabelle1[[#This Row],[Vitamin D3 '[µg/100g']]]*40</f>
        <v>0</v>
      </c>
      <c r="AY510" s="9">
        <f>Tabelle1[[#This Row],[Vitamin A '[µg/100g']]]*3.33</f>
        <v>402.93</v>
      </c>
      <c r="AZ510" s="9">
        <f>Tabelle1[[#This Row],[Vitamin E '[mg/100g']]]*1.49</f>
        <v>1.5421499999999999</v>
      </c>
    </row>
    <row r="511" spans="1:52" hidden="1" x14ac:dyDescent="0.45">
      <c r="A511" t="s">
        <v>877</v>
      </c>
      <c r="B511" s="5" t="s">
        <v>857</v>
      </c>
      <c r="C511" s="6" t="s">
        <v>858</v>
      </c>
      <c r="D511" s="13">
        <v>22</v>
      </c>
      <c r="E511" s="11">
        <f>Tabelle1[[#This Row],[Energie '[kcal/100g']]]/239</f>
        <v>9.2050209205020925E-2</v>
      </c>
      <c r="F511" s="13">
        <v>0.95</v>
      </c>
      <c r="G511" s="11">
        <f>Tabelle1[[#This Row],[Rohprotein '[g/100g']]]*0.85</f>
        <v>0.8075</v>
      </c>
      <c r="H511" s="13">
        <v>0.11</v>
      </c>
      <c r="I511" s="11">
        <f>Tabelle1[[#This Row],[TS]]-Tabelle1[[#This Row],[Rohprotein '[g/100g']]]-Tabelle1[[#This Row],[Rohfett '[g/100g']]]-Tabelle1[[#This Row],[Rohasche '[g/100g']]]-Tabelle1[[#This Row],[Rohfaser '[g/100g']]]</f>
        <v>3.8039999999999941</v>
      </c>
      <c r="J511" s="11">
        <v>0</v>
      </c>
      <c r="K511" s="13">
        <v>0.73599999999999999</v>
      </c>
      <c r="L511" s="13">
        <v>94.4</v>
      </c>
      <c r="M511" s="13">
        <f>100-Tabelle1[[#This Row],[Wasser '[g/100g']]]</f>
        <v>5.5999999999999943</v>
      </c>
      <c r="N511" s="13">
        <v>10</v>
      </c>
      <c r="O511" s="13">
        <v>21.721</v>
      </c>
      <c r="P511" s="13">
        <v>12</v>
      </c>
      <c r="Q511" s="13">
        <v>4</v>
      </c>
      <c r="R511" s="13">
        <v>239</v>
      </c>
      <c r="S511" s="13"/>
      <c r="T511" s="13">
        <v>0.2</v>
      </c>
      <c r="U511" s="13">
        <v>0.14000000000000001</v>
      </c>
      <c r="V511" s="11">
        <v>0</v>
      </c>
      <c r="W511" s="13">
        <v>40</v>
      </c>
      <c r="X511" s="13">
        <v>110</v>
      </c>
      <c r="Y511" s="13">
        <v>2</v>
      </c>
      <c r="Z511" s="13"/>
      <c r="AA511" s="13">
        <v>0</v>
      </c>
      <c r="AB511" s="13">
        <v>0.89</v>
      </c>
      <c r="AC511" s="13">
        <v>2</v>
      </c>
      <c r="AD511" s="13">
        <v>4.3999999999999997E-2</v>
      </c>
      <c r="AE511" s="13">
        <v>1.4999999999999999E-2</v>
      </c>
      <c r="AF511" s="13">
        <v>0.5</v>
      </c>
      <c r="AG511" s="13">
        <v>68</v>
      </c>
      <c r="AH511" s="13">
        <v>0</v>
      </c>
      <c r="AI511" s="13">
        <v>24.76</v>
      </c>
      <c r="AJ511" s="13">
        <v>6</v>
      </c>
      <c r="AK511" s="13">
        <v>70.2</v>
      </c>
      <c r="AL511" s="13">
        <v>1.6</v>
      </c>
      <c r="AM511" s="13">
        <v>0</v>
      </c>
      <c r="AN511" s="13">
        <v>8.1899999999999994E-3</v>
      </c>
      <c r="AO511" s="13">
        <v>0</v>
      </c>
      <c r="AP511" s="13">
        <v>0</v>
      </c>
      <c r="AQ511" s="13">
        <v>3.5999999999999997E-2</v>
      </c>
      <c r="AR511" s="13">
        <v>3.5900000000000001E-2</v>
      </c>
      <c r="AS511" s="13">
        <v>1.7999999999999999E-2</v>
      </c>
      <c r="AT511" s="13">
        <v>1E-3</v>
      </c>
      <c r="AU511" s="13">
        <v>1.2999999999999999E-2</v>
      </c>
      <c r="AV511" s="13">
        <v>2.9000000000000001E-2</v>
      </c>
      <c r="AW511" s="13">
        <v>7.0000000000000001E-3</v>
      </c>
      <c r="AX511" s="9">
        <f>Tabelle1[[#This Row],[Vitamin D3 '[µg/100g']]]*40</f>
        <v>0</v>
      </c>
      <c r="AY511" s="9">
        <f>Tabelle1[[#This Row],[Vitamin A '[µg/100g']]]*3.33</f>
        <v>6.66</v>
      </c>
      <c r="AZ511" s="9">
        <f>Tabelle1[[#This Row],[Vitamin E '[mg/100g']]]*1.49</f>
        <v>1.3261000000000001</v>
      </c>
    </row>
    <row r="512" spans="1:52" hidden="1" x14ac:dyDescent="0.45">
      <c r="A512" t="s">
        <v>972</v>
      </c>
      <c r="B512" s="5" t="s">
        <v>951</v>
      </c>
      <c r="C512" s="6" t="s">
        <v>952</v>
      </c>
      <c r="D512" s="13">
        <v>900</v>
      </c>
      <c r="E512" s="11">
        <f>Tabelle1[[#This Row],[Energie '[kcal/100g']]]/239</f>
        <v>3.7656903765690375</v>
      </c>
      <c r="F512" s="13">
        <v>0</v>
      </c>
      <c r="G512" s="11">
        <f>Tabelle1[[#This Row],[Rohprotein '[g/100g']]]*0.85</f>
        <v>0</v>
      </c>
      <c r="H512" s="13">
        <v>100</v>
      </c>
      <c r="I512" s="11">
        <f>Tabelle1[[#This Row],[TS]]-Tabelle1[[#This Row],[Rohprotein '[g/100g']]]-Tabelle1[[#This Row],[Rohfett '[g/100g']]]-Tabelle1[[#This Row],[Rohasche '[g/100g']]]-Tabelle1[[#This Row],[Rohfaser '[g/100g']]]</f>
        <v>0</v>
      </c>
      <c r="J512" s="11">
        <v>0</v>
      </c>
      <c r="K512" s="13">
        <v>0</v>
      </c>
      <c r="L512" s="13">
        <v>0</v>
      </c>
      <c r="M512" s="13">
        <f>100-Tabelle1[[#This Row],[Wasser '[g/100g']]]</f>
        <v>100</v>
      </c>
      <c r="N512" s="13">
        <v>0.44170100000000001</v>
      </c>
      <c r="O512" s="13">
        <v>1.702</v>
      </c>
      <c r="P512" s="13">
        <v>0.44547100000000001</v>
      </c>
      <c r="Q512" s="13">
        <v>1.65</v>
      </c>
      <c r="R512" s="13">
        <v>0.67801500000000003</v>
      </c>
      <c r="S512" s="13"/>
      <c r="T512" s="13">
        <v>0.11557199999999999</v>
      </c>
      <c r="U512" s="13">
        <v>2.402E-2</v>
      </c>
      <c r="V512" s="11">
        <v>0</v>
      </c>
      <c r="W512" s="13">
        <v>2.4990000000000001</v>
      </c>
      <c r="X512" s="13">
        <v>1.3640000000000001</v>
      </c>
      <c r="Y512" s="13">
        <v>0.01</v>
      </c>
      <c r="Z512" s="13"/>
      <c r="AA512" s="13">
        <v>0</v>
      </c>
      <c r="AB512" s="13">
        <v>28.8</v>
      </c>
      <c r="AC512" s="13">
        <v>21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280</v>
      </c>
      <c r="AK512" s="13">
        <v>0</v>
      </c>
      <c r="AL512" s="13">
        <v>0</v>
      </c>
      <c r="AM512" s="13">
        <v>0</v>
      </c>
      <c r="AN512" s="13">
        <v>0.4</v>
      </c>
      <c r="AO512" s="13">
        <v>0</v>
      </c>
      <c r="AP512" s="13">
        <v>0</v>
      </c>
      <c r="AQ512" s="13">
        <v>63.3</v>
      </c>
      <c r="AR512" s="13">
        <v>63.3</v>
      </c>
      <c r="AS512" s="13">
        <v>0</v>
      </c>
      <c r="AT512" s="13">
        <v>0</v>
      </c>
      <c r="AU512" s="13">
        <v>0</v>
      </c>
      <c r="AV512" s="13">
        <v>0</v>
      </c>
      <c r="AW512" s="13">
        <v>0</v>
      </c>
      <c r="AX512" s="9">
        <f>Tabelle1[[#This Row],[Vitamin D3 '[µg/100g']]]*40</f>
        <v>0</v>
      </c>
      <c r="AY512" s="9">
        <f>Tabelle1[[#This Row],[Vitamin A '[µg/100g']]]*3.33</f>
        <v>69.930000000000007</v>
      </c>
      <c r="AZ512" s="9">
        <f>Tabelle1[[#This Row],[Vitamin E '[mg/100g']]]*1.49</f>
        <v>42.911999999999999</v>
      </c>
    </row>
    <row r="513" spans="1:52" hidden="1" x14ac:dyDescent="0.45">
      <c r="A513" t="s">
        <v>58</v>
      </c>
      <c r="B513" s="3"/>
      <c r="C513" s="4" t="s">
        <v>1164</v>
      </c>
      <c r="D513" s="11">
        <v>427.81</v>
      </c>
      <c r="E513" s="11">
        <v>1.79</v>
      </c>
      <c r="F513" s="11">
        <v>67.099999999999994</v>
      </c>
      <c r="G513" s="11">
        <f>Tabelle1[[#This Row],[Rohprotein '[g/100g']]]*0.85</f>
        <v>57.034999999999997</v>
      </c>
      <c r="H513" s="11">
        <v>17.8</v>
      </c>
      <c r="I513" s="11">
        <f>Tabelle1[[#This Row],[TS]]-Tabelle1[[#This Row],[Rohprotein '[g/100g']]]-Tabelle1[[#This Row],[Rohfett '[g/100g']]]-Tabelle1[[#This Row],[Rohasche '[g/100g']]]-Tabelle1[[#This Row],[Rohfaser '[g/100g']]]</f>
        <v>-0.79999999999999805</v>
      </c>
      <c r="J513" s="11">
        <v>0.5</v>
      </c>
      <c r="K513" s="11">
        <v>5.7</v>
      </c>
      <c r="L513" s="11">
        <v>9.6999999999999993</v>
      </c>
      <c r="M513" s="11">
        <f>100-Tabelle1[[#This Row],[Wasser '[g/100g']]]</f>
        <v>90.3</v>
      </c>
      <c r="N513" s="11">
        <v>38</v>
      </c>
      <c r="O513" s="11">
        <v>760</v>
      </c>
      <c r="P513" s="11">
        <v>91</v>
      </c>
      <c r="Q513" s="11">
        <v>152</v>
      </c>
      <c r="R513" s="11">
        <v>1368</v>
      </c>
      <c r="S513" s="11"/>
      <c r="T513" s="11">
        <v>17.100000000000001</v>
      </c>
      <c r="U513" s="11">
        <v>13.3</v>
      </c>
      <c r="V513" s="11">
        <v>38</v>
      </c>
      <c r="W513" s="11">
        <v>570</v>
      </c>
      <c r="X513" s="11">
        <v>0</v>
      </c>
      <c r="Y513" s="11">
        <v>3.8</v>
      </c>
      <c r="Z513" s="11"/>
      <c r="AA513" s="11">
        <v>0</v>
      </c>
      <c r="AB513" s="11">
        <v>1.1000000000000001</v>
      </c>
      <c r="AC513" s="11">
        <v>38</v>
      </c>
      <c r="AD513" s="11">
        <v>0.49</v>
      </c>
      <c r="AE513" s="11">
        <v>0.56999999999999995</v>
      </c>
      <c r="AF513" s="11">
        <v>0</v>
      </c>
      <c r="AG513" s="11">
        <v>1520</v>
      </c>
      <c r="AH513" s="11">
        <v>11.4</v>
      </c>
      <c r="AI513" s="11">
        <v>0</v>
      </c>
      <c r="AJ513" s="11">
        <v>0</v>
      </c>
      <c r="AK513" s="11">
        <v>0</v>
      </c>
      <c r="AL513" s="11">
        <v>0</v>
      </c>
      <c r="AM513" s="11">
        <v>0</v>
      </c>
      <c r="AN513" s="11">
        <v>0</v>
      </c>
      <c r="AO513" s="11">
        <v>0</v>
      </c>
      <c r="AP513" s="11">
        <v>0</v>
      </c>
      <c r="AQ513" s="11">
        <v>0</v>
      </c>
      <c r="AR513" s="11">
        <v>0</v>
      </c>
      <c r="AS513" s="11">
        <v>0</v>
      </c>
      <c r="AT513" s="11">
        <v>0</v>
      </c>
      <c r="AU513" s="11">
        <v>0</v>
      </c>
      <c r="AV513" s="11">
        <v>0</v>
      </c>
      <c r="AW513" s="11">
        <v>0</v>
      </c>
      <c r="AX513" s="9">
        <f>Tabelle1[[#This Row],[Vitamin D3 '[µg/100g']]]*40</f>
        <v>0</v>
      </c>
      <c r="AY513" s="9">
        <f>Tabelle1[[#This Row],[Vitamin A '[µg/100g']]]*3.33</f>
        <v>126.54</v>
      </c>
      <c r="AZ513" s="9">
        <f>Tabelle1[[#This Row],[Vitamin E '[mg/100g']]]*1.49</f>
        <v>1.639</v>
      </c>
    </row>
    <row r="514" spans="1:52" hidden="1" x14ac:dyDescent="0.45">
      <c r="A514" t="s">
        <v>1190</v>
      </c>
      <c r="B514" s="3"/>
      <c r="C514" s="4" t="s">
        <v>1264</v>
      </c>
      <c r="D514" s="11">
        <v>370</v>
      </c>
      <c r="E514" s="11">
        <v>1.55</v>
      </c>
      <c r="F514" s="11">
        <v>23.8</v>
      </c>
      <c r="G514" s="11">
        <v>17.850000000000001</v>
      </c>
      <c r="H514" s="11">
        <v>13.8</v>
      </c>
      <c r="I514" s="11">
        <v>52.1</v>
      </c>
      <c r="J514" s="11">
        <v>2.5</v>
      </c>
      <c r="K514" s="11">
        <v>7.8</v>
      </c>
      <c r="L514" s="11">
        <v>0</v>
      </c>
      <c r="M514" s="11">
        <v>100</v>
      </c>
      <c r="N514" s="11">
        <v>1500</v>
      </c>
      <c r="O514" s="11">
        <v>1050</v>
      </c>
      <c r="P514" s="11">
        <v>0</v>
      </c>
      <c r="Q514" s="11">
        <v>400</v>
      </c>
      <c r="R514" s="11">
        <v>0</v>
      </c>
      <c r="S514" s="13">
        <v>0</v>
      </c>
      <c r="T514" s="11">
        <v>0</v>
      </c>
      <c r="U514" s="11">
        <v>10</v>
      </c>
      <c r="V514" s="11">
        <v>16</v>
      </c>
      <c r="W514" s="11">
        <v>1200</v>
      </c>
      <c r="X514" s="11">
        <v>1500</v>
      </c>
      <c r="Y514" s="11">
        <v>200</v>
      </c>
      <c r="Z514" s="13">
        <v>0</v>
      </c>
      <c r="AA514" s="11">
        <v>3</v>
      </c>
      <c r="AB514" s="11">
        <v>12</v>
      </c>
      <c r="AC514" s="11">
        <v>360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0.32</v>
      </c>
      <c r="AO514" s="11">
        <v>0</v>
      </c>
      <c r="AP514" s="11">
        <v>0</v>
      </c>
      <c r="AQ514" s="11">
        <v>0</v>
      </c>
      <c r="AR514" s="11">
        <v>2.2000000000000002</v>
      </c>
      <c r="AS514" s="11">
        <v>0</v>
      </c>
      <c r="AT514" s="11">
        <v>0</v>
      </c>
      <c r="AU514" s="11">
        <v>0</v>
      </c>
      <c r="AV514" s="11">
        <v>0</v>
      </c>
      <c r="AW514" s="11">
        <v>0.1</v>
      </c>
      <c r="AX514" s="9">
        <v>120</v>
      </c>
      <c r="AY514" s="9">
        <v>1200</v>
      </c>
      <c r="AZ514" s="9">
        <v>12</v>
      </c>
    </row>
    <row r="515" spans="1:52" hidden="1" x14ac:dyDescent="0.45">
      <c r="A515" t="s">
        <v>1190</v>
      </c>
      <c r="B515" s="3"/>
      <c r="C515" s="4" t="s">
        <v>1262</v>
      </c>
      <c r="D515" s="11">
        <v>365</v>
      </c>
      <c r="E515" s="11">
        <v>1.53</v>
      </c>
      <c r="F515" s="11">
        <v>21.6</v>
      </c>
      <c r="G515" s="11">
        <v>16.2</v>
      </c>
      <c r="H515" s="11">
        <v>12.2</v>
      </c>
      <c r="I515" s="11">
        <v>56.9</v>
      </c>
      <c r="J515" s="11">
        <v>2.5</v>
      </c>
      <c r="K515" s="11">
        <v>6.8</v>
      </c>
      <c r="L515" s="11">
        <v>0</v>
      </c>
      <c r="M515" s="11">
        <v>100</v>
      </c>
      <c r="N515" s="11">
        <v>1350</v>
      </c>
      <c r="O515" s="11">
        <v>950</v>
      </c>
      <c r="P515" s="11">
        <v>0</v>
      </c>
      <c r="Q515" s="11">
        <v>250</v>
      </c>
      <c r="R515" s="11">
        <v>0</v>
      </c>
      <c r="S515" s="13">
        <v>0</v>
      </c>
      <c r="T515" s="11">
        <v>9</v>
      </c>
      <c r="U515" s="11">
        <v>10</v>
      </c>
      <c r="V515" s="11">
        <v>26</v>
      </c>
      <c r="W515" s="11">
        <v>1000</v>
      </c>
      <c r="X515" s="11">
        <v>1500</v>
      </c>
      <c r="Y515" s="11">
        <v>200</v>
      </c>
      <c r="Z515" s="13">
        <v>0</v>
      </c>
      <c r="AA515" s="11">
        <v>3.13</v>
      </c>
      <c r="AB515" s="11">
        <v>15</v>
      </c>
      <c r="AC515" s="11">
        <v>420</v>
      </c>
      <c r="AD515" s="11">
        <v>0</v>
      </c>
      <c r="AE515" s="11">
        <v>0</v>
      </c>
      <c r="AF515" s="11">
        <v>0</v>
      </c>
      <c r="AG515" s="11">
        <v>0</v>
      </c>
      <c r="AH515" s="11">
        <v>0</v>
      </c>
      <c r="AI515" s="11">
        <v>0</v>
      </c>
      <c r="AJ515" s="11">
        <v>0</v>
      </c>
      <c r="AK515" s="11">
        <v>0</v>
      </c>
      <c r="AL515" s="11">
        <v>0</v>
      </c>
      <c r="AM515" s="11">
        <v>0</v>
      </c>
      <c r="AN515" s="11">
        <v>0.3</v>
      </c>
      <c r="AO515" s="11">
        <v>0</v>
      </c>
      <c r="AP515" s="11">
        <v>0</v>
      </c>
      <c r="AQ515" s="11">
        <v>0</v>
      </c>
      <c r="AR515" s="11">
        <v>2.2999999999999998</v>
      </c>
      <c r="AS515" s="11">
        <v>0</v>
      </c>
      <c r="AT515" s="11">
        <v>0</v>
      </c>
      <c r="AU515" s="11">
        <v>0</v>
      </c>
      <c r="AV515" s="11">
        <v>0</v>
      </c>
      <c r="AW515" s="11">
        <v>0.1</v>
      </c>
      <c r="AX515" s="9">
        <v>125</v>
      </c>
      <c r="AY515" s="9">
        <v>1400</v>
      </c>
      <c r="AZ515" s="9">
        <v>15</v>
      </c>
    </row>
    <row r="516" spans="1:52" hidden="1" x14ac:dyDescent="0.45">
      <c r="A516" t="s">
        <v>1190</v>
      </c>
      <c r="B516" s="3"/>
      <c r="C516" s="4" t="s">
        <v>1263</v>
      </c>
      <c r="D516" s="11">
        <v>376</v>
      </c>
      <c r="E516" s="11">
        <v>1.57</v>
      </c>
      <c r="F516" s="11">
        <v>22.1</v>
      </c>
      <c r="G516" s="11">
        <v>16.579999999999998</v>
      </c>
      <c r="H516" s="11">
        <v>14.2</v>
      </c>
      <c r="I516" s="11">
        <v>53.8</v>
      </c>
      <c r="J516" s="11">
        <v>2.2000000000000002</v>
      </c>
      <c r="K516" s="11">
        <v>7</v>
      </c>
      <c r="L516" s="11">
        <v>0</v>
      </c>
      <c r="M516" s="11">
        <v>100</v>
      </c>
      <c r="N516" s="11">
        <v>1400</v>
      </c>
      <c r="O516" s="11">
        <v>950</v>
      </c>
      <c r="P516" s="11">
        <v>0</v>
      </c>
      <c r="Q516" s="11">
        <v>250</v>
      </c>
      <c r="R516" s="11">
        <v>0</v>
      </c>
      <c r="S516" s="13">
        <v>0</v>
      </c>
      <c r="T516" s="11">
        <v>11.4</v>
      </c>
      <c r="U516" s="11">
        <v>10.5</v>
      </c>
      <c r="V516" s="11">
        <v>14</v>
      </c>
      <c r="W516" s="11">
        <v>1200</v>
      </c>
      <c r="X516" s="11">
        <v>1400</v>
      </c>
      <c r="Y516" s="11">
        <v>150</v>
      </c>
      <c r="Z516" s="13">
        <v>0</v>
      </c>
      <c r="AA516" s="11">
        <v>3</v>
      </c>
      <c r="AB516" s="11">
        <v>10</v>
      </c>
      <c r="AC516" s="11">
        <v>360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11">
        <v>0</v>
      </c>
      <c r="AJ516" s="11">
        <v>0</v>
      </c>
      <c r="AK516" s="11">
        <v>0</v>
      </c>
      <c r="AL516" s="11">
        <v>0</v>
      </c>
      <c r="AM516" s="11">
        <v>0</v>
      </c>
      <c r="AN516" s="11">
        <v>0.25</v>
      </c>
      <c r="AO516" s="11">
        <v>0</v>
      </c>
      <c r="AP516" s="11">
        <v>0</v>
      </c>
      <c r="AQ516" s="11">
        <v>0</v>
      </c>
      <c r="AR516" s="11">
        <v>2.2000000000000002</v>
      </c>
      <c r="AS516" s="11">
        <v>0</v>
      </c>
      <c r="AT516" s="11">
        <v>0</v>
      </c>
      <c r="AU516" s="11">
        <v>0</v>
      </c>
      <c r="AV516" s="11">
        <v>0</v>
      </c>
      <c r="AW516" s="11">
        <v>0.1</v>
      </c>
      <c r="AX516" s="9">
        <v>120</v>
      </c>
      <c r="AY516" s="9">
        <v>1200</v>
      </c>
      <c r="AZ516" s="9">
        <v>10</v>
      </c>
    </row>
    <row r="517" spans="1:52" hidden="1" x14ac:dyDescent="0.45">
      <c r="A517" s="14" t="s">
        <v>534</v>
      </c>
      <c r="B517" s="5" t="s">
        <v>987</v>
      </c>
      <c r="C517" s="6" t="s">
        <v>988</v>
      </c>
      <c r="D517" s="13">
        <v>125</v>
      </c>
      <c r="E517" s="11">
        <f>Tabelle1[[#This Row],[Energie '[kcal/100g']]]/239</f>
        <v>0.52301255230125521</v>
      </c>
      <c r="F517" s="13">
        <v>5.17</v>
      </c>
      <c r="G517" s="11">
        <f>Tabelle1[[#This Row],[Rohprotein '[g/100g']]]*0.85</f>
        <v>4.3944999999999999</v>
      </c>
      <c r="H517" s="13">
        <v>0.99</v>
      </c>
      <c r="I517" s="11">
        <f>Tabelle1[[#This Row],[TS]]-Tabelle1[[#This Row],[Rohprotein '[g/100g']]]-Tabelle1[[#This Row],[Rohfett '[g/100g']]]-Tabelle1[[#This Row],[Rohasche '[g/100g']]]-Tabelle1[[#This Row],[Rohfaser '[g/100g']]]</f>
        <v>24.080000000000005</v>
      </c>
      <c r="J517" s="11">
        <v>0</v>
      </c>
      <c r="K517" s="13">
        <v>0.27</v>
      </c>
      <c r="L517" s="13">
        <v>69.489999999999995</v>
      </c>
      <c r="M517" s="13">
        <f>100-Tabelle1[[#This Row],[Wasser '[g/100g']]]</f>
        <v>30.510000000000005</v>
      </c>
      <c r="N517" s="13">
        <v>14</v>
      </c>
      <c r="O517" s="13">
        <v>109</v>
      </c>
      <c r="P517" s="13">
        <v>30</v>
      </c>
      <c r="Q517" s="13">
        <v>3</v>
      </c>
      <c r="R517" s="13">
        <v>85</v>
      </c>
      <c r="S517" s="13"/>
      <c r="T517" s="13">
        <v>1</v>
      </c>
      <c r="U517" s="13">
        <v>0.9</v>
      </c>
      <c r="V517" s="11">
        <v>0</v>
      </c>
      <c r="W517" s="13">
        <v>110</v>
      </c>
      <c r="X517" s="13">
        <v>930</v>
      </c>
      <c r="Y517" s="13">
        <v>0.4</v>
      </c>
      <c r="Z517" s="13"/>
      <c r="AA517" s="13">
        <v>0.1</v>
      </c>
      <c r="AB517" s="13">
        <v>0.27600000000000002</v>
      </c>
      <c r="AC517" s="13">
        <v>8.6</v>
      </c>
      <c r="AD517" s="13">
        <v>8.2000000000000003E-2</v>
      </c>
      <c r="AE517" s="13">
        <v>3.3000000000000002E-2</v>
      </c>
      <c r="AF517" s="13">
        <v>1.1000000000000001</v>
      </c>
      <c r="AG517" s="13">
        <v>124</v>
      </c>
      <c r="AH517" s="13">
        <v>0.1</v>
      </c>
      <c r="AI517" s="13">
        <v>0</v>
      </c>
      <c r="AJ517" s="13">
        <v>0.4</v>
      </c>
      <c r="AK517" s="13">
        <v>8</v>
      </c>
      <c r="AL517" s="13">
        <v>2.5</v>
      </c>
      <c r="AM517" s="13">
        <v>0</v>
      </c>
      <c r="AN517" s="13">
        <v>2.4E-2</v>
      </c>
      <c r="AO517" s="13">
        <v>0</v>
      </c>
      <c r="AP517" s="13">
        <v>2E-3</v>
      </c>
      <c r="AQ517" s="13">
        <v>0.33700000000000002</v>
      </c>
      <c r="AR517" s="13">
        <v>0.33200000000000002</v>
      </c>
      <c r="AS517" s="13">
        <v>0.24399999999999999</v>
      </c>
      <c r="AT517" s="13">
        <v>0.112</v>
      </c>
      <c r="AU517" s="13">
        <v>0.11899999999999999</v>
      </c>
      <c r="AV517" s="13">
        <v>0.158</v>
      </c>
      <c r="AW517" s="13">
        <v>0.09</v>
      </c>
      <c r="AX517" s="9">
        <f>Tabelle1[[#This Row],[Vitamin D3 '[µg/100g']]]*40</f>
        <v>4</v>
      </c>
      <c r="AY517" s="9">
        <f>Tabelle1[[#This Row],[Vitamin A '[µg/100g']]]*3.33</f>
        <v>28.637999999999998</v>
      </c>
      <c r="AZ517" s="9">
        <f>Tabelle1[[#This Row],[Vitamin E '[mg/100g']]]*1.49</f>
        <v>0.41124000000000005</v>
      </c>
    </row>
    <row r="518" spans="1:52" hidden="1" x14ac:dyDescent="0.45">
      <c r="A518" s="14" t="s">
        <v>534</v>
      </c>
      <c r="B518" s="3" t="s">
        <v>985</v>
      </c>
      <c r="C518" s="4" t="s">
        <v>986</v>
      </c>
      <c r="D518" s="11">
        <v>353</v>
      </c>
      <c r="E518" s="11">
        <f>Tabelle1[[#This Row],[Energie '[kcal/100g']]]/239</f>
        <v>1.4769874476987448</v>
      </c>
      <c r="F518" s="11">
        <v>14.11</v>
      </c>
      <c r="G518" s="11">
        <f>Tabelle1[[#This Row],[Rohprotein '[g/100g']]]*0.85</f>
        <v>11.993499999999999</v>
      </c>
      <c r="H518" s="11">
        <v>2.69</v>
      </c>
      <c r="I518" s="11">
        <f>Tabelle1[[#This Row],[TS]]-Tabelle1[[#This Row],[Rohprotein '[g/100g']]]-Tabelle1[[#This Row],[Rohfett '[g/100g']]]-Tabelle1[[#This Row],[Rohasche '[g/100g']]]-Tabelle1[[#This Row],[Rohfaser '[g/100g']]]</f>
        <v>72.27</v>
      </c>
      <c r="J518" s="11">
        <v>0</v>
      </c>
      <c r="K518" s="11">
        <v>1.48</v>
      </c>
      <c r="L518" s="11">
        <v>9.4499999999999993</v>
      </c>
      <c r="M518" s="11">
        <f>100-Tabelle1[[#This Row],[Wasser '[g/100g']]]</f>
        <v>90.55</v>
      </c>
      <c r="N518" s="11">
        <v>39</v>
      </c>
      <c r="O518" s="11">
        <v>313</v>
      </c>
      <c r="P518" s="11">
        <v>96</v>
      </c>
      <c r="Q518" s="11">
        <v>17</v>
      </c>
      <c r="R518" s="11">
        <v>387</v>
      </c>
      <c r="S518" s="11"/>
      <c r="T518" s="11">
        <v>3.5</v>
      </c>
      <c r="U518" s="11">
        <v>2.4700000000000002</v>
      </c>
      <c r="V518" s="11">
        <v>0</v>
      </c>
      <c r="W518" s="11">
        <v>333</v>
      </c>
      <c r="X518" s="11">
        <v>2540</v>
      </c>
      <c r="Y518" s="11">
        <v>4.5</v>
      </c>
      <c r="Z518" s="11"/>
      <c r="AA518" s="11">
        <v>0.2</v>
      </c>
      <c r="AB518" s="11">
        <v>0.754</v>
      </c>
      <c r="AC518" s="11">
        <v>26.2</v>
      </c>
      <c r="AD518" s="11">
        <v>0.34300000000000003</v>
      </c>
      <c r="AE518" s="11">
        <v>0.127</v>
      </c>
      <c r="AF518" s="11">
        <v>4.5999999999999996</v>
      </c>
      <c r="AG518" s="11">
        <v>423</v>
      </c>
      <c r="AH518" s="11">
        <v>0.3</v>
      </c>
      <c r="AI518" s="11">
        <v>0</v>
      </c>
      <c r="AJ518" s="11">
        <v>2</v>
      </c>
      <c r="AK518" s="11">
        <v>32</v>
      </c>
      <c r="AL518" s="11">
        <v>8.4</v>
      </c>
      <c r="AM518" s="11">
        <v>0</v>
      </c>
      <c r="AN518" s="11">
        <v>6.7000000000000004E-2</v>
      </c>
      <c r="AO518" s="11">
        <v>0</v>
      </c>
      <c r="AP518" s="11">
        <v>6.0000000000000001E-3</v>
      </c>
      <c r="AQ518" s="11">
        <v>0.92100000000000004</v>
      </c>
      <c r="AR518" s="11">
        <v>0.90600000000000003</v>
      </c>
      <c r="AS518" s="11">
        <v>0.66500000000000004</v>
      </c>
      <c r="AT518" s="11">
        <v>0.30499999999999999</v>
      </c>
      <c r="AU518" s="11">
        <v>0.32400000000000001</v>
      </c>
      <c r="AV518" s="11">
        <v>0.43</v>
      </c>
      <c r="AW518" s="11">
        <v>0.247</v>
      </c>
      <c r="AX518" s="9">
        <f>Tabelle1[[#This Row],[Vitamin D3 '[µg/100g']]]*40</f>
        <v>8</v>
      </c>
      <c r="AY518" s="9">
        <f>Tabelle1[[#This Row],[Vitamin A '[µg/100g']]]*3.33</f>
        <v>87.245999999999995</v>
      </c>
      <c r="AZ518" s="9">
        <f>Tabelle1[[#This Row],[Vitamin E '[mg/100g']]]*1.49</f>
        <v>1.1234599999999999</v>
      </c>
    </row>
    <row r="519" spans="1:52" hidden="1" x14ac:dyDescent="0.45">
      <c r="A519" s="14" t="s">
        <v>534</v>
      </c>
      <c r="B519" s="5" t="s">
        <v>981</v>
      </c>
      <c r="C519" s="6" t="s">
        <v>982</v>
      </c>
      <c r="D519" s="13">
        <v>130</v>
      </c>
      <c r="E519" s="11">
        <f>Tabelle1[[#This Row],[Energie '[kcal/100g']]]/239</f>
        <v>0.54393305439330542</v>
      </c>
      <c r="F519" s="13">
        <v>5.4</v>
      </c>
      <c r="G519" s="11">
        <f>Tabelle1[[#This Row],[Rohprotein '[g/100g']]]*0.85</f>
        <v>4.59</v>
      </c>
      <c r="H519" s="13">
        <v>1.1100000000000001</v>
      </c>
      <c r="I519" s="11">
        <f>Tabelle1[[#This Row],[TS]]-Tabelle1[[#This Row],[Rohprotein '[g/100g']]]-Tabelle1[[#This Row],[Rohfett '[g/100g']]]-Tabelle1[[#This Row],[Rohasche '[g/100g']]]-Tabelle1[[#This Row],[Rohfaser '[g/100g']]]</f>
        <v>25.590000000000007</v>
      </c>
      <c r="J519" s="11">
        <v>0</v>
      </c>
      <c r="K519" s="13">
        <v>0.3</v>
      </c>
      <c r="L519" s="13">
        <v>67.599999999999994</v>
      </c>
      <c r="M519" s="13">
        <f>100-Tabelle1[[#This Row],[Wasser '[g/100g']]]</f>
        <v>32.400000000000006</v>
      </c>
      <c r="N519" s="13">
        <v>13</v>
      </c>
      <c r="O519" s="13">
        <v>130</v>
      </c>
      <c r="P519" s="13">
        <v>37</v>
      </c>
      <c r="Q519" s="13">
        <v>1</v>
      </c>
      <c r="R519" s="13">
        <v>103</v>
      </c>
      <c r="S519" s="13"/>
      <c r="T519" s="13">
        <v>1</v>
      </c>
      <c r="U519" s="13">
        <v>1.1000000000000001</v>
      </c>
      <c r="V519" s="11">
        <v>0</v>
      </c>
      <c r="W519" s="13">
        <v>180</v>
      </c>
      <c r="X519" s="13">
        <v>1070</v>
      </c>
      <c r="Y519" s="13">
        <v>0</v>
      </c>
      <c r="Z519" s="13"/>
      <c r="AA519" s="13">
        <v>0</v>
      </c>
      <c r="AB519" s="13">
        <v>0.17</v>
      </c>
      <c r="AC519" s="13">
        <v>0</v>
      </c>
      <c r="AD519" s="13">
        <v>0.1</v>
      </c>
      <c r="AE519" s="13">
        <v>0.04</v>
      </c>
      <c r="AF519" s="13">
        <v>1.7</v>
      </c>
      <c r="AG519" s="13">
        <v>100</v>
      </c>
      <c r="AH519" s="13">
        <v>0</v>
      </c>
      <c r="AI519" s="13">
        <v>0</v>
      </c>
      <c r="AJ519" s="13">
        <v>0.5</v>
      </c>
      <c r="AK519" s="13">
        <v>13</v>
      </c>
      <c r="AL519" s="13">
        <v>1</v>
      </c>
      <c r="AM519" s="13">
        <v>0</v>
      </c>
      <c r="AN519" s="13">
        <v>0.03</v>
      </c>
      <c r="AO519" s="13">
        <v>0</v>
      </c>
      <c r="AP519" s="13">
        <v>0</v>
      </c>
      <c r="AQ519" s="13">
        <v>0.4</v>
      </c>
      <c r="AR519" s="13">
        <v>0.4</v>
      </c>
      <c r="AS519" s="13">
        <v>0.2</v>
      </c>
      <c r="AT519" s="13">
        <v>0.1</v>
      </c>
      <c r="AU519" s="13">
        <v>0.1</v>
      </c>
      <c r="AV519" s="13">
        <v>0.1</v>
      </c>
      <c r="AW519" s="13">
        <v>0.1</v>
      </c>
      <c r="AX519" s="9">
        <f>Tabelle1[[#This Row],[Vitamin D3 '[µg/100g']]]*40</f>
        <v>0</v>
      </c>
      <c r="AY519" s="9">
        <f>Tabelle1[[#This Row],[Vitamin A '[µg/100g']]]*3.33</f>
        <v>0</v>
      </c>
      <c r="AZ519" s="9">
        <f>Tabelle1[[#This Row],[Vitamin E '[mg/100g']]]*1.49</f>
        <v>0.25330000000000003</v>
      </c>
    </row>
    <row r="520" spans="1:52" hidden="1" x14ac:dyDescent="0.45">
      <c r="A520" s="14" t="s">
        <v>534</v>
      </c>
      <c r="B520" s="3" t="s">
        <v>983</v>
      </c>
      <c r="C520" s="4" t="s">
        <v>984</v>
      </c>
      <c r="D520" s="11">
        <v>356</v>
      </c>
      <c r="E520" s="11">
        <f>Tabelle1[[#This Row],[Energie '[kcal/100g']]]/239</f>
        <v>1.4895397489539748</v>
      </c>
      <c r="F520" s="11">
        <v>14.3</v>
      </c>
      <c r="G520" s="11">
        <f>Tabelle1[[#This Row],[Rohprotein '[g/100g']]]*0.85</f>
        <v>12.155000000000001</v>
      </c>
      <c r="H520" s="11">
        <v>2.93</v>
      </c>
      <c r="I520" s="11">
        <f>Tabelle1[[#This Row],[TS]]-Tabelle1[[#This Row],[Rohprotein '[g/100g']]]-Tabelle1[[#This Row],[Rohfett '[g/100g']]]-Tabelle1[[#This Row],[Rohasche '[g/100g']]]-Tabelle1[[#This Row],[Rohfaser '[g/100g']]]</f>
        <v>72.17</v>
      </c>
      <c r="J520" s="11">
        <v>0</v>
      </c>
      <c r="K520" s="11">
        <v>1.6</v>
      </c>
      <c r="L520" s="11">
        <v>9</v>
      </c>
      <c r="M520" s="11">
        <f>100-Tabelle1[[#This Row],[Wasser '[g/100g']]]</f>
        <v>91</v>
      </c>
      <c r="N520" s="11">
        <v>36</v>
      </c>
      <c r="O520" s="11">
        <v>360</v>
      </c>
      <c r="P520" s="11">
        <v>116</v>
      </c>
      <c r="Q520" s="11">
        <v>4</v>
      </c>
      <c r="R520" s="11">
        <v>453</v>
      </c>
      <c r="S520" s="11"/>
      <c r="T520" s="11">
        <v>3.4</v>
      </c>
      <c r="U520" s="11">
        <v>2.9</v>
      </c>
      <c r="V520" s="11">
        <v>0</v>
      </c>
      <c r="W520" s="11">
        <v>520</v>
      </c>
      <c r="X520" s="11">
        <v>2830</v>
      </c>
      <c r="Y520" s="11">
        <v>0</v>
      </c>
      <c r="Z520" s="11"/>
      <c r="AA520" s="11">
        <v>0</v>
      </c>
      <c r="AB520" s="11">
        <v>0.46</v>
      </c>
      <c r="AC520" s="11">
        <v>0</v>
      </c>
      <c r="AD520" s="11">
        <v>0.41</v>
      </c>
      <c r="AE520" s="11">
        <v>0.14000000000000001</v>
      </c>
      <c r="AF520" s="11">
        <v>7.1</v>
      </c>
      <c r="AG520" s="11">
        <v>300</v>
      </c>
      <c r="AH520" s="11">
        <v>0</v>
      </c>
      <c r="AI520" s="11">
        <v>0</v>
      </c>
      <c r="AJ520" s="11">
        <v>1.4</v>
      </c>
      <c r="AK520" s="11">
        <v>50</v>
      </c>
      <c r="AL520" s="11">
        <v>4</v>
      </c>
      <c r="AM520" s="11">
        <v>0</v>
      </c>
      <c r="AN520" s="11">
        <v>7.0000000000000007E-2</v>
      </c>
      <c r="AO520" s="11">
        <v>0</v>
      </c>
      <c r="AP520" s="11">
        <v>0</v>
      </c>
      <c r="AQ520" s="11">
        <v>1.06</v>
      </c>
      <c r="AR520" s="11">
        <v>1.06</v>
      </c>
      <c r="AS520" s="11">
        <v>0.6</v>
      </c>
      <c r="AT520" s="11">
        <v>0.3</v>
      </c>
      <c r="AU520" s="11">
        <v>0.3</v>
      </c>
      <c r="AV520" s="11">
        <v>0.3</v>
      </c>
      <c r="AW520" s="11">
        <v>0.2</v>
      </c>
      <c r="AX520" s="9">
        <f>Tabelle1[[#This Row],[Vitamin D3 '[µg/100g']]]*40</f>
        <v>0</v>
      </c>
      <c r="AY520" s="9">
        <f>Tabelle1[[#This Row],[Vitamin A '[µg/100g']]]*3.33</f>
        <v>0</v>
      </c>
      <c r="AZ520" s="9">
        <f>Tabelle1[[#This Row],[Vitamin E '[mg/100g']]]*1.49</f>
        <v>0.68540000000000001</v>
      </c>
    </row>
    <row r="521" spans="1:52" hidden="1" x14ac:dyDescent="0.45">
      <c r="A521" t="s">
        <v>58</v>
      </c>
      <c r="B521" s="3" t="s">
        <v>349</v>
      </c>
      <c r="C521" s="4" t="s">
        <v>350</v>
      </c>
      <c r="D521" s="11">
        <v>178</v>
      </c>
      <c r="E521" s="13">
        <f>Tabelle1[[#This Row],[Energie '[kcal/100g']]]/239</f>
        <v>0.74476987447698739</v>
      </c>
      <c r="F521" s="11">
        <v>34.4</v>
      </c>
      <c r="G521" s="13">
        <f>Tabelle1[[#This Row],[Rohprotein '[g/100g']]]*0.85</f>
        <v>29.24</v>
      </c>
      <c r="H521" s="11">
        <v>4.53</v>
      </c>
      <c r="I521" s="11">
        <f>Tabelle1[[#This Row],[TS]]-Tabelle1[[#This Row],[Rohprotein '[g/100g']]]-Tabelle1[[#This Row],[Rohfett '[g/100g']]]-Tabelle1[[#This Row],[Rohasche '[g/100g']]]-Tabelle1[[#This Row],[Rohfaser '[g/100g']]]</f>
        <v>2.3100000000000023</v>
      </c>
      <c r="J521" s="11">
        <v>0</v>
      </c>
      <c r="K521" s="11">
        <v>1.86</v>
      </c>
      <c r="L521" s="11">
        <v>56.9</v>
      </c>
      <c r="M521" s="11">
        <f>100-Tabelle1[[#This Row],[Wasser '[g/100g']]]</f>
        <v>43.1</v>
      </c>
      <c r="N521" s="11">
        <v>20</v>
      </c>
      <c r="O521" s="11">
        <v>393</v>
      </c>
      <c r="P521" s="11">
        <v>32</v>
      </c>
      <c r="Q521" s="11">
        <v>65</v>
      </c>
      <c r="R521" s="11">
        <v>321</v>
      </c>
      <c r="S521" s="11"/>
      <c r="T521" s="11">
        <v>6.62</v>
      </c>
      <c r="U521" s="11">
        <v>4.2</v>
      </c>
      <c r="V521" s="11">
        <v>0</v>
      </c>
      <c r="W521" s="11">
        <v>705</v>
      </c>
      <c r="X521" s="11">
        <v>30</v>
      </c>
      <c r="Y521" s="13">
        <v>0</v>
      </c>
      <c r="Z521" s="13"/>
      <c r="AA521" s="11">
        <v>0.3</v>
      </c>
      <c r="AB521" s="11">
        <v>0.80110000000000003</v>
      </c>
      <c r="AC521" s="11">
        <v>17</v>
      </c>
      <c r="AD521" s="11">
        <v>0.28299999999999997</v>
      </c>
      <c r="AE521" s="11">
        <v>0.31900000000000001</v>
      </c>
      <c r="AF521" s="11">
        <v>10.5</v>
      </c>
      <c r="AG521" s="11">
        <v>550</v>
      </c>
      <c r="AH521" s="11">
        <v>0.49</v>
      </c>
      <c r="AI521" s="11">
        <v>9</v>
      </c>
      <c r="AJ521" s="11">
        <v>5.47</v>
      </c>
      <c r="AK521" s="11">
        <v>6</v>
      </c>
      <c r="AL521" s="11">
        <v>1.02</v>
      </c>
      <c r="AM521" s="11">
        <v>0</v>
      </c>
      <c r="AN521" s="11">
        <v>0.03</v>
      </c>
      <c r="AO521" s="11">
        <v>0.01</v>
      </c>
      <c r="AP521" s="11">
        <v>0</v>
      </c>
      <c r="AQ521" s="11">
        <v>0</v>
      </c>
      <c r="AR521" s="11">
        <v>0</v>
      </c>
      <c r="AS521" s="11">
        <v>2.1800000000000002</v>
      </c>
      <c r="AT521" s="11">
        <v>0.6</v>
      </c>
      <c r="AU521" s="11">
        <v>1.302</v>
      </c>
      <c r="AV521" s="11">
        <v>3</v>
      </c>
      <c r="AW521" s="11">
        <v>1.087</v>
      </c>
      <c r="AX521" s="9">
        <f>Tabelle1[[#This Row],[Vitamin D3 '[µg/100g']]]*40</f>
        <v>12</v>
      </c>
      <c r="AY521" s="9">
        <f>Tabelle1[[#This Row],[Vitamin A '[µg/100g']]]*3.33</f>
        <v>56.61</v>
      </c>
      <c r="AZ521" s="9">
        <f>Tabelle1[[#This Row],[Vitamin E '[mg/100g']]]*1.49</f>
        <v>1.1936390000000001</v>
      </c>
    </row>
    <row r="522" spans="1:52" hidden="1" x14ac:dyDescent="0.45">
      <c r="A522" t="s">
        <v>58</v>
      </c>
      <c r="B522" s="3" t="s">
        <v>351</v>
      </c>
      <c r="C522" s="4" t="s">
        <v>352</v>
      </c>
      <c r="D522" s="11">
        <v>155</v>
      </c>
      <c r="E522" s="13">
        <f>Tabelle1[[#This Row],[Energie '[kcal/100g']]]/239</f>
        <v>0.64853556485355646</v>
      </c>
      <c r="F522" s="11">
        <v>29.7</v>
      </c>
      <c r="G522" s="13">
        <f>Tabelle1[[#This Row],[Rohprotein '[g/100g']]]*0.85</f>
        <v>25.244999999999997</v>
      </c>
      <c r="H522" s="11">
        <v>4.03</v>
      </c>
      <c r="I522" s="11">
        <f>Tabelle1[[#This Row],[TS]]-Tabelle1[[#This Row],[Rohprotein '[g/100g']]]-Tabelle1[[#This Row],[Rohfett '[g/100g']]]-Tabelle1[[#This Row],[Rohasche '[g/100g']]]-Tabelle1[[#This Row],[Rohfaser '[g/100g']]]</f>
        <v>2.3200000000000034</v>
      </c>
      <c r="J522" s="11">
        <v>0</v>
      </c>
      <c r="K522" s="11">
        <v>1.65</v>
      </c>
      <c r="L522" s="11">
        <v>62.3</v>
      </c>
      <c r="M522" s="11">
        <f>100-Tabelle1[[#This Row],[Wasser '[g/100g']]]</f>
        <v>37.700000000000003</v>
      </c>
      <c r="N522" s="11">
        <v>18</v>
      </c>
      <c r="O522" s="11">
        <v>362</v>
      </c>
      <c r="P522" s="11">
        <v>28</v>
      </c>
      <c r="Q522" s="11">
        <v>60</v>
      </c>
      <c r="R522" s="11">
        <v>338</v>
      </c>
      <c r="S522" s="11"/>
      <c r="T522" s="11">
        <v>5.95</v>
      </c>
      <c r="U522" s="11">
        <v>3.8</v>
      </c>
      <c r="V522" s="11">
        <v>0</v>
      </c>
      <c r="W522" s="11">
        <v>701</v>
      </c>
      <c r="X522" s="11">
        <v>26</v>
      </c>
      <c r="Y522" s="13">
        <v>0</v>
      </c>
      <c r="Z522" s="13"/>
      <c r="AA522" s="11">
        <v>0.3</v>
      </c>
      <c r="AB522" s="11">
        <v>0.8901</v>
      </c>
      <c r="AC522" s="11">
        <v>270.7</v>
      </c>
      <c r="AD522" s="11">
        <v>0.27500000000000002</v>
      </c>
      <c r="AE522" s="11">
        <v>0.29299999999999998</v>
      </c>
      <c r="AF522" s="11">
        <v>9.3000000000000007</v>
      </c>
      <c r="AG522" s="11">
        <v>440</v>
      </c>
      <c r="AH522" s="11">
        <v>0.47</v>
      </c>
      <c r="AI522" s="11">
        <v>8</v>
      </c>
      <c r="AJ522" s="11">
        <v>6.07</v>
      </c>
      <c r="AK522" s="11">
        <v>135</v>
      </c>
      <c r="AL522" s="11">
        <v>0.91</v>
      </c>
      <c r="AM522" s="11">
        <v>0</v>
      </c>
      <c r="AN522" s="11">
        <v>0.03</v>
      </c>
      <c r="AO522" s="11">
        <v>0</v>
      </c>
      <c r="AP522" s="11">
        <v>6.6000000000000003E-2</v>
      </c>
      <c r="AQ522" s="11">
        <v>0</v>
      </c>
      <c r="AR522" s="11">
        <v>0</v>
      </c>
      <c r="AS522" s="11">
        <v>1.88</v>
      </c>
      <c r="AT522" s="11">
        <v>0.52</v>
      </c>
      <c r="AU522" s="11">
        <v>1.123</v>
      </c>
      <c r="AV522" s="11">
        <v>2.6</v>
      </c>
      <c r="AW522" s="11">
        <v>0.93799999999999994</v>
      </c>
      <c r="AX522" s="9">
        <f>Tabelle1[[#This Row],[Vitamin D3 '[µg/100g']]]*40</f>
        <v>12</v>
      </c>
      <c r="AY522" s="9">
        <f>Tabelle1[[#This Row],[Vitamin A '[µg/100g']]]*3.33</f>
        <v>901.43099999999993</v>
      </c>
      <c r="AZ522" s="9">
        <f>Tabelle1[[#This Row],[Vitamin E '[mg/100g']]]*1.49</f>
        <v>1.326249</v>
      </c>
    </row>
    <row r="523" spans="1:52" hidden="1" x14ac:dyDescent="0.45">
      <c r="A523" t="s">
        <v>58</v>
      </c>
      <c r="B523" s="3" t="s">
        <v>353</v>
      </c>
      <c r="C523" s="4" t="s">
        <v>354</v>
      </c>
      <c r="D523" s="11">
        <v>184</v>
      </c>
      <c r="E523" s="13">
        <f>Tabelle1[[#This Row],[Energie '[kcal/100g']]]/239</f>
        <v>0.76987447698744771</v>
      </c>
      <c r="F523" s="11">
        <v>36.5</v>
      </c>
      <c r="G523" s="13">
        <f>Tabelle1[[#This Row],[Rohprotein '[g/100g']]]*0.85</f>
        <v>31.024999999999999</v>
      </c>
      <c r="H523" s="11">
        <v>4.28</v>
      </c>
      <c r="I523" s="11">
        <f>Tabelle1[[#This Row],[TS]]-Tabelle1[[#This Row],[Rohprotein '[g/100g']]]-Tabelle1[[#This Row],[Rohfett '[g/100g']]]-Tabelle1[[#This Row],[Rohasche '[g/100g']]]-Tabelle1[[#This Row],[Rohfaser '[g/100g']]]</f>
        <v>2.3399999999999972</v>
      </c>
      <c r="J523" s="11">
        <v>0</v>
      </c>
      <c r="K523" s="11">
        <v>1.68</v>
      </c>
      <c r="L523" s="11">
        <v>55.2</v>
      </c>
      <c r="M523" s="11">
        <f>100-Tabelle1[[#This Row],[Wasser '[g/100g']]]</f>
        <v>44.8</v>
      </c>
      <c r="N523" s="11">
        <v>20</v>
      </c>
      <c r="O523" s="11">
        <v>391</v>
      </c>
      <c r="P523" s="11">
        <v>32</v>
      </c>
      <c r="Q523" s="11">
        <v>37</v>
      </c>
      <c r="R523" s="11">
        <v>245</v>
      </c>
      <c r="S523" s="11"/>
      <c r="T523" s="11">
        <v>6.56</v>
      </c>
      <c r="U523" s="11">
        <v>4.7</v>
      </c>
      <c r="V523" s="11">
        <v>0</v>
      </c>
      <c r="W523" s="11">
        <v>540</v>
      </c>
      <c r="X523" s="11">
        <v>35</v>
      </c>
      <c r="Y523" s="13">
        <v>0</v>
      </c>
      <c r="Z523" s="13"/>
      <c r="AA523" s="11">
        <v>0.3</v>
      </c>
      <c r="AB523" s="11">
        <v>0.90110000000000001</v>
      </c>
      <c r="AC523" s="11">
        <v>67</v>
      </c>
      <c r="AD523" s="11">
        <v>0.247</v>
      </c>
      <c r="AE523" s="11">
        <v>0.38300000000000001</v>
      </c>
      <c r="AF523" s="11">
        <v>8.9</v>
      </c>
      <c r="AG523" s="11">
        <v>580</v>
      </c>
      <c r="AH523" s="11">
        <v>0.43</v>
      </c>
      <c r="AI523" s="11">
        <v>9.9</v>
      </c>
      <c r="AJ523" s="11">
        <v>6.15</v>
      </c>
      <c r="AK523" s="11">
        <v>15</v>
      </c>
      <c r="AL523" s="11">
        <v>1.07</v>
      </c>
      <c r="AM523" s="11">
        <v>0</v>
      </c>
      <c r="AN523" s="11">
        <v>0.03</v>
      </c>
      <c r="AO523" s="11">
        <v>0</v>
      </c>
      <c r="AP523" s="11">
        <v>1.6E-2</v>
      </c>
      <c r="AQ523" s="11">
        <v>0</v>
      </c>
      <c r="AR523" s="11">
        <v>0</v>
      </c>
      <c r="AS523" s="11">
        <v>2.31</v>
      </c>
      <c r="AT523" s="11">
        <v>0.64</v>
      </c>
      <c r="AU523" s="11">
        <v>1.38</v>
      </c>
      <c r="AV523" s="11">
        <v>3.2</v>
      </c>
      <c r="AW523" s="11">
        <v>1.153</v>
      </c>
      <c r="AX523" s="9">
        <f>Tabelle1[[#This Row],[Vitamin D3 '[µg/100g']]]*40</f>
        <v>12</v>
      </c>
      <c r="AY523" s="9">
        <f>Tabelle1[[#This Row],[Vitamin A '[µg/100g']]]*3.33</f>
        <v>223.11</v>
      </c>
      <c r="AZ523" s="9">
        <f>Tabelle1[[#This Row],[Vitamin E '[mg/100g']]]*1.49</f>
        <v>1.3426389999999999</v>
      </c>
    </row>
    <row r="524" spans="1:52" hidden="1" x14ac:dyDescent="0.45">
      <c r="A524" t="s">
        <v>58</v>
      </c>
      <c r="B524" s="3" t="s">
        <v>355</v>
      </c>
      <c r="C524" s="4" t="s">
        <v>356</v>
      </c>
      <c r="D524" s="11">
        <v>128</v>
      </c>
      <c r="E524" s="13">
        <f>Tabelle1[[#This Row],[Energie '[kcal/100g']]]/239</f>
        <v>0.53556485355648531</v>
      </c>
      <c r="F524" s="11">
        <v>21.8</v>
      </c>
      <c r="G524" s="13">
        <f>Tabelle1[[#This Row],[Rohprotein '[g/100g']]]*0.85</f>
        <v>18.53</v>
      </c>
      <c r="H524" s="11">
        <v>4.53</v>
      </c>
      <c r="I524" s="11">
        <f>Tabelle1[[#This Row],[TS]]-Tabelle1[[#This Row],[Rohprotein '[g/100g']]]-Tabelle1[[#This Row],[Rohfett '[g/100g']]]-Tabelle1[[#This Row],[Rohasche '[g/100g']]]-Tabelle1[[#This Row],[Rohfaser '[g/100g']]]</f>
        <v>2.3499999999999988</v>
      </c>
      <c r="J524" s="11">
        <v>0</v>
      </c>
      <c r="K524" s="11">
        <v>1.32</v>
      </c>
      <c r="L524" s="11">
        <v>70</v>
      </c>
      <c r="M524" s="11">
        <f>100-Tabelle1[[#This Row],[Wasser '[g/100g']]]</f>
        <v>30</v>
      </c>
      <c r="N524" s="11">
        <v>13</v>
      </c>
      <c r="O524" s="11">
        <v>307</v>
      </c>
      <c r="P524" s="11">
        <v>25</v>
      </c>
      <c r="Q524" s="11">
        <v>51</v>
      </c>
      <c r="R524" s="11">
        <v>270</v>
      </c>
      <c r="S524" s="11"/>
      <c r="T524" s="11">
        <v>4.51</v>
      </c>
      <c r="U524" s="11">
        <v>2.7</v>
      </c>
      <c r="V524" s="11">
        <v>0</v>
      </c>
      <c r="W524" s="11">
        <v>594</v>
      </c>
      <c r="X524" s="11">
        <v>19</v>
      </c>
      <c r="Y524" s="13">
        <v>0</v>
      </c>
      <c r="Z524" s="13"/>
      <c r="AA524" s="11">
        <v>0.3</v>
      </c>
      <c r="AB524" s="11">
        <v>0.85450000000000004</v>
      </c>
      <c r="AC524" s="11">
        <v>15</v>
      </c>
      <c r="AD524" s="11">
        <v>0.28299999999999997</v>
      </c>
      <c r="AE524" s="11">
        <v>0.222</v>
      </c>
      <c r="AF524" s="11">
        <v>8.1999999999999993</v>
      </c>
      <c r="AG524" s="11">
        <v>530</v>
      </c>
      <c r="AH524" s="11">
        <v>0.47</v>
      </c>
      <c r="AI524" s="11">
        <v>7.2</v>
      </c>
      <c r="AJ524" s="11">
        <v>5.83</v>
      </c>
      <c r="AK524" s="11">
        <v>14</v>
      </c>
      <c r="AL524" s="11">
        <v>0.84</v>
      </c>
      <c r="AM524" s="11">
        <v>0</v>
      </c>
      <c r="AN524" s="11">
        <v>0.03</v>
      </c>
      <c r="AO524" s="11">
        <v>0</v>
      </c>
      <c r="AP524" s="11">
        <v>0</v>
      </c>
      <c r="AQ524" s="11">
        <v>0</v>
      </c>
      <c r="AR524" s="11">
        <v>0</v>
      </c>
      <c r="AS524" s="11">
        <v>1.38</v>
      </c>
      <c r="AT524" s="11">
        <v>0.38</v>
      </c>
      <c r="AU524" s="11">
        <v>0.82499999999999996</v>
      </c>
      <c r="AV524" s="11">
        <v>1.9</v>
      </c>
      <c r="AW524" s="11">
        <v>0.68899999999999995</v>
      </c>
      <c r="AX524" s="9">
        <f>Tabelle1[[#This Row],[Vitamin D3 '[µg/100g']]]*40</f>
        <v>12</v>
      </c>
      <c r="AY524" s="9">
        <f>Tabelle1[[#This Row],[Vitamin A '[µg/100g']]]*3.33</f>
        <v>49.95</v>
      </c>
      <c r="AZ524" s="9">
        <f>Tabelle1[[#This Row],[Vitamin E '[mg/100g']]]*1.49</f>
        <v>1.2732050000000001</v>
      </c>
    </row>
    <row r="525" spans="1:52" hidden="1" x14ac:dyDescent="0.45">
      <c r="A525" t="s">
        <v>694</v>
      </c>
      <c r="B525" s="5" t="s">
        <v>688</v>
      </c>
      <c r="C525" s="6" t="s">
        <v>689</v>
      </c>
      <c r="D525" s="13">
        <v>151</v>
      </c>
      <c r="E525" s="11">
        <f>Tabelle1[[#This Row],[Energie '[kcal/100g']]]/239</f>
        <v>0.63179916317991636</v>
      </c>
      <c r="F525" s="13">
        <v>14.507</v>
      </c>
      <c r="G525" s="11">
        <f>Tabelle1[[#This Row],[Rohprotein '[g/100g']]]*0.85</f>
        <v>12.33095</v>
      </c>
      <c r="H525" s="13">
        <v>10.112</v>
      </c>
      <c r="I525" s="11">
        <f>Tabelle1[[#This Row],[TS]]-Tabelle1[[#This Row],[Rohprotein '[g/100g']]]-Tabelle1[[#This Row],[Rohfett '[g/100g']]]-Tabelle1[[#This Row],[Rohasche '[g/100g']]]-Tabelle1[[#This Row],[Rohfaser '[g/100g']]]</f>
        <v>0.62699999999999967</v>
      </c>
      <c r="J525" s="11">
        <v>0</v>
      </c>
      <c r="K525" s="13">
        <v>0.98899999999999999</v>
      </c>
      <c r="L525" s="13">
        <v>73.765000000000001</v>
      </c>
      <c r="M525" s="13">
        <f>100-Tabelle1[[#This Row],[Wasser '[g/100g']]]</f>
        <v>26.234999999999999</v>
      </c>
      <c r="N525" s="13">
        <v>58</v>
      </c>
      <c r="O525" s="13">
        <v>236</v>
      </c>
      <c r="P525" s="13">
        <v>15</v>
      </c>
      <c r="Q525" s="13">
        <v>173</v>
      </c>
      <c r="R525" s="13">
        <v>155</v>
      </c>
      <c r="S525" s="13"/>
      <c r="T525" s="13">
        <v>2</v>
      </c>
      <c r="U525" s="13">
        <v>1.44</v>
      </c>
      <c r="V525" s="11">
        <v>0</v>
      </c>
      <c r="W525" s="13">
        <v>66</v>
      </c>
      <c r="X525" s="13">
        <v>40</v>
      </c>
      <c r="Y525" s="13">
        <v>46.4</v>
      </c>
      <c r="Z525" s="13"/>
      <c r="AA525" s="13">
        <v>1.9</v>
      </c>
      <c r="AB525" s="13">
        <v>1.341</v>
      </c>
      <c r="AC525" s="13">
        <v>18.399999999999999</v>
      </c>
      <c r="AD525" s="13">
        <v>7.9000000000000001E-2</v>
      </c>
      <c r="AE525" s="13">
        <v>0.47799999999999998</v>
      </c>
      <c r="AF525" s="13">
        <v>5.3999999999999999E-2</v>
      </c>
      <c r="AG525" s="13">
        <v>87.06</v>
      </c>
      <c r="AH525" s="13">
        <v>2.9</v>
      </c>
      <c r="AI525" s="13">
        <v>0</v>
      </c>
      <c r="AJ525" s="13">
        <v>9</v>
      </c>
      <c r="AK525" s="13">
        <v>5.5</v>
      </c>
      <c r="AL525" s="13">
        <v>19.7</v>
      </c>
      <c r="AM525" s="13">
        <v>0</v>
      </c>
      <c r="AN525" s="13">
        <v>0.14099999999999999</v>
      </c>
      <c r="AO525" s="13">
        <v>0</v>
      </c>
      <c r="AP525" s="13">
        <v>0</v>
      </c>
      <c r="AQ525" s="13">
        <v>1.4390000000000001</v>
      </c>
      <c r="AR525" s="13">
        <v>1.2789999999999999</v>
      </c>
      <c r="AS525" s="13">
        <v>0.86799999999999999</v>
      </c>
      <c r="AT525" s="13">
        <v>0.32400000000000001</v>
      </c>
      <c r="AU525" s="13">
        <v>0.36199999999999999</v>
      </c>
      <c r="AV525" s="13">
        <v>1.0780000000000001</v>
      </c>
      <c r="AW525" s="13">
        <v>0.65300000000000002</v>
      </c>
      <c r="AX525" s="9">
        <f>Tabelle1[[#This Row],[Vitamin D3 '[µg/100g']]]*40</f>
        <v>76</v>
      </c>
      <c r="AY525" s="9">
        <f>Tabelle1[[#This Row],[Vitamin A '[µg/100g']]]*3.33</f>
        <v>61.271999999999998</v>
      </c>
      <c r="AZ525" s="9">
        <f>Tabelle1[[#This Row],[Vitamin E '[mg/100g']]]*1.49</f>
        <v>1.9980899999999999</v>
      </c>
    </row>
    <row r="526" spans="1:52" hidden="1" x14ac:dyDescent="0.45">
      <c r="A526" t="s">
        <v>694</v>
      </c>
      <c r="B526" s="5" t="s">
        <v>690</v>
      </c>
      <c r="C526" s="6" t="s">
        <v>691</v>
      </c>
      <c r="D526" s="13">
        <v>135</v>
      </c>
      <c r="E526" s="11">
        <f>Tabelle1[[#This Row],[Energie '[kcal/100g']]]/239</f>
        <v>0.56485355648535562</v>
      </c>
      <c r="F526" s="13">
        <v>13.175000000000001</v>
      </c>
      <c r="G526" s="11">
        <f>Tabelle1[[#This Row],[Rohprotein '[g/100g']]]*0.85</f>
        <v>11.19875</v>
      </c>
      <c r="H526" s="13">
        <v>9</v>
      </c>
      <c r="I526" s="11">
        <f>Tabelle1[[#This Row],[TS]]-Tabelle1[[#This Row],[Rohprotein '[g/100g']]]-Tabelle1[[#This Row],[Rohfett '[g/100g']]]-Tabelle1[[#This Row],[Rohasche '[g/100g']]]-Tabelle1[[#This Row],[Rohfaser '[g/100g']]]</f>
        <v>0.58499999999999985</v>
      </c>
      <c r="J526" s="11">
        <v>0</v>
      </c>
      <c r="K526" s="13">
        <v>0.88</v>
      </c>
      <c r="L526" s="13">
        <v>76.36</v>
      </c>
      <c r="M526" s="13">
        <f>100-Tabelle1[[#This Row],[Wasser '[g/100g']]]</f>
        <v>23.64</v>
      </c>
      <c r="N526" s="13">
        <v>52</v>
      </c>
      <c r="O526" s="13">
        <v>210</v>
      </c>
      <c r="P526" s="13">
        <v>13</v>
      </c>
      <c r="Q526" s="13">
        <v>154</v>
      </c>
      <c r="R526" s="13">
        <v>138</v>
      </c>
      <c r="S526" s="13"/>
      <c r="T526" s="13">
        <v>1.8</v>
      </c>
      <c r="U526" s="13">
        <v>1.28</v>
      </c>
      <c r="V526" s="11">
        <v>0</v>
      </c>
      <c r="W526" s="13">
        <v>59</v>
      </c>
      <c r="X526" s="13">
        <v>40</v>
      </c>
      <c r="Y526" s="13">
        <v>41.3</v>
      </c>
      <c r="Z526" s="13"/>
      <c r="AA526" s="13">
        <v>1.7</v>
      </c>
      <c r="AB526" s="13">
        <v>1.23</v>
      </c>
      <c r="AC526" s="13">
        <v>4</v>
      </c>
      <c r="AD526" s="13">
        <v>6.8000000000000005E-2</v>
      </c>
      <c r="AE526" s="13">
        <v>0.45</v>
      </c>
      <c r="AF526" s="13">
        <v>4.5999999999999999E-2</v>
      </c>
      <c r="AG526" s="13">
        <v>77.48</v>
      </c>
      <c r="AH526" s="13">
        <v>2.4</v>
      </c>
      <c r="AI526" s="13">
        <v>0</v>
      </c>
      <c r="AJ526" s="13">
        <v>8</v>
      </c>
      <c r="AK526" s="13">
        <v>6</v>
      </c>
      <c r="AL526" s="13">
        <v>15.6</v>
      </c>
      <c r="AM526" s="13">
        <v>0</v>
      </c>
      <c r="AN526" s="13">
        <v>0.126</v>
      </c>
      <c r="AO526" s="13">
        <v>0</v>
      </c>
      <c r="AP526" s="13">
        <v>0</v>
      </c>
      <c r="AQ526" s="13">
        <v>1.28</v>
      </c>
      <c r="AR526" s="13">
        <v>1.1379999999999999</v>
      </c>
      <c r="AS526" s="13">
        <v>0.78800000000000003</v>
      </c>
      <c r="AT526" s="13">
        <v>0.29399999999999998</v>
      </c>
      <c r="AU526" s="13">
        <v>0.32900000000000001</v>
      </c>
      <c r="AV526" s="13">
        <v>0.97899999999999998</v>
      </c>
      <c r="AW526" s="13">
        <v>0.59299999999999997</v>
      </c>
      <c r="AX526" s="9">
        <f>Tabelle1[[#This Row],[Vitamin D3 '[µg/100g']]]*40</f>
        <v>68</v>
      </c>
      <c r="AY526" s="9">
        <f>Tabelle1[[#This Row],[Vitamin A '[µg/100g']]]*3.33</f>
        <v>13.32</v>
      </c>
      <c r="AZ526" s="9">
        <f>Tabelle1[[#This Row],[Vitamin E '[mg/100g']]]*1.49</f>
        <v>1.8327</v>
      </c>
    </row>
    <row r="527" spans="1:52" hidden="1" x14ac:dyDescent="0.45">
      <c r="A527" t="s">
        <v>694</v>
      </c>
      <c r="B527" s="3" t="s">
        <v>692</v>
      </c>
      <c r="C527" s="4" t="s">
        <v>693</v>
      </c>
      <c r="D527" s="11">
        <v>135</v>
      </c>
      <c r="E527" s="11">
        <f>Tabelle1[[#This Row],[Energie '[kcal/100g']]]/239</f>
        <v>0.56485355648535562</v>
      </c>
      <c r="F527" s="11">
        <v>13.175000000000001</v>
      </c>
      <c r="G527" s="11">
        <f>Tabelle1[[#This Row],[Rohprotein '[g/100g']]]*0.85</f>
        <v>11.19875</v>
      </c>
      <c r="H527" s="11">
        <v>9</v>
      </c>
      <c r="I527" s="11">
        <f>Tabelle1[[#This Row],[TS]]-Tabelle1[[#This Row],[Rohprotein '[g/100g']]]-Tabelle1[[#This Row],[Rohfett '[g/100g']]]-Tabelle1[[#This Row],[Rohasche '[g/100g']]]-Tabelle1[[#This Row],[Rohfaser '[g/100g']]]</f>
        <v>0.58499999999999985</v>
      </c>
      <c r="J527" s="11">
        <v>0</v>
      </c>
      <c r="K527" s="11">
        <v>0.88</v>
      </c>
      <c r="L527" s="11">
        <v>76.36</v>
      </c>
      <c r="M527" s="11">
        <f>100-Tabelle1[[#This Row],[Wasser '[g/100g']]]</f>
        <v>23.64</v>
      </c>
      <c r="N527" s="11">
        <v>52</v>
      </c>
      <c r="O527" s="11">
        <v>210</v>
      </c>
      <c r="P527" s="11">
        <v>13</v>
      </c>
      <c r="Q527" s="11">
        <v>154</v>
      </c>
      <c r="R527" s="11">
        <v>138</v>
      </c>
      <c r="S527" s="11"/>
      <c r="T527" s="11">
        <v>1.8</v>
      </c>
      <c r="U527" s="11">
        <v>1.28</v>
      </c>
      <c r="V527" s="11">
        <v>0</v>
      </c>
      <c r="W527" s="11">
        <v>59</v>
      </c>
      <c r="X527" s="11">
        <v>40</v>
      </c>
      <c r="Y527" s="11">
        <v>43.5</v>
      </c>
      <c r="Z527" s="11"/>
      <c r="AA527" s="11">
        <v>1.8</v>
      </c>
      <c r="AB527" s="11">
        <v>1.23</v>
      </c>
      <c r="AC527" s="11">
        <v>140</v>
      </c>
      <c r="AD527" s="11">
        <v>0.08</v>
      </c>
      <c r="AE527" s="11">
        <v>0.5</v>
      </c>
      <c r="AF527" s="11">
        <v>0.05</v>
      </c>
      <c r="AG527" s="11">
        <v>88.05</v>
      </c>
      <c r="AH527" s="11">
        <v>2.7</v>
      </c>
      <c r="AI527" s="11">
        <v>0</v>
      </c>
      <c r="AJ527" s="11">
        <v>8</v>
      </c>
      <c r="AK527" s="11">
        <v>18</v>
      </c>
      <c r="AL527" s="11">
        <v>19.5</v>
      </c>
      <c r="AM527" s="11">
        <v>0</v>
      </c>
      <c r="AN527" s="11">
        <v>0.126</v>
      </c>
      <c r="AO527" s="11">
        <v>1E-3</v>
      </c>
      <c r="AP527" s="11">
        <v>1.4999999999999999E-2</v>
      </c>
      <c r="AQ527" s="11">
        <v>1.28</v>
      </c>
      <c r="AR527" s="11">
        <v>1.1379999999999999</v>
      </c>
      <c r="AS527" s="11">
        <v>0.78800000000000003</v>
      </c>
      <c r="AT527" s="11">
        <v>0.29399999999999998</v>
      </c>
      <c r="AU527" s="11">
        <v>0.32900000000000001</v>
      </c>
      <c r="AV527" s="11">
        <v>0.97899999999999998</v>
      </c>
      <c r="AW527" s="11">
        <v>0.59299999999999997</v>
      </c>
      <c r="AX527" s="9">
        <f>Tabelle1[[#This Row],[Vitamin D3 '[µg/100g']]]*40</f>
        <v>72</v>
      </c>
      <c r="AY527" s="9">
        <f>Tabelle1[[#This Row],[Vitamin A '[µg/100g']]]*3.33</f>
        <v>466.2</v>
      </c>
      <c r="AZ527" s="9">
        <f>Tabelle1[[#This Row],[Vitamin E '[mg/100g']]]*1.49</f>
        <v>1.8327</v>
      </c>
    </row>
    <row r="528" spans="1:52" hidden="1" x14ac:dyDescent="0.45">
      <c r="A528" t="s">
        <v>916</v>
      </c>
      <c r="B528" s="3" t="s">
        <v>912</v>
      </c>
      <c r="C528" s="4" t="s">
        <v>913</v>
      </c>
      <c r="D528" s="11">
        <v>43</v>
      </c>
      <c r="E528" s="11">
        <f>Tabelle1[[#This Row],[Energie '[kcal/100g']]]/239</f>
        <v>0.1799163179916318</v>
      </c>
      <c r="F528" s="11">
        <v>1</v>
      </c>
      <c r="G528" s="11">
        <f>Tabelle1[[#This Row],[Rohprotein '[g/100g']]]*0.85</f>
        <v>0.85</v>
      </c>
      <c r="H528" s="11">
        <v>0.3</v>
      </c>
      <c r="I528" s="11">
        <f>Tabelle1[[#This Row],[TS]]-Tabelle1[[#This Row],[Rohprotein '[g/100g']]]-Tabelle1[[#This Row],[Rohfett '[g/100g']]]-Tabelle1[[#This Row],[Rohasche '[g/100g']]]-Tabelle1[[#This Row],[Rohfaser '[g/100g']]]</f>
        <v>12.200000000000005</v>
      </c>
      <c r="J528" s="11">
        <v>0</v>
      </c>
      <c r="K528" s="11">
        <v>0.4</v>
      </c>
      <c r="L528" s="11">
        <v>86.1</v>
      </c>
      <c r="M528" s="11">
        <f>100-Tabelle1[[#This Row],[Wasser '[g/100g']]]</f>
        <v>13.900000000000006</v>
      </c>
      <c r="N528" s="11">
        <v>13</v>
      </c>
      <c r="O528" s="11">
        <v>28</v>
      </c>
      <c r="P528" s="11">
        <v>18</v>
      </c>
      <c r="Q528" s="11">
        <v>0.5</v>
      </c>
      <c r="R528" s="11">
        <v>172</v>
      </c>
      <c r="S528" s="11"/>
      <c r="T528" s="11">
        <v>0.6</v>
      </c>
      <c r="U528" s="11">
        <v>0.3</v>
      </c>
      <c r="V528" s="11">
        <v>0</v>
      </c>
      <c r="W528" s="11">
        <v>70</v>
      </c>
      <c r="X528" s="11">
        <v>440</v>
      </c>
      <c r="Y528" s="11">
        <v>4.4000000000000004</v>
      </c>
      <c r="Z528" s="11"/>
      <c r="AA528" s="11">
        <v>0</v>
      </c>
      <c r="AB528" s="11">
        <v>0.79</v>
      </c>
      <c r="AC528" s="11">
        <v>4</v>
      </c>
      <c r="AD528" s="11">
        <v>0.01</v>
      </c>
      <c r="AE528" s="11">
        <v>0.01</v>
      </c>
      <c r="AF528" s="11">
        <v>0.5</v>
      </c>
      <c r="AG528" s="11">
        <v>90</v>
      </c>
      <c r="AH528" s="11">
        <v>0</v>
      </c>
      <c r="AI528" s="11">
        <v>24</v>
      </c>
      <c r="AJ528" s="11">
        <v>9</v>
      </c>
      <c r="AK528" s="11">
        <v>44</v>
      </c>
      <c r="AL528" s="11">
        <v>1.6</v>
      </c>
      <c r="AM528" s="11">
        <v>0</v>
      </c>
      <c r="AN528" s="11">
        <v>6.5000000000000002E-2</v>
      </c>
      <c r="AO528" s="11">
        <v>0</v>
      </c>
      <c r="AP528" s="11">
        <v>0</v>
      </c>
      <c r="AQ528" s="11">
        <v>0.13</v>
      </c>
      <c r="AR528" s="11">
        <v>0.13</v>
      </c>
      <c r="AS528" s="11">
        <v>0</v>
      </c>
      <c r="AT528" s="11">
        <v>0</v>
      </c>
      <c r="AU528" s="11">
        <v>0</v>
      </c>
      <c r="AV528" s="11">
        <v>0.1</v>
      </c>
      <c r="AW528" s="11">
        <v>0</v>
      </c>
      <c r="AX528" s="9">
        <f>Tabelle1[[#This Row],[Vitamin D3 '[µg/100g']]]*40</f>
        <v>0</v>
      </c>
      <c r="AY528" s="9">
        <f>Tabelle1[[#This Row],[Vitamin A '[µg/100g']]]*3.33</f>
        <v>13.32</v>
      </c>
      <c r="AZ528" s="9">
        <f>Tabelle1[[#This Row],[Vitamin E '[mg/100g']]]*1.49</f>
        <v>1.1771</v>
      </c>
    </row>
    <row r="529" spans="1:52" hidden="1" x14ac:dyDescent="0.45">
      <c r="A529" t="s">
        <v>934</v>
      </c>
      <c r="B529" s="3" t="s">
        <v>930</v>
      </c>
      <c r="C529" s="4" t="s">
        <v>931</v>
      </c>
      <c r="D529" s="11">
        <v>721</v>
      </c>
      <c r="E529" s="11">
        <f>Tabelle1[[#This Row],[Energie '[kcal/100g']]]/239</f>
        <v>3.01673640167364</v>
      </c>
      <c r="F529" s="11">
        <v>16.07</v>
      </c>
      <c r="G529" s="11">
        <f>Tabelle1[[#This Row],[Rohprotein '[g/100g']]]*0.85</f>
        <v>13.6595</v>
      </c>
      <c r="H529" s="11">
        <v>70.599999999999994</v>
      </c>
      <c r="I529" s="11">
        <f>Tabelle1[[#This Row],[TS]]-Tabelle1[[#This Row],[Rohprotein '[g/100g']]]-Tabelle1[[#This Row],[Rohfett '[g/100g']]]-Tabelle1[[#This Row],[Rohasche '[g/100g']]]-Tabelle1[[#This Row],[Rohfaser '[g/100g']]]</f>
        <v>7.5399999999999956</v>
      </c>
      <c r="J529" s="11">
        <v>0</v>
      </c>
      <c r="K529" s="11">
        <v>1.59</v>
      </c>
      <c r="L529" s="11">
        <v>4.2</v>
      </c>
      <c r="M529" s="11">
        <f>100-Tabelle1[[#This Row],[Wasser '[g/100g']]]</f>
        <v>95.8</v>
      </c>
      <c r="N529" s="11">
        <v>87.3</v>
      </c>
      <c r="O529" s="11">
        <v>320</v>
      </c>
      <c r="P529" s="11">
        <v>140</v>
      </c>
      <c r="Q529" s="11">
        <v>0</v>
      </c>
      <c r="R529" s="11">
        <v>444</v>
      </c>
      <c r="S529" s="11"/>
      <c r="T529" s="11">
        <v>2.78</v>
      </c>
      <c r="U529" s="11">
        <v>2.64</v>
      </c>
      <c r="V529" s="11">
        <v>0</v>
      </c>
      <c r="W529" s="11">
        <v>1340</v>
      </c>
      <c r="X529" s="11">
        <v>2740</v>
      </c>
      <c r="Y529" s="11">
        <v>3</v>
      </c>
      <c r="Z529" s="11"/>
      <c r="AA529" s="11">
        <v>0</v>
      </c>
      <c r="AB529" s="11">
        <v>1.0900000000000001</v>
      </c>
      <c r="AC529" s="11">
        <v>4</v>
      </c>
      <c r="AD529" s="11">
        <v>0.34</v>
      </c>
      <c r="AE529" s="11">
        <v>0.13</v>
      </c>
      <c r="AF529" s="11">
        <v>1.21</v>
      </c>
      <c r="AG529" s="11">
        <v>600</v>
      </c>
      <c r="AH529" s="11">
        <v>0</v>
      </c>
      <c r="AI529" s="11">
        <v>0</v>
      </c>
      <c r="AJ529" s="11">
        <v>2.63</v>
      </c>
      <c r="AK529" s="11">
        <v>72.8</v>
      </c>
      <c r="AL529" s="11">
        <v>35.5</v>
      </c>
      <c r="AM529" s="11">
        <v>0</v>
      </c>
      <c r="AN529" s="11">
        <v>10.06</v>
      </c>
      <c r="AO529" s="11">
        <v>0</v>
      </c>
      <c r="AP529" s="11">
        <v>0</v>
      </c>
      <c r="AQ529" s="11">
        <v>41.581000000000003</v>
      </c>
      <c r="AR529" s="11">
        <v>41.56</v>
      </c>
      <c r="AS529" s="11">
        <v>2.2000000000000002</v>
      </c>
      <c r="AT529" s="11">
        <v>0.22</v>
      </c>
      <c r="AU529" s="11">
        <v>0.37</v>
      </c>
      <c r="AV529" s="11">
        <v>0.41</v>
      </c>
      <c r="AW529" s="11">
        <v>0.26</v>
      </c>
      <c r="AX529" s="9">
        <f>Tabelle1[[#This Row],[Vitamin D3 '[µg/100g']]]*40</f>
        <v>0</v>
      </c>
      <c r="AY529" s="9">
        <f>Tabelle1[[#This Row],[Vitamin A '[µg/100g']]]*3.33</f>
        <v>13.32</v>
      </c>
      <c r="AZ529" s="9">
        <f>Tabelle1[[#This Row],[Vitamin E '[mg/100g']]]*1.49</f>
        <v>1.6241000000000001</v>
      </c>
    </row>
    <row r="530" spans="1:52" hidden="1" x14ac:dyDescent="0.45">
      <c r="A530" t="s">
        <v>934</v>
      </c>
      <c r="B530" s="3" t="s">
        <v>932</v>
      </c>
      <c r="C530" s="4" t="s">
        <v>933</v>
      </c>
      <c r="D530" s="11">
        <v>718</v>
      </c>
      <c r="E530" s="11">
        <f>Tabelle1[[#This Row],[Energie '[kcal/100g']]]/239</f>
        <v>3.00418410041841</v>
      </c>
      <c r="F530" s="11">
        <v>16.07</v>
      </c>
      <c r="G530" s="11">
        <f>Tabelle1[[#This Row],[Rohprotein '[g/100g']]]*0.85</f>
        <v>13.6595</v>
      </c>
      <c r="H530" s="11">
        <v>70.599999999999994</v>
      </c>
      <c r="I530" s="11">
        <f>Tabelle1[[#This Row],[TS]]-Tabelle1[[#This Row],[Rohprotein '[g/100g']]]-Tabelle1[[#This Row],[Rohfett '[g/100g']]]-Tabelle1[[#This Row],[Rohasche '[g/100g']]]-Tabelle1[[#This Row],[Rohfaser '[g/100g']]]</f>
        <v>6.1400000000000183</v>
      </c>
      <c r="J530" s="11">
        <v>0</v>
      </c>
      <c r="K530" s="11">
        <v>1.59</v>
      </c>
      <c r="L530" s="11">
        <v>5.6</v>
      </c>
      <c r="M530" s="11">
        <f>100-Tabelle1[[#This Row],[Wasser '[g/100g']]]</f>
        <v>94.4</v>
      </c>
      <c r="N530" s="11">
        <v>87.3</v>
      </c>
      <c r="O530" s="11">
        <v>320</v>
      </c>
      <c r="P530" s="11">
        <v>140</v>
      </c>
      <c r="Q530" s="11">
        <v>0</v>
      </c>
      <c r="R530" s="11">
        <v>444</v>
      </c>
      <c r="S530" s="11"/>
      <c r="T530" s="11">
        <v>7.1580000000000004</v>
      </c>
      <c r="U530" s="11">
        <v>5.4260000000000002</v>
      </c>
      <c r="V530" s="11">
        <v>0</v>
      </c>
      <c r="W530" s="11">
        <v>1340</v>
      </c>
      <c r="X530" s="11">
        <v>2740</v>
      </c>
      <c r="Y530" s="11">
        <v>3</v>
      </c>
      <c r="Z530" s="11"/>
      <c r="AA530" s="11">
        <v>0</v>
      </c>
      <c r="AB530" s="11">
        <v>1.0249999999999999</v>
      </c>
      <c r="AC530" s="11">
        <v>2</v>
      </c>
      <c r="AD530" s="11">
        <v>0.17</v>
      </c>
      <c r="AE530" s="11">
        <v>9.0999999999999998E-2</v>
      </c>
      <c r="AF530" s="11">
        <v>0.84699999999999998</v>
      </c>
      <c r="AG530" s="11">
        <v>360</v>
      </c>
      <c r="AH530" s="11">
        <v>0</v>
      </c>
      <c r="AI530" s="11">
        <v>0</v>
      </c>
      <c r="AJ530" s="11">
        <v>1.32</v>
      </c>
      <c r="AK530" s="11">
        <v>36.4</v>
      </c>
      <c r="AL530" s="11">
        <v>33.700000000000003</v>
      </c>
      <c r="AM530" s="11">
        <v>0</v>
      </c>
      <c r="AN530" s="11">
        <v>10.06</v>
      </c>
      <c r="AO530" s="11">
        <v>0</v>
      </c>
      <c r="AP530" s="11">
        <v>0</v>
      </c>
      <c r="AQ530" s="11">
        <v>41.581000000000003</v>
      </c>
      <c r="AR530" s="11">
        <v>41.56</v>
      </c>
      <c r="AS530" s="11">
        <v>2.2000000000000002</v>
      </c>
      <c r="AT530" s="11">
        <v>0.22</v>
      </c>
      <c r="AU530" s="11">
        <v>0.37</v>
      </c>
      <c r="AV530" s="11">
        <v>0.41</v>
      </c>
      <c r="AW530" s="11">
        <v>0.26</v>
      </c>
      <c r="AX530" s="9">
        <f>Tabelle1[[#This Row],[Vitamin D3 '[µg/100g']]]*40</f>
        <v>0</v>
      </c>
      <c r="AY530" s="9">
        <f>Tabelle1[[#This Row],[Vitamin A '[µg/100g']]]*3.33</f>
        <v>6.66</v>
      </c>
      <c r="AZ530" s="9">
        <f>Tabelle1[[#This Row],[Vitamin E '[mg/100g']]]*1.49</f>
        <v>1.5272499999999998</v>
      </c>
    </row>
    <row r="531" spans="1:52" hidden="1" x14ac:dyDescent="0.45">
      <c r="A531" t="s">
        <v>972</v>
      </c>
      <c r="B531" s="5" t="s">
        <v>937</v>
      </c>
      <c r="C531" s="6" t="s">
        <v>938</v>
      </c>
      <c r="D531" s="13">
        <v>899</v>
      </c>
      <c r="E531" s="11">
        <f>Tabelle1[[#This Row],[Energie '[kcal/100g']]]/239</f>
        <v>3.7615062761506275</v>
      </c>
      <c r="F531" s="13">
        <v>0</v>
      </c>
      <c r="G531" s="11">
        <f>Tabelle1[[#This Row],[Rohprotein '[g/100g']]]*0.85</f>
        <v>0</v>
      </c>
      <c r="H531" s="13">
        <v>99.9</v>
      </c>
      <c r="I531" s="11">
        <f>Tabelle1[[#This Row],[TS]]-Tabelle1[[#This Row],[Rohprotein '[g/100g']]]-Tabelle1[[#This Row],[Rohfett '[g/100g']]]-Tabelle1[[#This Row],[Rohasche '[g/100g']]]-Tabelle1[[#This Row],[Rohfaser '[g/100g']]]</f>
        <v>9.9999999999994316E-2</v>
      </c>
      <c r="J531" s="11">
        <v>0</v>
      </c>
      <c r="K531" s="13">
        <v>0</v>
      </c>
      <c r="L531" s="13">
        <v>0</v>
      </c>
      <c r="M531" s="13">
        <f>100-Tabelle1[[#This Row],[Wasser '[g/100g']]]</f>
        <v>100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/>
      <c r="T531" s="13">
        <v>0</v>
      </c>
      <c r="U531" s="13">
        <v>5.101E-2</v>
      </c>
      <c r="V531" s="11">
        <v>0</v>
      </c>
      <c r="W531" s="13">
        <v>0</v>
      </c>
      <c r="X531" s="13">
        <v>0</v>
      </c>
      <c r="Y531" s="13">
        <v>0</v>
      </c>
      <c r="Z531" s="13"/>
      <c r="AA531" s="13">
        <v>0</v>
      </c>
      <c r="AB531" s="13">
        <v>5.66</v>
      </c>
      <c r="AC531" s="13">
        <v>0</v>
      </c>
      <c r="AD531" s="13">
        <v>0</v>
      </c>
      <c r="AE531" s="13">
        <v>0</v>
      </c>
      <c r="AF531" s="13">
        <v>0</v>
      </c>
      <c r="AG531" s="13">
        <v>0</v>
      </c>
      <c r="AH531" s="13">
        <v>0</v>
      </c>
      <c r="AI531" s="13">
        <v>0</v>
      </c>
      <c r="AJ531" s="13">
        <v>15</v>
      </c>
      <c r="AK531" s="11">
        <v>0</v>
      </c>
      <c r="AL531" s="11">
        <v>0</v>
      </c>
      <c r="AM531" s="13">
        <v>0</v>
      </c>
      <c r="AN531" s="13">
        <v>11.6</v>
      </c>
      <c r="AO531" s="13">
        <v>0</v>
      </c>
      <c r="AP531" s="13">
        <v>0</v>
      </c>
      <c r="AQ531" s="13">
        <v>57</v>
      </c>
      <c r="AR531" s="13">
        <v>57</v>
      </c>
      <c r="AS531" s="13">
        <v>0</v>
      </c>
      <c r="AT531" s="13">
        <v>0</v>
      </c>
      <c r="AU531" s="13">
        <v>0</v>
      </c>
      <c r="AV531" s="13">
        <v>0</v>
      </c>
      <c r="AW531" s="13">
        <v>0</v>
      </c>
      <c r="AX531" s="9">
        <f>Tabelle1[[#This Row],[Vitamin D3 '[µg/100g']]]*40</f>
        <v>0</v>
      </c>
      <c r="AY531" s="9">
        <f>Tabelle1[[#This Row],[Vitamin A '[µg/100g']]]*3.33</f>
        <v>0</v>
      </c>
      <c r="AZ531" s="9">
        <f>Tabelle1[[#This Row],[Vitamin E '[mg/100g']]]*1.49</f>
        <v>8.4334000000000007</v>
      </c>
    </row>
    <row r="532" spans="1:52" hidden="1" x14ac:dyDescent="0.45">
      <c r="A532" t="s">
        <v>916</v>
      </c>
      <c r="B532" s="5" t="s">
        <v>914</v>
      </c>
      <c r="C532" s="6" t="s">
        <v>915</v>
      </c>
      <c r="D532" s="13">
        <v>35</v>
      </c>
      <c r="E532" s="11">
        <f>Tabelle1[[#This Row],[Energie '[kcal/100g']]]/239</f>
        <v>0.14644351464435146</v>
      </c>
      <c r="F532" s="13">
        <v>0.6</v>
      </c>
      <c r="G532" s="11">
        <f>Tabelle1[[#This Row],[Rohprotein '[g/100g']]]*0.85</f>
        <v>0.51</v>
      </c>
      <c r="H532" s="13">
        <v>0.4</v>
      </c>
      <c r="I532" s="11">
        <f>Tabelle1[[#This Row],[TS]]-Tabelle1[[#This Row],[Rohprotein '[g/100g']]]-Tabelle1[[#This Row],[Rohfett '[g/100g']]]-Tabelle1[[#This Row],[Rohasche '[g/100g']]]-Tabelle1[[#This Row],[Rohfaser '[g/100g']]]</f>
        <v>6.0500000000000025</v>
      </c>
      <c r="J532" s="11">
        <v>0</v>
      </c>
      <c r="K532" s="13">
        <v>0.4</v>
      </c>
      <c r="L532" s="13">
        <v>92.55</v>
      </c>
      <c r="M532" s="13">
        <f>100-Tabelle1[[#This Row],[Wasser '[g/100g']]]</f>
        <v>7.4500000000000028</v>
      </c>
      <c r="N532" s="13">
        <v>8</v>
      </c>
      <c r="O532" s="13">
        <v>9</v>
      </c>
      <c r="P532" s="13">
        <v>8</v>
      </c>
      <c r="Q532" s="13">
        <v>3</v>
      </c>
      <c r="R532" s="13">
        <v>94</v>
      </c>
      <c r="S532" s="13"/>
      <c r="T532" s="13">
        <v>0.3</v>
      </c>
      <c r="U532" s="13">
        <v>0.09</v>
      </c>
      <c r="V532" s="11">
        <v>0</v>
      </c>
      <c r="W532" s="13">
        <v>54</v>
      </c>
      <c r="X532" s="13">
        <v>40</v>
      </c>
      <c r="Y532" s="13">
        <v>0</v>
      </c>
      <c r="Z532" s="13"/>
      <c r="AA532" s="13">
        <v>0</v>
      </c>
      <c r="AB532" s="13">
        <v>3.7999999999999999E-2</v>
      </c>
      <c r="AC532" s="13">
        <v>50</v>
      </c>
      <c r="AD532" s="13">
        <v>4.4999999999999998E-2</v>
      </c>
      <c r="AE532" s="13">
        <v>0.05</v>
      </c>
      <c r="AF532" s="13">
        <v>0.15</v>
      </c>
      <c r="AG532" s="13">
        <v>70</v>
      </c>
      <c r="AH532" s="13">
        <v>0</v>
      </c>
      <c r="AI532" s="13">
        <v>6</v>
      </c>
      <c r="AJ532" s="13">
        <v>0.1</v>
      </c>
      <c r="AK532" s="13">
        <v>6</v>
      </c>
      <c r="AL532" s="13">
        <v>0</v>
      </c>
      <c r="AM532" s="13">
        <v>0</v>
      </c>
      <c r="AN532" s="13">
        <v>1.7299999999999999E-2</v>
      </c>
      <c r="AO532" s="13">
        <v>0</v>
      </c>
      <c r="AP532" s="13">
        <v>5.2999999999999998E-4</v>
      </c>
      <c r="AQ532" s="13">
        <v>4.1660000000000003E-2</v>
      </c>
      <c r="AR532" s="13">
        <v>4.0849999999999997E-2</v>
      </c>
      <c r="AS532" s="13">
        <v>5.8999999999999997E-2</v>
      </c>
      <c r="AT532" s="13">
        <v>2E-3</v>
      </c>
      <c r="AU532" s="13">
        <v>6.0000000000000001E-3</v>
      </c>
      <c r="AV532" s="13">
        <v>6.2E-2</v>
      </c>
      <c r="AW532" s="13">
        <v>6.0000000000000001E-3</v>
      </c>
      <c r="AX532" s="9">
        <f>Tabelle1[[#This Row],[Vitamin D3 '[µg/100g']]]*40</f>
        <v>0</v>
      </c>
      <c r="AY532" s="9">
        <f>Tabelle1[[#This Row],[Vitamin A '[µg/100g']]]*3.33</f>
        <v>166.5</v>
      </c>
      <c r="AZ532" s="9">
        <f>Tabelle1[[#This Row],[Vitamin E '[mg/100g']]]*1.49</f>
        <v>5.6619999999999997E-2</v>
      </c>
    </row>
    <row r="533" spans="1:52" hidden="1" x14ac:dyDescent="0.45">
      <c r="A533" t="s">
        <v>641</v>
      </c>
      <c r="B533" s="3" t="s">
        <v>623</v>
      </c>
      <c r="C533" s="4" t="s">
        <v>624</v>
      </c>
      <c r="D533" s="11">
        <v>279</v>
      </c>
      <c r="E533" s="11">
        <f>Tabelle1[[#This Row],[Energie '[kcal/100g']]]/239</f>
        <v>1.1673640167364017</v>
      </c>
      <c r="F533" s="11">
        <v>17.86</v>
      </c>
      <c r="G533" s="11">
        <f>Tabelle1[[#This Row],[Rohprotein '[g/100g']]]*0.85</f>
        <v>15.180999999999999</v>
      </c>
      <c r="H533" s="11">
        <v>22.66</v>
      </c>
      <c r="I533" s="11">
        <f>Tabelle1[[#This Row],[TS]]-Tabelle1[[#This Row],[Rohprotein '[g/100g']]]-Tabelle1[[#This Row],[Rohfett '[g/100g']]]-Tabelle1[[#This Row],[Rohasche '[g/100g']]]-Tabelle1[[#This Row],[Rohfaser '[g/100g']]]</f>
        <v>2.2199999999999989</v>
      </c>
      <c r="J533" s="11">
        <v>0</v>
      </c>
      <c r="K533" s="11">
        <v>2.66</v>
      </c>
      <c r="L533" s="11">
        <v>54.6</v>
      </c>
      <c r="M533" s="11">
        <f>100-Tabelle1[[#This Row],[Wasser '[g/100g']]]</f>
        <v>45.4</v>
      </c>
      <c r="N533" s="11">
        <v>285</v>
      </c>
      <c r="O533" s="11">
        <v>270.5</v>
      </c>
      <c r="P533" s="11">
        <v>21.4</v>
      </c>
      <c r="Q533" s="11">
        <v>591</v>
      </c>
      <c r="R533" s="11">
        <v>136</v>
      </c>
      <c r="S533" s="11"/>
      <c r="T533" s="11">
        <v>0.16400000000000001</v>
      </c>
      <c r="U533" s="11">
        <v>1.3</v>
      </c>
      <c r="V533" s="11">
        <v>0</v>
      </c>
      <c r="W533" s="11">
        <v>65.5</v>
      </c>
      <c r="X533" s="11">
        <v>25.5</v>
      </c>
      <c r="Y533" s="11">
        <v>30.5</v>
      </c>
      <c r="Z533" s="11"/>
      <c r="AA533" s="11">
        <v>0.25</v>
      </c>
      <c r="AB533" s="11">
        <v>0.39</v>
      </c>
      <c r="AC533" s="11">
        <v>200</v>
      </c>
      <c r="AD533" s="11">
        <v>0.05</v>
      </c>
      <c r="AE533" s="11">
        <v>0.39</v>
      </c>
      <c r="AF533" s="11">
        <v>0.82</v>
      </c>
      <c r="AG533" s="11">
        <v>175</v>
      </c>
      <c r="AH533" s="11">
        <v>0.64</v>
      </c>
      <c r="AI533" s="11">
        <v>0</v>
      </c>
      <c r="AJ533" s="11">
        <v>51.4</v>
      </c>
      <c r="AK533" s="11">
        <v>28.4</v>
      </c>
      <c r="AL533" s="11">
        <v>1.25</v>
      </c>
      <c r="AM533" s="11">
        <v>0.4</v>
      </c>
      <c r="AN533" s="11">
        <v>0.12</v>
      </c>
      <c r="AO533" s="11">
        <v>0</v>
      </c>
      <c r="AP533" s="11">
        <v>0</v>
      </c>
      <c r="AQ533" s="11">
        <v>0.79</v>
      </c>
      <c r="AR533" s="11">
        <v>0.79</v>
      </c>
      <c r="AS533" s="11">
        <v>0.6</v>
      </c>
      <c r="AT533" s="11">
        <v>0.16</v>
      </c>
      <c r="AU533" s="11">
        <v>0.56000000000000005</v>
      </c>
      <c r="AV533" s="11">
        <v>1.63</v>
      </c>
      <c r="AW533" s="11">
        <v>0.47</v>
      </c>
      <c r="AX533" s="9">
        <f>Tabelle1[[#This Row],[Vitamin D3 '[µg/100g']]]*40</f>
        <v>10</v>
      </c>
      <c r="AY533" s="9">
        <f>Tabelle1[[#This Row],[Vitamin A '[µg/100g']]]*3.33</f>
        <v>666</v>
      </c>
      <c r="AZ533" s="9">
        <f>Tabelle1[[#This Row],[Vitamin E '[mg/100g']]]*1.49</f>
        <v>0.58110000000000006</v>
      </c>
    </row>
    <row r="534" spans="1:52" hidden="1" x14ac:dyDescent="0.45">
      <c r="A534" t="s">
        <v>641</v>
      </c>
      <c r="B534" s="5" t="s">
        <v>625</v>
      </c>
      <c r="C534" s="6" t="s">
        <v>626</v>
      </c>
      <c r="D534" s="13">
        <v>285</v>
      </c>
      <c r="E534" s="11">
        <f>Tabelle1[[#This Row],[Energie '[kcal/100g']]]/239</f>
        <v>1.1924686192468619</v>
      </c>
      <c r="F534" s="13">
        <v>17.86</v>
      </c>
      <c r="G534" s="11">
        <f>Tabelle1[[#This Row],[Rohprotein '[g/100g']]]*0.85</f>
        <v>15.180999999999999</v>
      </c>
      <c r="H534" s="13">
        <v>22.66</v>
      </c>
      <c r="I534" s="11">
        <f>Tabelle1[[#This Row],[TS]]-Tabelle1[[#This Row],[Rohprotein '[g/100g']]]-Tabelle1[[#This Row],[Rohfett '[g/100g']]]-Tabelle1[[#This Row],[Rohasche '[g/100g']]]-Tabelle1[[#This Row],[Rohfaser '[g/100g']]]</f>
        <v>2.2199999999999989</v>
      </c>
      <c r="J534" s="11">
        <v>0</v>
      </c>
      <c r="K534" s="13">
        <v>2.66</v>
      </c>
      <c r="L534" s="13">
        <v>54.6</v>
      </c>
      <c r="M534" s="13">
        <f>100-Tabelle1[[#This Row],[Wasser '[g/100g']]]</f>
        <v>45.4</v>
      </c>
      <c r="N534" s="13">
        <v>285</v>
      </c>
      <c r="O534" s="13">
        <v>270.5</v>
      </c>
      <c r="P534" s="13">
        <v>21.4</v>
      </c>
      <c r="Q534" s="13">
        <v>591</v>
      </c>
      <c r="R534" s="13">
        <v>136</v>
      </c>
      <c r="S534" s="13"/>
      <c r="T534" s="13">
        <v>0.16400000000000001</v>
      </c>
      <c r="U534" s="13">
        <v>1.3</v>
      </c>
      <c r="V534" s="11">
        <v>0</v>
      </c>
      <c r="W534" s="13">
        <v>65.5</v>
      </c>
      <c r="X534" s="13">
        <v>25.5</v>
      </c>
      <c r="Y534" s="13">
        <v>30.5</v>
      </c>
      <c r="Z534" s="13"/>
      <c r="AA534" s="13">
        <v>0</v>
      </c>
      <c r="AB534" s="13">
        <v>0.39</v>
      </c>
      <c r="AC534" s="13">
        <v>300</v>
      </c>
      <c r="AD534" s="13">
        <v>0.05</v>
      </c>
      <c r="AE534" s="13">
        <v>0.39</v>
      </c>
      <c r="AF534" s="13">
        <v>0.82</v>
      </c>
      <c r="AG534" s="13">
        <v>175</v>
      </c>
      <c r="AH534" s="13">
        <v>0.64</v>
      </c>
      <c r="AI534" s="13">
        <v>0</v>
      </c>
      <c r="AJ534" s="13">
        <v>51.4</v>
      </c>
      <c r="AK534" s="13">
        <v>12.8</v>
      </c>
      <c r="AL534" s="13">
        <v>1.25</v>
      </c>
      <c r="AM534" s="13">
        <v>0.4</v>
      </c>
      <c r="AN534" s="13">
        <v>0.122</v>
      </c>
      <c r="AO534" s="13">
        <v>1.2999999999999999E-2</v>
      </c>
      <c r="AP534" s="13">
        <v>3.0000000000000001E-3</v>
      </c>
      <c r="AQ534" s="13">
        <v>0.7853</v>
      </c>
      <c r="AR534" s="13">
        <v>0.7853</v>
      </c>
      <c r="AS534" s="13">
        <v>0.60299999999999998</v>
      </c>
      <c r="AT534" s="13">
        <v>0.16</v>
      </c>
      <c r="AU534" s="13">
        <v>0.56000000000000005</v>
      </c>
      <c r="AV534" s="13">
        <v>1.63</v>
      </c>
      <c r="AW534" s="13">
        <v>0.46700000000000003</v>
      </c>
      <c r="AX534" s="9">
        <f>Tabelle1[[#This Row],[Vitamin D3 '[µg/100g']]]*40</f>
        <v>0</v>
      </c>
      <c r="AY534" s="9">
        <f>Tabelle1[[#This Row],[Vitamin A '[µg/100g']]]*3.33</f>
        <v>999</v>
      </c>
      <c r="AZ534" s="9">
        <f>Tabelle1[[#This Row],[Vitamin E '[mg/100g']]]*1.49</f>
        <v>0.58110000000000006</v>
      </c>
    </row>
    <row r="535" spans="1:52" hidden="1" x14ac:dyDescent="0.45">
      <c r="A535" t="s">
        <v>641</v>
      </c>
      <c r="B535" s="5" t="s">
        <v>627</v>
      </c>
      <c r="C535" s="6" t="s">
        <v>628</v>
      </c>
      <c r="D535" s="13">
        <v>185</v>
      </c>
      <c r="E535" s="11">
        <f>Tabelle1[[#This Row],[Energie '[kcal/100g']]]/239</f>
        <v>0.77405857740585771</v>
      </c>
      <c r="F535" s="13">
        <v>26.4</v>
      </c>
      <c r="G535" s="11">
        <f>Tabelle1[[#This Row],[Rohprotein '[g/100g']]]*0.85</f>
        <v>22.439999999999998</v>
      </c>
      <c r="H535" s="13">
        <v>8.57</v>
      </c>
      <c r="I535" s="11">
        <f>Tabelle1[[#This Row],[TS]]-Tabelle1[[#This Row],[Rohprotein '[g/100g']]]-Tabelle1[[#This Row],[Rohfett '[g/100g']]]-Tabelle1[[#This Row],[Rohasche '[g/100g']]]-Tabelle1[[#This Row],[Rohfaser '[g/100g']]]</f>
        <v>2.2000000000000011</v>
      </c>
      <c r="J535" s="11">
        <v>0</v>
      </c>
      <c r="K535" s="13">
        <v>4.33</v>
      </c>
      <c r="L535" s="13">
        <v>58.5</v>
      </c>
      <c r="M535" s="13">
        <f>100-Tabelle1[[#This Row],[Wasser '[g/100g']]]</f>
        <v>41.5</v>
      </c>
      <c r="N535" s="13">
        <v>610</v>
      </c>
      <c r="O535" s="13">
        <v>285</v>
      </c>
      <c r="P535" s="13">
        <v>24</v>
      </c>
      <c r="Q535" s="13">
        <v>709</v>
      </c>
      <c r="R535" s="13">
        <v>147</v>
      </c>
      <c r="S535" s="13"/>
      <c r="T535" s="13">
        <v>0.35</v>
      </c>
      <c r="U535" s="13">
        <v>2.4</v>
      </c>
      <c r="V535" s="11">
        <v>0</v>
      </c>
      <c r="W535" s="13">
        <v>127</v>
      </c>
      <c r="X535" s="13">
        <v>30</v>
      </c>
      <c r="Y535" s="13">
        <v>20</v>
      </c>
      <c r="Z535" s="13"/>
      <c r="AA535" s="13">
        <v>0.18</v>
      </c>
      <c r="AB535" s="13">
        <v>0.16</v>
      </c>
      <c r="AC535" s="13">
        <v>173</v>
      </c>
      <c r="AD535" s="13">
        <v>5.8000000000000003E-2</v>
      </c>
      <c r="AE535" s="13">
        <v>0.40200000000000002</v>
      </c>
      <c r="AF535" s="13">
        <v>6.9000000000000006E-2</v>
      </c>
      <c r="AG535" s="13">
        <v>99</v>
      </c>
      <c r="AH535" s="13">
        <v>2</v>
      </c>
      <c r="AI535" s="13">
        <v>0</v>
      </c>
      <c r="AJ535" s="13">
        <v>17</v>
      </c>
      <c r="AK535" s="13">
        <v>69</v>
      </c>
      <c r="AL535" s="13">
        <v>9</v>
      </c>
      <c r="AM535" s="13">
        <v>0</v>
      </c>
      <c r="AN535" s="13">
        <v>6.4000000000000001E-2</v>
      </c>
      <c r="AO535" s="13">
        <v>0</v>
      </c>
      <c r="AP535" s="13">
        <v>3.0000000000000001E-3</v>
      </c>
      <c r="AQ535" s="13">
        <v>0.14399999999999999</v>
      </c>
      <c r="AR535" s="13">
        <v>0.14399999999999999</v>
      </c>
      <c r="AS535" s="13">
        <v>0.78400000000000003</v>
      </c>
      <c r="AT535" s="13">
        <v>0.11899999999999999</v>
      </c>
      <c r="AU535" s="13">
        <v>0.72099999999999997</v>
      </c>
      <c r="AV535" s="13">
        <v>1.8979999999999999</v>
      </c>
      <c r="AW535" s="13">
        <v>0.70499999999999996</v>
      </c>
      <c r="AX535" s="9">
        <f>Tabelle1[[#This Row],[Vitamin D3 '[µg/100g']]]*40</f>
        <v>7.1999999999999993</v>
      </c>
      <c r="AY535" s="9">
        <f>Tabelle1[[#This Row],[Vitamin A '[µg/100g']]]*3.33</f>
        <v>576.09</v>
      </c>
      <c r="AZ535" s="9">
        <f>Tabelle1[[#This Row],[Vitamin E '[mg/100g']]]*1.49</f>
        <v>0.2384</v>
      </c>
    </row>
    <row r="536" spans="1:52" hidden="1" x14ac:dyDescent="0.45">
      <c r="A536" t="s">
        <v>641</v>
      </c>
      <c r="B536" s="3" t="s">
        <v>629</v>
      </c>
      <c r="C536" s="4" t="s">
        <v>630</v>
      </c>
      <c r="D536" s="11">
        <v>214</v>
      </c>
      <c r="E536" s="11">
        <f>Tabelle1[[#This Row],[Energie '[kcal/100g']]]/239</f>
        <v>0.89539748953974896</v>
      </c>
      <c r="F536" s="11">
        <v>23.021000000000001</v>
      </c>
      <c r="G536" s="11">
        <f>Tabelle1[[#This Row],[Rohprotein '[g/100g']]]*0.85</f>
        <v>19.56785</v>
      </c>
      <c r="H536" s="11">
        <v>13.5</v>
      </c>
      <c r="I536" s="11">
        <f>Tabelle1[[#This Row],[TS]]-Tabelle1[[#This Row],[Rohprotein '[g/100g']]]-Tabelle1[[#This Row],[Rohfett '[g/100g']]]-Tabelle1[[#This Row],[Rohasche '[g/100g']]]-Tabelle1[[#This Row],[Rohfaser '[g/100g']]]</f>
        <v>1.2789999999999964</v>
      </c>
      <c r="J536" s="11">
        <v>0</v>
      </c>
      <c r="K536" s="11">
        <v>4</v>
      </c>
      <c r="L536" s="11">
        <v>58.2</v>
      </c>
      <c r="M536" s="11">
        <f>100-Tabelle1[[#This Row],[Wasser '[g/100g']]]</f>
        <v>41.8</v>
      </c>
      <c r="N536" s="11">
        <v>600</v>
      </c>
      <c r="O536" s="11">
        <v>385</v>
      </c>
      <c r="P536" s="11">
        <v>19</v>
      </c>
      <c r="Q536" s="11">
        <v>669</v>
      </c>
      <c r="R536" s="11">
        <v>120</v>
      </c>
      <c r="S536" s="11"/>
      <c r="T536" s="11">
        <v>0.17</v>
      </c>
      <c r="U536" s="11">
        <v>3.4</v>
      </c>
      <c r="V536" s="11">
        <v>0</v>
      </c>
      <c r="W536" s="11">
        <v>80</v>
      </c>
      <c r="X536" s="11">
        <v>30</v>
      </c>
      <c r="Y536" s="11">
        <v>20</v>
      </c>
      <c r="Z536" s="11"/>
      <c r="AA536" s="11">
        <v>0.17</v>
      </c>
      <c r="AB536" s="11">
        <v>0.3</v>
      </c>
      <c r="AC536" s="11">
        <v>217</v>
      </c>
      <c r="AD536" s="11">
        <v>0.05</v>
      </c>
      <c r="AE536" s="11">
        <v>0.67</v>
      </c>
      <c r="AF536" s="11">
        <v>1.2</v>
      </c>
      <c r="AG536" s="11">
        <v>280</v>
      </c>
      <c r="AH536" s="11">
        <v>3.1</v>
      </c>
      <c r="AI536" s="11">
        <v>0</v>
      </c>
      <c r="AJ536" s="11">
        <v>43</v>
      </c>
      <c r="AK536" s="11">
        <v>66</v>
      </c>
      <c r="AL536" s="11">
        <v>5</v>
      </c>
      <c r="AM536" s="11">
        <v>0</v>
      </c>
      <c r="AN536" s="11">
        <v>0.10100000000000001</v>
      </c>
      <c r="AO536" s="11">
        <v>0</v>
      </c>
      <c r="AP536" s="13">
        <v>3.0000000000000001E-3</v>
      </c>
      <c r="AQ536" s="11">
        <v>0.22700000000000001</v>
      </c>
      <c r="AR536" s="11">
        <v>0.22700000000000001</v>
      </c>
      <c r="AS536" s="11">
        <v>0.68400000000000005</v>
      </c>
      <c r="AT536" s="11">
        <v>0.104</v>
      </c>
      <c r="AU536" s="11">
        <v>0.628</v>
      </c>
      <c r="AV536" s="11">
        <v>1.655</v>
      </c>
      <c r="AW536" s="11">
        <v>0.61499999999999999</v>
      </c>
      <c r="AX536" s="9">
        <f>Tabelle1[[#This Row],[Vitamin D3 '[µg/100g']]]*40</f>
        <v>6.8000000000000007</v>
      </c>
      <c r="AY536" s="9">
        <f>Tabelle1[[#This Row],[Vitamin A '[µg/100g']]]*3.33</f>
        <v>722.61</v>
      </c>
      <c r="AZ536" s="9">
        <f>Tabelle1[[#This Row],[Vitamin E '[mg/100g']]]*1.49</f>
        <v>0.44700000000000001</v>
      </c>
    </row>
    <row r="537" spans="1:52" hidden="1" x14ac:dyDescent="0.45">
      <c r="A537" t="s">
        <v>641</v>
      </c>
      <c r="B537" s="3" t="s">
        <v>631</v>
      </c>
      <c r="C537" s="4" t="s">
        <v>632</v>
      </c>
      <c r="D537" s="11">
        <v>249</v>
      </c>
      <c r="E537" s="11">
        <f>Tabelle1[[#This Row],[Energie '[kcal/100g']]]/239</f>
        <v>1.0418410041841004</v>
      </c>
      <c r="F537" s="11">
        <v>21.18</v>
      </c>
      <c r="G537" s="11">
        <f>Tabelle1[[#This Row],[Rohprotein '[g/100g']]]*0.85</f>
        <v>18.003</v>
      </c>
      <c r="H537" s="11">
        <v>18.22</v>
      </c>
      <c r="I537" s="11">
        <f>Tabelle1[[#This Row],[TS]]-Tabelle1[[#This Row],[Rohprotein '[g/100g']]]-Tabelle1[[#This Row],[Rohfett '[g/100g']]]-Tabelle1[[#This Row],[Rohasche '[g/100g']]]-Tabelle1[[#This Row],[Rohfaser '[g/100g']]]</f>
        <v>2.5199999999999987</v>
      </c>
      <c r="J537" s="11">
        <v>0</v>
      </c>
      <c r="K537" s="11">
        <v>3.88</v>
      </c>
      <c r="L537" s="11">
        <v>54.2</v>
      </c>
      <c r="M537" s="11">
        <f>100-Tabelle1[[#This Row],[Wasser '[g/100g']]]</f>
        <v>45.8</v>
      </c>
      <c r="N537" s="11">
        <v>657</v>
      </c>
      <c r="O537" s="11">
        <v>431</v>
      </c>
      <c r="P537" s="11">
        <v>22</v>
      </c>
      <c r="Q537" s="11">
        <v>794</v>
      </c>
      <c r="R537" s="11">
        <v>93.6</v>
      </c>
      <c r="S537" s="11"/>
      <c r="T537" s="11">
        <v>0.10199999999999999</v>
      </c>
      <c r="U537" s="11">
        <v>3.07</v>
      </c>
      <c r="V537" s="11">
        <v>0</v>
      </c>
      <c r="W537" s="11">
        <v>28.5</v>
      </c>
      <c r="X537" s="11">
        <v>22.5</v>
      </c>
      <c r="Y537" s="11">
        <v>20</v>
      </c>
      <c r="Z537" s="11"/>
      <c r="AA537" s="11">
        <v>0</v>
      </c>
      <c r="AB537" s="11">
        <v>0.16</v>
      </c>
      <c r="AC537" s="11">
        <v>115</v>
      </c>
      <c r="AD537" s="11">
        <v>0</v>
      </c>
      <c r="AE537" s="11">
        <v>0.74</v>
      </c>
      <c r="AF537" s="11">
        <v>0.41</v>
      </c>
      <c r="AG537" s="11">
        <v>84</v>
      </c>
      <c r="AH537" s="11">
        <v>0.64</v>
      </c>
      <c r="AI537" s="11">
        <v>0</v>
      </c>
      <c r="AJ537" s="11">
        <v>17</v>
      </c>
      <c r="AK537" s="11">
        <v>51.1</v>
      </c>
      <c r="AL537" s="11">
        <v>1.6</v>
      </c>
      <c r="AM537" s="11">
        <v>0</v>
      </c>
      <c r="AN537" s="11">
        <v>0.08</v>
      </c>
      <c r="AO537" s="11">
        <v>0</v>
      </c>
      <c r="AP537" s="11">
        <v>0</v>
      </c>
      <c r="AQ537" s="11">
        <v>0.33</v>
      </c>
      <c r="AR537" s="11">
        <v>0.33</v>
      </c>
      <c r="AS537" s="11">
        <v>0.63</v>
      </c>
      <c r="AT537" s="11">
        <v>0.1</v>
      </c>
      <c r="AU537" s="11">
        <v>0.57999999999999996</v>
      </c>
      <c r="AV537" s="11">
        <v>1.52</v>
      </c>
      <c r="AW537" s="11">
        <v>0.56999999999999995</v>
      </c>
      <c r="AX537" s="9">
        <f>Tabelle1[[#This Row],[Vitamin D3 '[µg/100g']]]*40</f>
        <v>0</v>
      </c>
      <c r="AY537" s="9">
        <f>Tabelle1[[#This Row],[Vitamin A '[µg/100g']]]*3.33</f>
        <v>382.95</v>
      </c>
      <c r="AZ537" s="9">
        <f>Tabelle1[[#This Row],[Vitamin E '[mg/100g']]]*1.49</f>
        <v>0.2384</v>
      </c>
    </row>
    <row r="538" spans="1:52" hidden="1" x14ac:dyDescent="0.45">
      <c r="A538" t="s">
        <v>641</v>
      </c>
      <c r="B538" s="5" t="s">
        <v>633</v>
      </c>
      <c r="C538" s="6" t="s">
        <v>634</v>
      </c>
      <c r="D538" s="13">
        <v>257</v>
      </c>
      <c r="E538" s="11">
        <f>Tabelle1[[#This Row],[Energie '[kcal/100g']]]/239</f>
        <v>1.0753138075313808</v>
      </c>
      <c r="F538" s="13">
        <v>19.579999999999998</v>
      </c>
      <c r="G538" s="11">
        <f>Tabelle1[[#This Row],[Rohprotein '[g/100g']]]*0.85</f>
        <v>16.642999999999997</v>
      </c>
      <c r="H538" s="13">
        <v>19.82</v>
      </c>
      <c r="I538" s="11">
        <f>Tabelle1[[#This Row],[TS]]-Tabelle1[[#This Row],[Rohprotein '[g/100g']]]-Tabelle1[[#This Row],[Rohfett '[g/100g']]]-Tabelle1[[#This Row],[Rohasche '[g/100g']]]-Tabelle1[[#This Row],[Rohfaser '[g/100g']]]</f>
        <v>0.29000000000000137</v>
      </c>
      <c r="J538" s="11">
        <v>0</v>
      </c>
      <c r="K538" s="13">
        <v>3.31</v>
      </c>
      <c r="L538" s="13">
        <v>57</v>
      </c>
      <c r="M538" s="13">
        <f>100-Tabelle1[[#This Row],[Wasser '[g/100g']]]</f>
        <v>43</v>
      </c>
      <c r="N538" s="13">
        <v>557.5</v>
      </c>
      <c r="O538" s="13">
        <v>381.8</v>
      </c>
      <c r="P538" s="13">
        <v>22.4</v>
      </c>
      <c r="Q538" s="13">
        <v>558.20000000000005</v>
      </c>
      <c r="R538" s="13">
        <v>115.2</v>
      </c>
      <c r="S538" s="13"/>
      <c r="T538" s="13">
        <v>0.105</v>
      </c>
      <c r="U538" s="13">
        <v>2.3199999999999998</v>
      </c>
      <c r="V538" s="11">
        <v>0</v>
      </c>
      <c r="W538" s="13">
        <v>28.8</v>
      </c>
      <c r="X538" s="13">
        <v>16.5</v>
      </c>
      <c r="Y538" s="13">
        <v>20</v>
      </c>
      <c r="Z538" s="13"/>
      <c r="AA538" s="13">
        <v>0</v>
      </c>
      <c r="AB538" s="13">
        <v>0.48</v>
      </c>
      <c r="AC538" s="13">
        <v>221</v>
      </c>
      <c r="AD538" s="13">
        <v>0.03</v>
      </c>
      <c r="AE538" s="13">
        <v>0.38</v>
      </c>
      <c r="AF538" s="13">
        <v>0.8</v>
      </c>
      <c r="AG538" s="13">
        <v>170</v>
      </c>
      <c r="AH538" s="13">
        <v>0.59</v>
      </c>
      <c r="AI538" s="13">
        <v>0</v>
      </c>
      <c r="AJ538" s="13">
        <v>43</v>
      </c>
      <c r="AK538" s="13">
        <v>38.9</v>
      </c>
      <c r="AL538" s="13">
        <v>1.1200000000000001</v>
      </c>
      <c r="AM538" s="13">
        <v>0</v>
      </c>
      <c r="AN538" s="13">
        <v>0.09</v>
      </c>
      <c r="AO538" s="13">
        <v>0</v>
      </c>
      <c r="AP538" s="13">
        <v>0</v>
      </c>
      <c r="AQ538" s="13">
        <v>0.35</v>
      </c>
      <c r="AR538" s="13">
        <v>0.35</v>
      </c>
      <c r="AS538" s="13">
        <v>0.57999999999999996</v>
      </c>
      <c r="AT538" s="13">
        <v>0.09</v>
      </c>
      <c r="AU538" s="13">
        <v>0.53</v>
      </c>
      <c r="AV538" s="13">
        <v>1.41</v>
      </c>
      <c r="AW538" s="13">
        <v>0.52</v>
      </c>
      <c r="AX538" s="9">
        <f>Tabelle1[[#This Row],[Vitamin D3 '[µg/100g']]]*40</f>
        <v>0</v>
      </c>
      <c r="AY538" s="9">
        <f>Tabelle1[[#This Row],[Vitamin A '[µg/100g']]]*3.33</f>
        <v>735.93000000000006</v>
      </c>
      <c r="AZ538" s="9">
        <f>Tabelle1[[#This Row],[Vitamin E '[mg/100g']]]*1.49</f>
        <v>0.71519999999999995</v>
      </c>
    </row>
    <row r="539" spans="1:52" hidden="1" x14ac:dyDescent="0.45">
      <c r="A539" t="s">
        <v>641</v>
      </c>
      <c r="B539" s="3" t="s">
        <v>635</v>
      </c>
      <c r="C539" s="4" t="s">
        <v>636</v>
      </c>
      <c r="D539" s="11">
        <v>310</v>
      </c>
      <c r="E539" s="11">
        <f>Tabelle1[[#This Row],[Energie '[kcal/100g']]]/239</f>
        <v>1.2970711297071129</v>
      </c>
      <c r="F539" s="11">
        <v>19.8</v>
      </c>
      <c r="G539" s="11">
        <f>Tabelle1[[#This Row],[Rohprotein '[g/100g']]]*0.85</f>
        <v>16.830000000000002</v>
      </c>
      <c r="H539" s="11">
        <v>25.5</v>
      </c>
      <c r="I539" s="11">
        <f>Tabelle1[[#This Row],[TS]]-Tabelle1[[#This Row],[Rohprotein '[g/100g']]]-Tabelle1[[#This Row],[Rohfett '[g/100g']]]-Tabelle1[[#This Row],[Rohasche '[g/100g']]]-Tabelle1[[#This Row],[Rohfaser '[g/100g']]]</f>
        <v>-2.8800000000000008</v>
      </c>
      <c r="J539" s="11">
        <v>0</v>
      </c>
      <c r="K539" s="11">
        <v>1.58</v>
      </c>
      <c r="L539" s="11">
        <v>56</v>
      </c>
      <c r="M539" s="11">
        <f>100-Tabelle1[[#This Row],[Wasser '[g/100g']]]</f>
        <v>44</v>
      </c>
      <c r="N539" s="11">
        <v>245</v>
      </c>
      <c r="O539" s="11">
        <v>278</v>
      </c>
      <c r="P539" s="11">
        <v>18</v>
      </c>
      <c r="Q539" s="11">
        <v>700</v>
      </c>
      <c r="R539" s="11">
        <v>88</v>
      </c>
      <c r="S539" s="11"/>
      <c r="T539" s="11">
        <v>0.3</v>
      </c>
      <c r="U539" s="11">
        <v>1.96</v>
      </c>
      <c r="V539" s="11">
        <v>0</v>
      </c>
      <c r="W539" s="11">
        <v>40</v>
      </c>
      <c r="X539" s="11">
        <v>100</v>
      </c>
      <c r="Y539" s="11">
        <v>20</v>
      </c>
      <c r="Z539" s="11"/>
      <c r="AA539" s="11">
        <v>0.51</v>
      </c>
      <c r="AB539" s="11">
        <v>0.77</v>
      </c>
      <c r="AC539" s="11">
        <v>305</v>
      </c>
      <c r="AD539" s="11">
        <v>0.06</v>
      </c>
      <c r="AE539" s="11">
        <v>0.45</v>
      </c>
      <c r="AF539" s="11">
        <v>0.82</v>
      </c>
      <c r="AG539" s="11">
        <v>200</v>
      </c>
      <c r="AH539" s="11">
        <v>1</v>
      </c>
      <c r="AI539" s="11">
        <v>0</v>
      </c>
      <c r="AJ539" s="11">
        <v>43</v>
      </c>
      <c r="AK539" s="11">
        <v>46</v>
      </c>
      <c r="AL539" s="11">
        <v>6</v>
      </c>
      <c r="AM539" s="11">
        <v>0</v>
      </c>
      <c r="AN539" s="11">
        <v>0.11700000000000001</v>
      </c>
      <c r="AO539" s="11">
        <v>0</v>
      </c>
      <c r="AP539" s="11">
        <v>0</v>
      </c>
      <c r="AQ539" s="11">
        <v>0.45600000000000002</v>
      </c>
      <c r="AR539" s="11">
        <v>0.45600000000000002</v>
      </c>
      <c r="AS539" s="11">
        <v>0.54900000000000004</v>
      </c>
      <c r="AT539" s="11">
        <v>8.4000000000000005E-2</v>
      </c>
      <c r="AU539" s="11">
        <v>0.505</v>
      </c>
      <c r="AV539" s="11">
        <v>1.6</v>
      </c>
      <c r="AW539" s="11">
        <v>0.49399999999999999</v>
      </c>
      <c r="AX539" s="9">
        <f>Tabelle1[[#This Row],[Vitamin D3 '[µg/100g']]]*40</f>
        <v>20.399999999999999</v>
      </c>
      <c r="AY539" s="9">
        <f>Tabelle1[[#This Row],[Vitamin A '[µg/100g']]]*3.33</f>
        <v>1015.65</v>
      </c>
      <c r="AZ539" s="9">
        <f>Tabelle1[[#This Row],[Vitamin E '[mg/100g']]]*1.49</f>
        <v>1.1473</v>
      </c>
    </row>
    <row r="540" spans="1:52" hidden="1" x14ac:dyDescent="0.45">
      <c r="A540" t="s">
        <v>641</v>
      </c>
      <c r="B540" s="5" t="s">
        <v>637</v>
      </c>
      <c r="C540" s="6" t="s">
        <v>638</v>
      </c>
      <c r="D540" s="13">
        <v>367</v>
      </c>
      <c r="E540" s="11">
        <f>Tabelle1[[#This Row],[Energie '[kcal/100g']]]/239</f>
        <v>1.5355648535564854</v>
      </c>
      <c r="F540" s="13">
        <v>16.8</v>
      </c>
      <c r="G540" s="11">
        <f>Tabelle1[[#This Row],[Rohprotein '[g/100g']]]*0.85</f>
        <v>14.28</v>
      </c>
      <c r="H540" s="13">
        <v>33.200000000000003</v>
      </c>
      <c r="I540" s="11">
        <f>Tabelle1[[#This Row],[TS]]-Tabelle1[[#This Row],[Rohprotein '[g/100g']]]-Tabelle1[[#This Row],[Rohfett '[g/100g']]]-Tabelle1[[#This Row],[Rohasche '[g/100g']]]-Tabelle1[[#This Row],[Rohfaser '[g/100g']]]</f>
        <v>-0.30000000000000293</v>
      </c>
      <c r="J540" s="11">
        <v>0</v>
      </c>
      <c r="K540" s="13">
        <v>2.6</v>
      </c>
      <c r="L540" s="13">
        <v>47.7</v>
      </c>
      <c r="M540" s="13">
        <f>100-Tabelle1[[#This Row],[Wasser '[g/100g']]]</f>
        <v>52.3</v>
      </c>
      <c r="N540" s="13">
        <v>280</v>
      </c>
      <c r="O540" s="13">
        <v>250</v>
      </c>
      <c r="P540" s="13">
        <v>16</v>
      </c>
      <c r="Q540" s="13">
        <v>700</v>
      </c>
      <c r="R540" s="13">
        <v>120</v>
      </c>
      <c r="S540" s="13"/>
      <c r="T540" s="13">
        <v>0.3</v>
      </c>
      <c r="U540" s="13">
        <v>2.6</v>
      </c>
      <c r="V540" s="11">
        <v>0</v>
      </c>
      <c r="W540" s="13">
        <v>70</v>
      </c>
      <c r="X540" s="13">
        <v>30</v>
      </c>
      <c r="Y540" s="13">
        <v>20</v>
      </c>
      <c r="Z540" s="13"/>
      <c r="AA540" s="13">
        <v>0.66</v>
      </c>
      <c r="AB540" s="13">
        <v>0.19</v>
      </c>
      <c r="AC540" s="13">
        <v>403</v>
      </c>
      <c r="AD540" s="13">
        <v>0.04</v>
      </c>
      <c r="AE540" s="13">
        <v>0.4</v>
      </c>
      <c r="AF540" s="13">
        <v>1.2</v>
      </c>
      <c r="AG540" s="13">
        <v>120</v>
      </c>
      <c r="AH540" s="13">
        <v>1.8</v>
      </c>
      <c r="AI540" s="13">
        <v>0</v>
      </c>
      <c r="AJ540" s="13">
        <v>15.4</v>
      </c>
      <c r="AK540" s="13">
        <v>60</v>
      </c>
      <c r="AL540" s="13">
        <v>4.8</v>
      </c>
      <c r="AM540" s="13">
        <v>0</v>
      </c>
      <c r="AN540" s="13">
        <v>0.16300000000000001</v>
      </c>
      <c r="AO540" s="13">
        <v>0</v>
      </c>
      <c r="AP540" s="13">
        <v>0</v>
      </c>
      <c r="AQ540" s="13">
        <v>0.56799999999999995</v>
      </c>
      <c r="AR540" s="13">
        <v>0.56799999999999995</v>
      </c>
      <c r="AS540" s="13">
        <v>0.499</v>
      </c>
      <c r="AT540" s="13">
        <v>7.5999999999999998E-2</v>
      </c>
      <c r="AU540" s="13">
        <v>0.45900000000000002</v>
      </c>
      <c r="AV540" s="13">
        <v>1.208</v>
      </c>
      <c r="AW540" s="13">
        <v>0.44900000000000001</v>
      </c>
      <c r="AX540" s="9">
        <f>Tabelle1[[#This Row],[Vitamin D3 '[µg/100g']]]*40</f>
        <v>26.400000000000002</v>
      </c>
      <c r="AY540" s="9">
        <f>Tabelle1[[#This Row],[Vitamin A '[µg/100g']]]*3.33</f>
        <v>1341.99</v>
      </c>
      <c r="AZ540" s="9">
        <f>Tabelle1[[#This Row],[Vitamin E '[mg/100g']]]*1.49</f>
        <v>0.28310000000000002</v>
      </c>
    </row>
    <row r="541" spans="1:52" hidden="1" x14ac:dyDescent="0.45">
      <c r="A541" t="s">
        <v>641</v>
      </c>
      <c r="B541" s="3" t="s">
        <v>639</v>
      </c>
      <c r="C541" s="4" t="s">
        <v>640</v>
      </c>
      <c r="D541" s="11">
        <v>413</v>
      </c>
      <c r="E541" s="11">
        <f>Tabelle1[[#This Row],[Energie '[kcal/100g']]]/239</f>
        <v>1.7280334728033473</v>
      </c>
      <c r="F541" s="11">
        <v>13.2</v>
      </c>
      <c r="G541" s="11">
        <f>Tabelle1[[#This Row],[Rohprotein '[g/100g']]]*0.85</f>
        <v>11.219999999999999</v>
      </c>
      <c r="H541" s="11">
        <v>40</v>
      </c>
      <c r="I541" s="11">
        <f>Tabelle1[[#This Row],[TS]]-Tabelle1[[#This Row],[Rohprotein '[g/100g']]]-Tabelle1[[#This Row],[Rohfett '[g/100g']]]-Tabelle1[[#This Row],[Rohasche '[g/100g']]]-Tabelle1[[#This Row],[Rohfaser '[g/100g']]]</f>
        <v>0.19999999999999707</v>
      </c>
      <c r="J541" s="11">
        <v>0</v>
      </c>
      <c r="K541" s="11">
        <v>2.6</v>
      </c>
      <c r="L541" s="11">
        <v>44</v>
      </c>
      <c r="M541" s="11">
        <f>100-Tabelle1[[#This Row],[Wasser '[g/100g']]]</f>
        <v>56</v>
      </c>
      <c r="N541" s="11">
        <v>250</v>
      </c>
      <c r="O541" s="11">
        <v>200</v>
      </c>
      <c r="P541" s="11">
        <v>13</v>
      </c>
      <c r="Q541" s="11">
        <v>700</v>
      </c>
      <c r="R541" s="11">
        <v>100</v>
      </c>
      <c r="S541" s="11"/>
      <c r="T541" s="11">
        <v>0.2</v>
      </c>
      <c r="U541" s="11">
        <v>2</v>
      </c>
      <c r="V541" s="11">
        <v>0</v>
      </c>
      <c r="W541" s="11">
        <v>70</v>
      </c>
      <c r="X541" s="11">
        <v>30</v>
      </c>
      <c r="Y541" s="11">
        <v>20</v>
      </c>
      <c r="Z541" s="11"/>
      <c r="AA541" s="11">
        <v>0.8</v>
      </c>
      <c r="AB541" s="11">
        <v>1.2</v>
      </c>
      <c r="AC541" s="11">
        <v>480</v>
      </c>
      <c r="AD541" s="11">
        <v>0.04</v>
      </c>
      <c r="AE541" s="11">
        <v>0.35</v>
      </c>
      <c r="AF541" s="11">
        <v>1.2</v>
      </c>
      <c r="AG541" s="11">
        <v>100</v>
      </c>
      <c r="AH541" s="11">
        <v>1.2</v>
      </c>
      <c r="AI541" s="11">
        <v>0</v>
      </c>
      <c r="AJ541" s="11">
        <v>18.899999999999999</v>
      </c>
      <c r="AK541" s="11">
        <v>50</v>
      </c>
      <c r="AL541" s="11">
        <v>3.8</v>
      </c>
      <c r="AM541" s="11">
        <v>0</v>
      </c>
      <c r="AN541" s="11">
        <v>0</v>
      </c>
      <c r="AO541" s="11">
        <v>0</v>
      </c>
      <c r="AP541" s="11">
        <v>0</v>
      </c>
      <c r="AQ541" s="11">
        <v>1.6</v>
      </c>
      <c r="AR541" s="11">
        <v>1.6</v>
      </c>
      <c r="AS541" s="11">
        <v>0.39200000000000002</v>
      </c>
      <c r="AT541" s="11">
        <v>5.8999999999999997E-2</v>
      </c>
      <c r="AU541" s="11">
        <v>0.36</v>
      </c>
      <c r="AV541" s="11">
        <v>1.1000000000000001</v>
      </c>
      <c r="AW541" s="11">
        <v>0.35199999999999998</v>
      </c>
      <c r="AX541" s="9">
        <f>Tabelle1[[#This Row],[Vitamin D3 '[µg/100g']]]*40</f>
        <v>32</v>
      </c>
      <c r="AY541" s="9">
        <f>Tabelle1[[#This Row],[Vitamin A '[µg/100g']]]*3.33</f>
        <v>1598.4</v>
      </c>
      <c r="AZ541" s="9">
        <f>Tabelle1[[#This Row],[Vitamin E '[mg/100g']]]*1.49</f>
        <v>1.788</v>
      </c>
    </row>
    <row r="542" spans="1:52" hidden="1" x14ac:dyDescent="0.45">
      <c r="A542" t="s">
        <v>877</v>
      </c>
      <c r="B542" s="5" t="s">
        <v>859</v>
      </c>
      <c r="C542" s="6" t="s">
        <v>860</v>
      </c>
      <c r="D542" s="13">
        <v>39</v>
      </c>
      <c r="E542" s="11">
        <f>Tabelle1[[#This Row],[Energie '[kcal/100g']]]/239</f>
        <v>0.16317991631799164</v>
      </c>
      <c r="F542" s="13">
        <v>0.97099999999999997</v>
      </c>
      <c r="G542" s="11">
        <f>Tabelle1[[#This Row],[Rohprotein '[g/100g']]]*0.85</f>
        <v>0.82534999999999992</v>
      </c>
      <c r="H542" s="13">
        <v>0.216</v>
      </c>
      <c r="I542" s="11">
        <f>Tabelle1[[#This Row],[TS]]-Tabelle1[[#This Row],[Rohprotein '[g/100g']]]-Tabelle1[[#This Row],[Rohfett '[g/100g']]]-Tabelle1[[#This Row],[Rohasche '[g/100g']]]-Tabelle1[[#This Row],[Rohfaser '[g/100g']]]</f>
        <v>7.9469999999999947</v>
      </c>
      <c r="J542" s="11">
        <v>0</v>
      </c>
      <c r="K542" s="13">
        <v>0.71599999999999997</v>
      </c>
      <c r="L542" s="13">
        <v>90.15</v>
      </c>
      <c r="M542" s="13">
        <f>100-Tabelle1[[#This Row],[Wasser '[g/100g']]]</f>
        <v>9.8499999999999943</v>
      </c>
      <c r="N542" s="13">
        <v>43.7</v>
      </c>
      <c r="O542" s="13">
        <v>36.5</v>
      </c>
      <c r="P542" s="13">
        <v>13.4</v>
      </c>
      <c r="Q542" s="13">
        <v>57</v>
      </c>
      <c r="R542" s="13">
        <v>264</v>
      </c>
      <c r="S542" s="13"/>
      <c r="T542" s="13">
        <v>0.375</v>
      </c>
      <c r="U542" s="13">
        <v>6.9000000000000006E-2</v>
      </c>
      <c r="V542" s="11">
        <v>0</v>
      </c>
      <c r="W542" s="13">
        <v>55</v>
      </c>
      <c r="X542" s="13">
        <v>67</v>
      </c>
      <c r="Y542" s="13">
        <v>7</v>
      </c>
      <c r="Z542" s="13"/>
      <c r="AA542" s="13">
        <v>0</v>
      </c>
      <c r="AB542" s="13">
        <v>0.49</v>
      </c>
      <c r="AC542" s="13">
        <v>11</v>
      </c>
      <c r="AD542" s="13">
        <v>3.5000000000000003E-2</v>
      </c>
      <c r="AE542" s="13">
        <v>4.8000000000000001E-2</v>
      </c>
      <c r="AF542" s="13">
        <v>0.624</v>
      </c>
      <c r="AG542" s="13">
        <v>71</v>
      </c>
      <c r="AH542" s="13">
        <v>0</v>
      </c>
      <c r="AI542" s="13">
        <v>16.667000000000002</v>
      </c>
      <c r="AJ542" s="13">
        <v>2</v>
      </c>
      <c r="AK542" s="13">
        <v>14</v>
      </c>
      <c r="AL542" s="13">
        <v>2</v>
      </c>
      <c r="AM542" s="13">
        <v>0</v>
      </c>
      <c r="AN542" s="13">
        <v>9.2999999999999999E-2</v>
      </c>
      <c r="AO542" s="13">
        <v>0</v>
      </c>
      <c r="AP542" s="13">
        <v>0</v>
      </c>
      <c r="AQ542" s="13">
        <v>3.6999999999999998E-2</v>
      </c>
      <c r="AR542" s="13">
        <v>3.6999999999999998E-2</v>
      </c>
      <c r="AS542" s="13">
        <v>5.5E-2</v>
      </c>
      <c r="AT542" s="13">
        <v>8.0000000000000002E-3</v>
      </c>
      <c r="AU542" s="13">
        <v>0.02</v>
      </c>
      <c r="AV542" s="13">
        <v>0.05</v>
      </c>
      <c r="AW542" s="13">
        <v>1.0999999999999999E-2</v>
      </c>
      <c r="AX542" s="9">
        <f>Tabelle1[[#This Row],[Vitamin D3 '[µg/100g']]]*40</f>
        <v>0</v>
      </c>
      <c r="AY542" s="9">
        <f>Tabelle1[[#This Row],[Vitamin A '[µg/100g']]]*3.33</f>
        <v>36.630000000000003</v>
      </c>
      <c r="AZ542" s="9">
        <f>Tabelle1[[#This Row],[Vitamin E '[mg/100g']]]*1.49</f>
        <v>0.73009999999999997</v>
      </c>
    </row>
    <row r="543" spans="1:52" hidden="1" x14ac:dyDescent="0.45">
      <c r="A543" t="s">
        <v>877</v>
      </c>
      <c r="B543" s="3" t="s">
        <v>861</v>
      </c>
      <c r="C543" s="4" t="s">
        <v>862</v>
      </c>
      <c r="D543" s="11">
        <v>39</v>
      </c>
      <c r="E543" s="11">
        <f>Tabelle1[[#This Row],[Energie '[kcal/100g']]]/239</f>
        <v>0.16317991631799164</v>
      </c>
      <c r="F543" s="11">
        <v>0.95799999999999996</v>
      </c>
      <c r="G543" s="11">
        <f>Tabelle1[[#This Row],[Rohprotein '[g/100g']]]*0.85</f>
        <v>0.81429999999999991</v>
      </c>
      <c r="H543" s="11">
        <v>0.21299999999999999</v>
      </c>
      <c r="I543" s="11">
        <f>Tabelle1[[#This Row],[TS]]-Tabelle1[[#This Row],[Rohprotein '[g/100g']]]-Tabelle1[[#This Row],[Rohfett '[g/100g']]]-Tabelle1[[#This Row],[Rohasche '[g/100g']]]-Tabelle1[[#This Row],[Rohfaser '[g/100g']]]</f>
        <v>7.7390000000000025</v>
      </c>
      <c r="J543" s="11">
        <v>0</v>
      </c>
      <c r="K543" s="11">
        <v>0.51</v>
      </c>
      <c r="L543" s="11">
        <v>90.58</v>
      </c>
      <c r="M543" s="11">
        <f>100-Tabelle1[[#This Row],[Wasser '[g/100g']]]</f>
        <v>9.4200000000000017</v>
      </c>
      <c r="N543" s="11">
        <v>45.6</v>
      </c>
      <c r="O543" s="11">
        <v>36</v>
      </c>
      <c r="P543" s="11">
        <v>12.2</v>
      </c>
      <c r="Q543" s="11">
        <v>51</v>
      </c>
      <c r="R543" s="11">
        <v>217</v>
      </c>
      <c r="S543" s="11"/>
      <c r="T543" s="11">
        <v>0.36199999999999999</v>
      </c>
      <c r="U543" s="11">
        <v>6.6000000000000003E-2</v>
      </c>
      <c r="V543" s="11">
        <v>0</v>
      </c>
      <c r="W543" s="11">
        <v>57</v>
      </c>
      <c r="X543" s="11">
        <v>67</v>
      </c>
      <c r="Y543" s="11">
        <v>6.9</v>
      </c>
      <c r="Z543" s="11"/>
      <c r="AA543" s="11">
        <v>0</v>
      </c>
      <c r="AB543" s="11">
        <v>0.53800000000000003</v>
      </c>
      <c r="AC543" s="11">
        <v>66</v>
      </c>
      <c r="AD543" s="11">
        <v>3.4000000000000002E-2</v>
      </c>
      <c r="AE543" s="11">
        <v>4.3999999999999997E-2</v>
      </c>
      <c r="AF543" s="11">
        <v>0.58399999999999996</v>
      </c>
      <c r="AG543" s="11">
        <v>72</v>
      </c>
      <c r="AH543" s="11">
        <v>0</v>
      </c>
      <c r="AI543" s="11">
        <v>12.688000000000001</v>
      </c>
      <c r="AJ543" s="11">
        <v>2</v>
      </c>
      <c r="AK543" s="11">
        <v>24</v>
      </c>
      <c r="AL543" s="11">
        <v>2</v>
      </c>
      <c r="AM543" s="11">
        <v>0</v>
      </c>
      <c r="AN543" s="11">
        <v>9.1999999999999998E-2</v>
      </c>
      <c r="AO543" s="11">
        <v>0</v>
      </c>
      <c r="AP543" s="11">
        <v>0</v>
      </c>
      <c r="AQ543" s="11">
        <v>3.6999999999999998E-2</v>
      </c>
      <c r="AR543" s="11">
        <v>3.6999999999999998E-2</v>
      </c>
      <c r="AS543" s="11">
        <v>5.3999999999999999E-2</v>
      </c>
      <c r="AT543" s="11">
        <v>8.0000000000000002E-3</v>
      </c>
      <c r="AU543" s="11">
        <v>1.9E-2</v>
      </c>
      <c r="AV543" s="11">
        <v>4.9000000000000002E-2</v>
      </c>
      <c r="AW543" s="11">
        <v>1.0999999999999999E-2</v>
      </c>
      <c r="AX543" s="9">
        <f>Tabelle1[[#This Row],[Vitamin D3 '[µg/100g']]]*40</f>
        <v>0</v>
      </c>
      <c r="AY543" s="9">
        <f>Tabelle1[[#This Row],[Vitamin A '[µg/100g']]]*3.33</f>
        <v>219.78</v>
      </c>
      <c r="AZ543" s="9">
        <f>Tabelle1[[#This Row],[Vitamin E '[mg/100g']]]*1.49</f>
        <v>0.80162</v>
      </c>
    </row>
    <row r="544" spans="1:52" hidden="1" x14ac:dyDescent="0.45">
      <c r="A544" t="s">
        <v>877</v>
      </c>
      <c r="B544" s="3" t="s">
        <v>863</v>
      </c>
      <c r="C544" s="4" t="s">
        <v>864</v>
      </c>
      <c r="D544" s="11">
        <v>40</v>
      </c>
      <c r="E544" s="11">
        <f>Tabelle1[[#This Row],[Energie '[kcal/100g']]]/239</f>
        <v>0.16736401673640167</v>
      </c>
      <c r="F544" s="11">
        <v>0.99</v>
      </c>
      <c r="G544" s="11">
        <f>Tabelle1[[#This Row],[Rohprotein '[g/100g']]]*0.85</f>
        <v>0.84150000000000003</v>
      </c>
      <c r="H544" s="11">
        <v>0.22</v>
      </c>
      <c r="I544" s="11">
        <f>Tabelle1[[#This Row],[TS]]-Tabelle1[[#This Row],[Rohprotein '[g/100g']]]-Tabelle1[[#This Row],[Rohfett '[g/100g']]]-Tabelle1[[#This Row],[Rohasche '[g/100g']]]-Tabelle1[[#This Row],[Rohfaser '[g/100g']]]</f>
        <v>8.1500000000000021</v>
      </c>
      <c r="J544" s="11">
        <v>0</v>
      </c>
      <c r="K544" s="11">
        <v>0.73</v>
      </c>
      <c r="L544" s="11">
        <v>89.91</v>
      </c>
      <c r="M544" s="11">
        <f>100-Tabelle1[[#This Row],[Wasser '[g/100g']]]</f>
        <v>10.090000000000003</v>
      </c>
      <c r="N544" s="11">
        <v>44.6</v>
      </c>
      <c r="O544" s="11">
        <v>37.200000000000003</v>
      </c>
      <c r="P544" s="11">
        <v>13.7</v>
      </c>
      <c r="Q544" s="11">
        <v>58</v>
      </c>
      <c r="R544" s="11">
        <v>269</v>
      </c>
      <c r="S544" s="11"/>
      <c r="T544" s="11">
        <v>0.38300000000000001</v>
      </c>
      <c r="U544" s="11">
        <v>7.0000000000000007E-2</v>
      </c>
      <c r="V544" s="11">
        <v>0</v>
      </c>
      <c r="W544" s="11">
        <v>56</v>
      </c>
      <c r="X544" s="11">
        <v>68</v>
      </c>
      <c r="Y544" s="11">
        <v>7.5</v>
      </c>
      <c r="Z544" s="11"/>
      <c r="AA544" s="11">
        <v>0</v>
      </c>
      <c r="AB544" s="11">
        <v>0.5</v>
      </c>
      <c r="AC544" s="11">
        <v>12</v>
      </c>
      <c r="AD544" s="11">
        <v>0.04</v>
      </c>
      <c r="AE544" s="11">
        <v>5.0999999999999997E-2</v>
      </c>
      <c r="AF544" s="11">
        <v>0.67</v>
      </c>
      <c r="AG544" s="11">
        <v>80</v>
      </c>
      <c r="AH544" s="11">
        <v>0</v>
      </c>
      <c r="AI544" s="11">
        <v>20</v>
      </c>
      <c r="AJ544" s="11">
        <v>2</v>
      </c>
      <c r="AK544" s="11">
        <v>20</v>
      </c>
      <c r="AL544" s="11">
        <v>2</v>
      </c>
      <c r="AM544" s="11">
        <v>0</v>
      </c>
      <c r="AN544" s="11">
        <v>9.5000000000000001E-2</v>
      </c>
      <c r="AO544" s="11">
        <v>0</v>
      </c>
      <c r="AP544" s="11">
        <v>0</v>
      </c>
      <c r="AQ544" s="11">
        <v>3.7999999999999999E-2</v>
      </c>
      <c r="AR544" s="11">
        <v>3.7999999999999999E-2</v>
      </c>
      <c r="AS544" s="11">
        <v>5.6000000000000001E-2</v>
      </c>
      <c r="AT544" s="11">
        <v>8.0000000000000002E-3</v>
      </c>
      <c r="AU544" s="11">
        <v>0.02</v>
      </c>
      <c r="AV544" s="11">
        <v>5.0999999999999997E-2</v>
      </c>
      <c r="AW544" s="11">
        <v>1.0999999999999999E-2</v>
      </c>
      <c r="AX544" s="9">
        <f>Tabelle1[[#This Row],[Vitamin D3 '[µg/100g']]]*40</f>
        <v>0</v>
      </c>
      <c r="AY544" s="9">
        <f>Tabelle1[[#This Row],[Vitamin A '[µg/100g']]]*3.33</f>
        <v>39.96</v>
      </c>
      <c r="AZ544" s="9">
        <f>Tabelle1[[#This Row],[Vitamin E '[mg/100g']]]*1.49</f>
        <v>0.745</v>
      </c>
    </row>
    <row r="545" spans="1:52" hidden="1" x14ac:dyDescent="0.45">
      <c r="A545" t="s">
        <v>534</v>
      </c>
      <c r="B545" s="3" t="s">
        <v>516</v>
      </c>
      <c r="C545" s="4" t="s">
        <v>517</v>
      </c>
      <c r="D545" s="11">
        <v>331</v>
      </c>
      <c r="E545" s="13">
        <f>Tabelle1[[#This Row],[Energie '[kcal/100g']]]/239</f>
        <v>1.3849372384937237</v>
      </c>
      <c r="F545" s="11">
        <v>12.8125</v>
      </c>
      <c r="G545" s="13">
        <f>Tabelle1[[#This Row],[Rohprotein '[g/100g']]]*0.85</f>
        <v>10.890625</v>
      </c>
      <c r="H545" s="11">
        <v>1.833</v>
      </c>
      <c r="I545" s="11">
        <f>Tabelle1[[#This Row],[TS]]-Tabelle1[[#This Row],[Rohprotein '[g/100g']]]-Tabelle1[[#This Row],[Rohfett '[g/100g']]]-Tabelle1[[#This Row],[Rohasche '[g/100g']]]-Tabelle1[[#This Row],[Rohfaser '[g/100g']]]</f>
        <v>71.154499999999999</v>
      </c>
      <c r="J545" s="11">
        <v>0</v>
      </c>
      <c r="K545" s="11">
        <v>1.55</v>
      </c>
      <c r="L545" s="11">
        <v>12.65</v>
      </c>
      <c r="M545" s="11">
        <f>100-Tabelle1[[#This Row],[Wasser '[g/100g']]]</f>
        <v>87.35</v>
      </c>
      <c r="N545" s="11">
        <v>29.4</v>
      </c>
      <c r="O545" s="11">
        <v>341.68099999999998</v>
      </c>
      <c r="P545" s="11">
        <v>119</v>
      </c>
      <c r="Q545" s="11">
        <v>8</v>
      </c>
      <c r="R545" s="11">
        <v>396</v>
      </c>
      <c r="S545" s="11"/>
      <c r="T545" s="11">
        <v>4.4000000000000004</v>
      </c>
      <c r="U545" s="11">
        <v>2.63</v>
      </c>
      <c r="V545" s="11">
        <v>0</v>
      </c>
      <c r="W545" s="11">
        <v>377</v>
      </c>
      <c r="X545" s="11">
        <v>3260</v>
      </c>
      <c r="Y545" s="11">
        <v>6.6749999999999998</v>
      </c>
      <c r="Z545" s="11"/>
      <c r="AA545" s="11">
        <v>0</v>
      </c>
      <c r="AB545" s="11">
        <v>1</v>
      </c>
      <c r="AC545" s="11">
        <v>3</v>
      </c>
      <c r="AD545" s="11">
        <v>0.19</v>
      </c>
      <c r="AE545" s="11">
        <v>0.08</v>
      </c>
      <c r="AF545" s="11">
        <v>5.0999999999999996</v>
      </c>
      <c r="AG545" s="11">
        <v>269</v>
      </c>
      <c r="AH545" s="11">
        <v>0</v>
      </c>
      <c r="AI545" s="11">
        <v>0</v>
      </c>
      <c r="AJ545" s="11">
        <v>0.95199999999999996</v>
      </c>
      <c r="AK545" s="11">
        <v>91.3</v>
      </c>
      <c r="AL545" s="11">
        <v>6</v>
      </c>
      <c r="AM545" s="11">
        <v>0</v>
      </c>
      <c r="AN545" s="11">
        <v>5.0999999999999997E-2</v>
      </c>
      <c r="AO545" s="11">
        <v>0</v>
      </c>
      <c r="AP545" s="11">
        <v>0</v>
      </c>
      <c r="AQ545" s="11">
        <v>0.76500000000000001</v>
      </c>
      <c r="AR545" s="11">
        <v>0.76200000000000001</v>
      </c>
      <c r="AS545" s="11">
        <v>0.58299999999999996</v>
      </c>
      <c r="AT545" s="11">
        <v>0.27160000000000001</v>
      </c>
      <c r="AU545" s="11">
        <v>0.2908</v>
      </c>
      <c r="AV545" s="11">
        <v>0.34079999999999999</v>
      </c>
      <c r="AW545" s="11">
        <v>0.20119999999999999</v>
      </c>
      <c r="AX545" s="9">
        <f>Tabelle1[[#This Row],[Vitamin D3 '[µg/100g']]]*40</f>
        <v>0</v>
      </c>
      <c r="AY545" s="9">
        <f>Tabelle1[[#This Row],[Vitamin A '[µg/100g']]]*3.33</f>
        <v>9.99</v>
      </c>
      <c r="AZ545" s="9">
        <f>Tabelle1[[#This Row],[Vitamin E '[mg/100g']]]*1.49</f>
        <v>1.49</v>
      </c>
    </row>
    <row r="546" spans="1:52" hidden="1" x14ac:dyDescent="0.45">
      <c r="A546" t="s">
        <v>534</v>
      </c>
      <c r="B546" s="3" t="s">
        <v>520</v>
      </c>
      <c r="C546" s="4" t="s">
        <v>521</v>
      </c>
      <c r="D546" s="11">
        <v>56</v>
      </c>
      <c r="E546" s="13">
        <f>Tabelle1[[#This Row],[Energie '[kcal/100g']]]/239</f>
        <v>0.23430962343096234</v>
      </c>
      <c r="F546" s="11">
        <v>2.1678999999999999</v>
      </c>
      <c r="G546" s="13">
        <f>Tabelle1[[#This Row],[Rohprotein '[g/100g']]]*0.85</f>
        <v>1.8427149999999999</v>
      </c>
      <c r="H546" s="11">
        <v>0.31</v>
      </c>
      <c r="I546" s="11">
        <f>Tabelle1[[#This Row],[TS]]-Tabelle1[[#This Row],[Rohprotein '[g/100g']]]-Tabelle1[[#This Row],[Rohfett '[g/100g']]]-Tabelle1[[#This Row],[Rohasche '[g/100g']]]-Tabelle1[[#This Row],[Rohfaser '[g/100g']]]</f>
        <v>10.9451</v>
      </c>
      <c r="J546" s="11">
        <v>0</v>
      </c>
      <c r="K546" s="11">
        <v>0.22600000000000001</v>
      </c>
      <c r="L546" s="11">
        <v>86.350999999999999</v>
      </c>
      <c r="M546" s="11">
        <f>100-Tabelle1[[#This Row],[Wasser '[g/100g']]]</f>
        <v>13.649000000000001</v>
      </c>
      <c r="N546" s="11">
        <v>5</v>
      </c>
      <c r="O546" s="11">
        <v>54.923000000000002</v>
      </c>
      <c r="P546" s="11">
        <v>20</v>
      </c>
      <c r="Q546" s="11">
        <v>1</v>
      </c>
      <c r="R546" s="11">
        <v>64</v>
      </c>
      <c r="S546" s="11"/>
      <c r="T546" s="11">
        <v>0.7</v>
      </c>
      <c r="U546" s="11">
        <v>0.45</v>
      </c>
      <c r="V546" s="11">
        <v>0</v>
      </c>
      <c r="W546" s="11">
        <v>61</v>
      </c>
      <c r="X546" s="11">
        <v>550</v>
      </c>
      <c r="Y546" s="11">
        <v>1.016</v>
      </c>
      <c r="Z546" s="11"/>
      <c r="AA546" s="11">
        <v>0</v>
      </c>
      <c r="AB546" s="11">
        <v>0.16900000000000001</v>
      </c>
      <c r="AC546" s="11">
        <v>0</v>
      </c>
      <c r="AD546" s="11">
        <v>2.5999999999999999E-2</v>
      </c>
      <c r="AE546" s="11">
        <v>1.2E-2</v>
      </c>
      <c r="AF546" s="11">
        <v>0.77700000000000002</v>
      </c>
      <c r="AG546" s="11">
        <v>41</v>
      </c>
      <c r="AH546" s="11">
        <v>0</v>
      </c>
      <c r="AI546" s="11">
        <v>0</v>
      </c>
      <c r="AJ546" s="11">
        <v>0.161</v>
      </c>
      <c r="AK546" s="11">
        <v>10.8</v>
      </c>
      <c r="AL546" s="11">
        <v>1</v>
      </c>
      <c r="AM546" s="11">
        <v>0</v>
      </c>
      <c r="AN546" s="11">
        <v>8.9999999999999993E-3</v>
      </c>
      <c r="AO546" s="11">
        <v>0</v>
      </c>
      <c r="AP546" s="11">
        <v>0</v>
      </c>
      <c r="AQ546" s="11">
        <v>0.129</v>
      </c>
      <c r="AR546" s="11">
        <v>0.129</v>
      </c>
      <c r="AS546" s="11">
        <v>9.8599999999999993E-2</v>
      </c>
      <c r="AT546" s="11">
        <v>4.5999999999999999E-2</v>
      </c>
      <c r="AU546" s="11">
        <v>4.9200000000000001E-2</v>
      </c>
      <c r="AV546" s="11">
        <v>5.7700000000000001E-2</v>
      </c>
      <c r="AW546" s="11">
        <v>3.4000000000000002E-2</v>
      </c>
      <c r="AX546" s="9">
        <f>Tabelle1[[#This Row],[Vitamin D3 '[µg/100g']]]*40</f>
        <v>0</v>
      </c>
      <c r="AY546" s="9">
        <f>Tabelle1[[#This Row],[Vitamin A '[µg/100g']]]*3.33</f>
        <v>0</v>
      </c>
      <c r="AZ546" s="9">
        <f>Tabelle1[[#This Row],[Vitamin E '[mg/100g']]]*1.49</f>
        <v>0.25181000000000003</v>
      </c>
    </row>
    <row r="547" spans="1:52" hidden="1" x14ac:dyDescent="0.45">
      <c r="A547" t="s">
        <v>534</v>
      </c>
      <c r="B547" s="3" t="s">
        <v>524</v>
      </c>
      <c r="C547" s="4" t="s">
        <v>525</v>
      </c>
      <c r="D547" s="11">
        <v>348</v>
      </c>
      <c r="E547" s="13">
        <f>Tabelle1[[#This Row],[Energie '[kcal/100g']]]/239</f>
        <v>1.4560669456066946</v>
      </c>
      <c r="F547" s="11">
        <v>10.46</v>
      </c>
      <c r="G547" s="13">
        <f>Tabelle1[[#This Row],[Rohprotein '[g/100g']]]*0.85</f>
        <v>8.891</v>
      </c>
      <c r="H547" s="11">
        <v>0.93</v>
      </c>
      <c r="I547" s="11">
        <f>Tabelle1[[#This Row],[TS]]-Tabelle1[[#This Row],[Rohprotein '[g/100g']]]-Tabelle1[[#This Row],[Rohfett '[g/100g']]]-Tabelle1[[#This Row],[Rohasche '[g/100g']]]-Tabelle1[[#This Row],[Rohfaser '[g/100g']]]</f>
        <v>74.619999999999976</v>
      </c>
      <c r="J547" s="11">
        <v>0</v>
      </c>
      <c r="K547" s="11">
        <v>0.4</v>
      </c>
      <c r="L547" s="11">
        <v>13.59</v>
      </c>
      <c r="M547" s="11">
        <f>100-Tabelle1[[#This Row],[Wasser '[g/100g']]]</f>
        <v>86.41</v>
      </c>
      <c r="N547" s="11">
        <v>10.8</v>
      </c>
      <c r="O547" s="11">
        <v>68.400000000000006</v>
      </c>
      <c r="P547" s="11">
        <v>14.5</v>
      </c>
      <c r="Q547" s="11">
        <v>0.9</v>
      </c>
      <c r="R547" s="11">
        <v>146.9</v>
      </c>
      <c r="S547" s="11"/>
      <c r="T547" s="11">
        <v>0.65390000000000004</v>
      </c>
      <c r="U547" s="11">
        <v>0.46949999999999997</v>
      </c>
      <c r="V547" s="11">
        <v>0</v>
      </c>
      <c r="W547" s="11">
        <v>101.8</v>
      </c>
      <c r="X547" s="11">
        <v>364.9</v>
      </c>
      <c r="Y547" s="11">
        <v>7.3930300000000004</v>
      </c>
      <c r="Z547" s="11"/>
      <c r="AA547" s="11">
        <v>0</v>
      </c>
      <c r="AB547" s="11">
        <v>0.24399999999999999</v>
      </c>
      <c r="AC547" s="11">
        <v>0</v>
      </c>
      <c r="AD547" s="11">
        <v>0.11600000000000001</v>
      </c>
      <c r="AE547" s="11">
        <v>2.8000000000000001E-2</v>
      </c>
      <c r="AF547" s="11">
        <v>0.95</v>
      </c>
      <c r="AG547" s="11">
        <v>41</v>
      </c>
      <c r="AH547" s="11">
        <v>0</v>
      </c>
      <c r="AI547" s="11">
        <v>0</v>
      </c>
      <c r="AJ547" s="11">
        <v>0.35699999999999998</v>
      </c>
      <c r="AK547" s="11">
        <v>13.8</v>
      </c>
      <c r="AL547" s="11">
        <v>1.52</v>
      </c>
      <c r="AM547" s="11">
        <v>0</v>
      </c>
      <c r="AN547" s="11">
        <v>0.03</v>
      </c>
      <c r="AO547" s="11">
        <v>0</v>
      </c>
      <c r="AP547" s="11">
        <v>0</v>
      </c>
      <c r="AQ547" s="11">
        <v>0.41</v>
      </c>
      <c r="AR547" s="11">
        <v>0.41</v>
      </c>
      <c r="AS547" s="11">
        <v>0.4</v>
      </c>
      <c r="AT547" s="11">
        <v>0.25</v>
      </c>
      <c r="AU547" s="11">
        <v>0.23</v>
      </c>
      <c r="AV547" s="11">
        <v>0.22</v>
      </c>
      <c r="AW547" s="11">
        <v>0.18</v>
      </c>
      <c r="AX547" s="9">
        <f>Tabelle1[[#This Row],[Vitamin D3 '[µg/100g']]]*40</f>
        <v>0</v>
      </c>
      <c r="AY547" s="9">
        <f>Tabelle1[[#This Row],[Vitamin A '[µg/100g']]]*3.33</f>
        <v>0</v>
      </c>
      <c r="AZ547" s="9">
        <f>Tabelle1[[#This Row],[Vitamin E '[mg/100g']]]*1.49</f>
        <v>0.36355999999999999</v>
      </c>
    </row>
    <row r="548" spans="1:52" hidden="1" x14ac:dyDescent="0.45">
      <c r="A548" t="s">
        <v>534</v>
      </c>
      <c r="B548" s="3" t="s">
        <v>526</v>
      </c>
      <c r="C548" s="4" t="s">
        <v>527</v>
      </c>
      <c r="D548" s="11">
        <v>335</v>
      </c>
      <c r="E548" s="13">
        <f>Tabelle1[[#This Row],[Energie '[kcal/100g']]]/239</f>
        <v>1.401673640167364</v>
      </c>
      <c r="F548" s="11">
        <v>0.43099999999999999</v>
      </c>
      <c r="G548" s="13">
        <f>Tabelle1[[#This Row],[Rohprotein '[g/100g']]]*0.85</f>
        <v>0.36635000000000001</v>
      </c>
      <c r="H548" s="11">
        <v>0.14000000000000001</v>
      </c>
      <c r="I548" s="11">
        <f>Tabelle1[[#This Row],[TS]]-Tabelle1[[#This Row],[Rohprotein '[g/100g']]]-Tabelle1[[#This Row],[Rohfett '[g/100g']]]-Tabelle1[[#This Row],[Rohasche '[g/100g']]]-Tabelle1[[#This Row],[Rohfaser '[g/100g']]]</f>
        <v>86.929000000000002</v>
      </c>
      <c r="J548" s="11">
        <v>0</v>
      </c>
      <c r="K548" s="11">
        <v>0.2</v>
      </c>
      <c r="L548" s="11">
        <v>12.3</v>
      </c>
      <c r="M548" s="11">
        <f>100-Tabelle1[[#This Row],[Wasser '[g/100g']]]</f>
        <v>87.7</v>
      </c>
      <c r="N548" s="11" t="s">
        <v>383</v>
      </c>
      <c r="O548" s="11">
        <v>30</v>
      </c>
      <c r="P548" s="11">
        <v>2</v>
      </c>
      <c r="Q548" s="11">
        <v>2</v>
      </c>
      <c r="R548" s="11">
        <v>16</v>
      </c>
      <c r="S548" s="11"/>
      <c r="T548" s="11">
        <v>0</v>
      </c>
      <c r="U548" s="11">
        <v>0.06</v>
      </c>
      <c r="V548" s="11">
        <v>0</v>
      </c>
      <c r="W548" s="11">
        <v>50</v>
      </c>
      <c r="X548" s="11">
        <v>1000</v>
      </c>
      <c r="Y548" s="11">
        <v>2.5</v>
      </c>
      <c r="Z548" s="11"/>
      <c r="AA548" s="11">
        <v>0</v>
      </c>
      <c r="AB548" s="11">
        <v>0</v>
      </c>
      <c r="AC548" s="11">
        <v>0</v>
      </c>
      <c r="AD548" s="11">
        <v>0</v>
      </c>
      <c r="AE548" s="11">
        <v>8.0000000000000002E-3</v>
      </c>
      <c r="AF548" s="11">
        <v>0.03</v>
      </c>
      <c r="AG548" s="11">
        <v>5</v>
      </c>
      <c r="AH548" s="11">
        <v>0</v>
      </c>
      <c r="AI548" s="11">
        <v>0</v>
      </c>
      <c r="AJ548" s="11">
        <v>0</v>
      </c>
      <c r="AK548" s="11">
        <v>0</v>
      </c>
      <c r="AL548" s="11">
        <v>6</v>
      </c>
      <c r="AM548" s="11">
        <v>0</v>
      </c>
      <c r="AN548" s="11">
        <v>4.0000000000000001E-3</v>
      </c>
      <c r="AO548" s="11">
        <v>0</v>
      </c>
      <c r="AP548" s="11">
        <v>0</v>
      </c>
      <c r="AQ548" s="11">
        <v>6.2E-2</v>
      </c>
      <c r="AR548" s="11">
        <v>6.2E-2</v>
      </c>
      <c r="AS548" s="11">
        <v>1.6E-2</v>
      </c>
      <c r="AT548" s="11">
        <v>0.01</v>
      </c>
      <c r="AU548" s="11">
        <v>8.9999999999999993E-3</v>
      </c>
      <c r="AV548" s="11">
        <v>8.9999999999999993E-3</v>
      </c>
      <c r="AW548" s="11">
        <v>7.0000000000000001E-3</v>
      </c>
      <c r="AX548" s="9">
        <f>Tabelle1[[#This Row],[Vitamin D3 '[µg/100g']]]*40</f>
        <v>0</v>
      </c>
      <c r="AY548" s="9">
        <f>Tabelle1[[#This Row],[Vitamin A '[µg/100g']]]*3.33</f>
        <v>0</v>
      </c>
      <c r="AZ548" s="9">
        <f>Tabelle1[[#This Row],[Vitamin E '[mg/100g']]]*1.49</f>
        <v>0</v>
      </c>
    </row>
    <row r="549" spans="1:52" hidden="1" x14ac:dyDescent="0.45">
      <c r="A549" t="s">
        <v>972</v>
      </c>
      <c r="B549" s="3" t="s">
        <v>959</v>
      </c>
      <c r="C549" s="4" t="s">
        <v>960</v>
      </c>
      <c r="D549" s="11">
        <v>900</v>
      </c>
      <c r="E549" s="11">
        <f>Tabelle1[[#This Row],[Energie '[kcal/100g']]]/239</f>
        <v>3.7656903765690375</v>
      </c>
      <c r="F549" s="11">
        <v>0</v>
      </c>
      <c r="G549" s="11">
        <f>Tabelle1[[#This Row],[Rohprotein '[g/100g']]]*0.85</f>
        <v>0</v>
      </c>
      <c r="H549" s="11">
        <v>100</v>
      </c>
      <c r="I549" s="11">
        <f>Tabelle1[[#This Row],[TS]]-Tabelle1[[#This Row],[Rohprotein '[g/100g']]]-Tabelle1[[#This Row],[Rohfett '[g/100g']]]-Tabelle1[[#This Row],[Rohasche '[g/100g']]]-Tabelle1[[#This Row],[Rohfaser '[g/100g']]]</f>
        <v>0</v>
      </c>
      <c r="J549" s="11">
        <v>0</v>
      </c>
      <c r="K549" s="11">
        <v>0</v>
      </c>
      <c r="L549" s="11">
        <v>0</v>
      </c>
      <c r="M549" s="11">
        <f>100-Tabelle1[[#This Row],[Wasser '[g/100g']]]</f>
        <v>100</v>
      </c>
      <c r="N549" s="11">
        <v>15</v>
      </c>
      <c r="O549" s="11">
        <v>0</v>
      </c>
      <c r="P549" s="11">
        <v>0</v>
      </c>
      <c r="Q549" s="11">
        <v>1</v>
      </c>
      <c r="R549" s="11">
        <v>1</v>
      </c>
      <c r="S549" s="11"/>
      <c r="T549" s="11">
        <v>0</v>
      </c>
      <c r="U549" s="11">
        <v>5.0099999999999997E-3</v>
      </c>
      <c r="V549" s="11">
        <v>0</v>
      </c>
      <c r="W549" s="11">
        <v>0</v>
      </c>
      <c r="X549" s="11">
        <v>0</v>
      </c>
      <c r="Y549" s="11">
        <v>0</v>
      </c>
      <c r="Z549" s="11"/>
      <c r="AA549" s="11">
        <v>0</v>
      </c>
      <c r="AB549" s="11">
        <v>141.88</v>
      </c>
      <c r="AC549" s="11">
        <v>23</v>
      </c>
      <c r="AD549" s="11">
        <v>0</v>
      </c>
      <c r="AE549" s="11">
        <v>0</v>
      </c>
      <c r="AF549" s="11">
        <v>0</v>
      </c>
      <c r="AG549" s="11">
        <v>0</v>
      </c>
      <c r="AH549" s="11">
        <v>0</v>
      </c>
      <c r="AI549" s="11">
        <v>0</v>
      </c>
      <c r="AJ549" s="11">
        <v>24</v>
      </c>
      <c r="AK549" s="13">
        <v>0</v>
      </c>
      <c r="AL549" s="11">
        <v>0</v>
      </c>
      <c r="AM549" s="11">
        <v>0</v>
      </c>
      <c r="AN549" s="11">
        <v>7.8</v>
      </c>
      <c r="AO549" s="11">
        <v>0</v>
      </c>
      <c r="AP549" s="11">
        <v>0</v>
      </c>
      <c r="AQ549" s="11">
        <v>55.663600000000002</v>
      </c>
      <c r="AR549" s="11">
        <v>55.663600000000002</v>
      </c>
      <c r="AS549" s="11">
        <v>0</v>
      </c>
      <c r="AT549" s="11">
        <v>0</v>
      </c>
      <c r="AU549" s="11">
        <v>0</v>
      </c>
      <c r="AV549" s="11">
        <v>0</v>
      </c>
      <c r="AW549" s="11">
        <v>0</v>
      </c>
      <c r="AX549" s="9">
        <f>Tabelle1[[#This Row],[Vitamin D3 '[µg/100g']]]*40</f>
        <v>0</v>
      </c>
      <c r="AY549" s="9">
        <f>Tabelle1[[#This Row],[Vitamin A '[µg/100g']]]*3.33</f>
        <v>76.59</v>
      </c>
      <c r="AZ549" s="9">
        <f>Tabelle1[[#This Row],[Vitamin E '[mg/100g']]]*1.49</f>
        <v>211.40119999999999</v>
      </c>
    </row>
    <row r="550" spans="1:52" hidden="1" x14ac:dyDescent="0.45">
      <c r="A550" t="s">
        <v>58</v>
      </c>
      <c r="B550" s="5" t="s">
        <v>357</v>
      </c>
      <c r="C550" s="6" t="s">
        <v>358</v>
      </c>
      <c r="D550" s="13">
        <v>243</v>
      </c>
      <c r="E550" s="13">
        <f>Tabelle1[[#This Row],[Energie '[kcal/100g']]]/239</f>
        <v>1.0167364016736402</v>
      </c>
      <c r="F550" s="13">
        <v>27</v>
      </c>
      <c r="G550" s="13">
        <f>Tabelle1[[#This Row],[Rohprotein '[g/100g']]]*0.85</f>
        <v>22.95</v>
      </c>
      <c r="H550" s="13">
        <v>15</v>
      </c>
      <c r="I550" s="11">
        <f>Tabelle1[[#This Row],[TS]]-Tabelle1[[#This Row],[Rohprotein '[g/100g']]]-Tabelle1[[#This Row],[Rohfett '[g/100g']]]-Tabelle1[[#This Row],[Rohasche '[g/100g']]]-Tabelle1[[#This Row],[Rohfaser '[g/100g']]]</f>
        <v>-0.31000000000000294</v>
      </c>
      <c r="J550" s="11">
        <v>0</v>
      </c>
      <c r="K550" s="13">
        <v>1.61</v>
      </c>
      <c r="L550" s="13">
        <v>56.7</v>
      </c>
      <c r="M550" s="13">
        <f>100-Tabelle1[[#This Row],[Wasser '[g/100g']]]</f>
        <v>43.3</v>
      </c>
      <c r="N550" s="13">
        <v>8</v>
      </c>
      <c r="O550" s="13">
        <v>212</v>
      </c>
      <c r="P550" s="13">
        <v>25</v>
      </c>
      <c r="Q550" s="13">
        <v>71</v>
      </c>
      <c r="R550" s="13">
        <v>291</v>
      </c>
      <c r="S550" s="13"/>
      <c r="T550" s="13">
        <v>6.02</v>
      </c>
      <c r="U550" s="13">
        <v>1.18</v>
      </c>
      <c r="V550" s="11">
        <v>0</v>
      </c>
      <c r="W550" s="13">
        <v>365</v>
      </c>
      <c r="X550" s="13">
        <v>29</v>
      </c>
      <c r="Y550" s="13">
        <v>0</v>
      </c>
      <c r="Z550" s="13"/>
      <c r="AA550" s="13">
        <v>0.3</v>
      </c>
      <c r="AB550" s="13">
        <v>0.78879999999999995</v>
      </c>
      <c r="AC550" s="13">
        <v>4500</v>
      </c>
      <c r="AD550" s="13">
        <v>0.34599999999999997</v>
      </c>
      <c r="AE550" s="13">
        <v>0.38100000000000001</v>
      </c>
      <c r="AF550" s="13">
        <v>4.1900000000000004</v>
      </c>
      <c r="AG550" s="13">
        <v>550</v>
      </c>
      <c r="AH550" s="13">
        <v>0.67</v>
      </c>
      <c r="AI550" s="13">
        <v>6.4</v>
      </c>
      <c r="AJ550" s="13">
        <v>5.38</v>
      </c>
      <c r="AK550" s="13">
        <v>472</v>
      </c>
      <c r="AL550" s="13">
        <v>1.01</v>
      </c>
      <c r="AM550" s="13">
        <v>0</v>
      </c>
      <c r="AN550" s="13">
        <v>0.2</v>
      </c>
      <c r="AO550" s="13">
        <v>0</v>
      </c>
      <c r="AP550" s="13">
        <v>0</v>
      </c>
      <c r="AQ550" s="13">
        <v>1.8</v>
      </c>
      <c r="AR550" s="13">
        <v>1.8</v>
      </c>
      <c r="AS550" s="13">
        <v>1.74</v>
      </c>
      <c r="AT550" s="13">
        <v>0.41799999999999998</v>
      </c>
      <c r="AU550" s="13">
        <v>0.70499999999999996</v>
      </c>
      <c r="AV550" s="13">
        <v>2.2799999999999998</v>
      </c>
      <c r="AW550" s="13">
        <v>0.72299999999999998</v>
      </c>
      <c r="AX550" s="9">
        <f>Tabelle1[[#This Row],[Vitamin D3 '[µg/100g']]]*40</f>
        <v>12</v>
      </c>
      <c r="AY550" s="9">
        <f>Tabelle1[[#This Row],[Vitamin A '[µg/100g']]]*3.33</f>
        <v>14985</v>
      </c>
      <c r="AZ550" s="9">
        <f>Tabelle1[[#This Row],[Vitamin E '[mg/100g']]]*1.49</f>
        <v>1.1753119999999999</v>
      </c>
    </row>
    <row r="551" spans="1:52" hidden="1" x14ac:dyDescent="0.45">
      <c r="A551" t="s">
        <v>58</v>
      </c>
      <c r="B551" t="s">
        <v>359</v>
      </c>
      <c r="C551" t="s">
        <v>360</v>
      </c>
      <c r="D551" s="9">
        <v>206</v>
      </c>
      <c r="E551" s="13">
        <f>Tabelle1[[#This Row],[Energie '[kcal/100g']]]/239</f>
        <v>0.86192468619246865</v>
      </c>
      <c r="F551" s="9">
        <v>17.399999999999999</v>
      </c>
      <c r="G551" s="13">
        <f>Tabelle1[[#This Row],[Rohprotein '[g/100g']]]*0.85</f>
        <v>14.79</v>
      </c>
      <c r="H551" s="9">
        <v>15.2</v>
      </c>
      <c r="I551" s="9">
        <f>Tabelle1[[#This Row],[TS]]-Tabelle1[[#This Row],[Rohprotein '[g/100g']]]-Tabelle1[[#This Row],[Rohfett '[g/100g']]]-Tabelle1[[#This Row],[Rohasche '[g/100g']]]-Tabelle1[[#This Row],[Rohfaser '[g/100g']]]</f>
        <v>-0.25999999999999779</v>
      </c>
      <c r="J551" s="9">
        <v>0</v>
      </c>
      <c r="K551" s="9">
        <v>1.1599999999999999</v>
      </c>
      <c r="L551" s="9">
        <v>66.5</v>
      </c>
      <c r="M551" s="11">
        <f>100-Tabelle1[[#This Row],[Wasser '[g/100g']]]</f>
        <v>33.5</v>
      </c>
      <c r="N551" s="9">
        <v>5</v>
      </c>
      <c r="O551" s="9">
        <v>168</v>
      </c>
      <c r="P551" s="9">
        <v>20</v>
      </c>
      <c r="Q551" s="9">
        <v>56</v>
      </c>
      <c r="R551" s="9">
        <v>249</v>
      </c>
      <c r="T551" s="9">
        <v>4.16</v>
      </c>
      <c r="U551" s="9">
        <v>0.77</v>
      </c>
      <c r="V551" s="9">
        <v>0</v>
      </c>
      <c r="W551" s="9">
        <v>312</v>
      </c>
      <c r="X551" s="9">
        <v>19</v>
      </c>
      <c r="Y551" s="15">
        <v>0</v>
      </c>
      <c r="Z551" s="15"/>
      <c r="AA551" s="9">
        <v>0.3</v>
      </c>
      <c r="AB551" s="9">
        <v>0.85450000000000004</v>
      </c>
      <c r="AC551" s="9">
        <v>25</v>
      </c>
      <c r="AD551" s="9">
        <v>0.35099999999999998</v>
      </c>
      <c r="AE551" s="9">
        <v>0.26900000000000002</v>
      </c>
      <c r="AF551" s="9">
        <v>3.32</v>
      </c>
      <c r="AG551" s="9">
        <v>530</v>
      </c>
      <c r="AH551" s="9">
        <v>0.65</v>
      </c>
      <c r="AI551" s="9">
        <v>5.2</v>
      </c>
      <c r="AJ551" s="9">
        <v>5.83</v>
      </c>
      <c r="AK551" s="9">
        <v>15</v>
      </c>
      <c r="AL551" s="9">
        <v>0.84</v>
      </c>
      <c r="AM551" s="9">
        <v>0</v>
      </c>
      <c r="AN551" s="9">
        <v>0.2</v>
      </c>
      <c r="AO551" s="9">
        <v>0</v>
      </c>
      <c r="AP551" s="9">
        <v>0</v>
      </c>
      <c r="AQ551" s="9">
        <v>1.8</v>
      </c>
      <c r="AR551" s="9">
        <v>1.8</v>
      </c>
      <c r="AS551" s="9">
        <v>1.1200000000000001</v>
      </c>
      <c r="AT551" s="9">
        <v>0.26900000000000002</v>
      </c>
      <c r="AU551" s="9">
        <v>0.45400000000000001</v>
      </c>
      <c r="AV551" s="9">
        <v>1.47</v>
      </c>
      <c r="AW551" s="9">
        <v>0.46500000000000002</v>
      </c>
      <c r="AX551" s="9">
        <f>Tabelle1[[#This Row],[Vitamin D3 '[µg/100g']]]*40</f>
        <v>12</v>
      </c>
      <c r="AY551" s="9">
        <f>Tabelle1[[#This Row],[Vitamin A '[µg/100g']]]*3.33</f>
        <v>83.25</v>
      </c>
      <c r="AZ551" s="9">
        <f>Tabelle1[[#This Row],[Vitamin E '[mg/100g']]]*1.49</f>
        <v>1.2732050000000001</v>
      </c>
    </row>
    <row r="552" spans="1:52" hidden="1" x14ac:dyDescent="0.45">
      <c r="A552" t="s">
        <v>58</v>
      </c>
      <c r="B552" t="s">
        <v>361</v>
      </c>
      <c r="C552" t="s">
        <v>362</v>
      </c>
      <c r="D552" s="9">
        <v>247</v>
      </c>
      <c r="E552" s="13">
        <f>Tabelle1[[#This Row],[Energie '[kcal/100g']]]/239</f>
        <v>1.0334728033472804</v>
      </c>
      <c r="F552" s="9">
        <v>27.5</v>
      </c>
      <c r="G552" s="13">
        <f>Tabelle1[[#This Row],[Rohprotein '[g/100g']]]*0.85</f>
        <v>23.375</v>
      </c>
      <c r="H552" s="9">
        <v>15.2</v>
      </c>
      <c r="I552" s="9">
        <f>Tabelle1[[#This Row],[TS]]-Tabelle1[[#This Row],[Rohprotein '[g/100g']]]-Tabelle1[[#This Row],[Rohfett '[g/100g']]]-Tabelle1[[#This Row],[Rohasche '[g/100g']]]-Tabelle1[[#This Row],[Rohfaser '[g/100g']]]</f>
        <v>-0.32999999999999918</v>
      </c>
      <c r="J552" s="9">
        <v>0</v>
      </c>
      <c r="K552" s="9">
        <v>1.63</v>
      </c>
      <c r="L552" s="9">
        <v>56</v>
      </c>
      <c r="M552" s="11">
        <f>100-Tabelle1[[#This Row],[Wasser '[g/100g']]]</f>
        <v>44</v>
      </c>
      <c r="N552" s="9">
        <v>8</v>
      </c>
      <c r="O552" s="9">
        <v>215</v>
      </c>
      <c r="P552" s="9">
        <v>25</v>
      </c>
      <c r="Q552" s="9">
        <v>72</v>
      </c>
      <c r="R552" s="9">
        <v>296</v>
      </c>
      <c r="T552" s="9">
        <v>6.11</v>
      </c>
      <c r="U552" s="9">
        <v>1.2</v>
      </c>
      <c r="V552" s="9">
        <v>0</v>
      </c>
      <c r="W552" s="9">
        <v>370</v>
      </c>
      <c r="X552" s="9">
        <v>30</v>
      </c>
      <c r="Y552" s="15">
        <v>0</v>
      </c>
      <c r="Z552" s="15"/>
      <c r="AA552" s="9">
        <v>0.3</v>
      </c>
      <c r="AB552" s="9">
        <v>0.80110000000000003</v>
      </c>
      <c r="AC552" s="9">
        <v>165</v>
      </c>
      <c r="AD552" s="9">
        <v>0.35099999999999998</v>
      </c>
      <c r="AE552" s="9">
        <v>0.38700000000000001</v>
      </c>
      <c r="AF552" s="9">
        <v>4.25</v>
      </c>
      <c r="AG552" s="9">
        <v>550</v>
      </c>
      <c r="AH552" s="9">
        <v>0.68</v>
      </c>
      <c r="AI552" s="9">
        <v>6.5</v>
      </c>
      <c r="AJ552" s="9">
        <v>5.47</v>
      </c>
      <c r="AK552" s="9">
        <v>18</v>
      </c>
      <c r="AL552" s="9">
        <v>1.02</v>
      </c>
      <c r="AM552" s="9">
        <v>0</v>
      </c>
      <c r="AN552" s="9">
        <v>0.2</v>
      </c>
      <c r="AO552" s="9">
        <v>0.01</v>
      </c>
      <c r="AP552" s="9">
        <v>0.02</v>
      </c>
      <c r="AQ552" s="9">
        <v>1.8</v>
      </c>
      <c r="AR552" s="9">
        <v>1.8</v>
      </c>
      <c r="AS552" s="9">
        <v>1.7</v>
      </c>
      <c r="AT552" s="9">
        <v>0.5</v>
      </c>
      <c r="AU552" s="9">
        <v>0.8</v>
      </c>
      <c r="AV552" s="9">
        <v>2.4</v>
      </c>
      <c r="AW552" s="9">
        <v>0.8</v>
      </c>
      <c r="AX552" s="9">
        <f>Tabelle1[[#This Row],[Vitamin D3 '[µg/100g']]]*40</f>
        <v>12</v>
      </c>
      <c r="AY552" s="9">
        <f>Tabelle1[[#This Row],[Vitamin A '[µg/100g']]]*3.33</f>
        <v>549.45000000000005</v>
      </c>
      <c r="AZ552" s="9">
        <f>Tabelle1[[#This Row],[Vitamin E '[mg/100g']]]*1.49</f>
        <v>1.1936390000000001</v>
      </c>
    </row>
    <row r="553" spans="1:52" hidden="1" x14ac:dyDescent="0.45">
      <c r="A553" t="s">
        <v>58</v>
      </c>
      <c r="B553" t="s">
        <v>363</v>
      </c>
      <c r="C553" t="s">
        <v>364</v>
      </c>
      <c r="D553" s="9">
        <v>236</v>
      </c>
      <c r="E553" s="13">
        <f>Tabelle1[[#This Row],[Energie '[kcal/100g']]]/239</f>
        <v>0.9874476987447699</v>
      </c>
      <c r="F553" s="9">
        <v>25.8</v>
      </c>
      <c r="G553" s="13">
        <f>Tabelle1[[#This Row],[Rohprotein '[g/100g']]]*0.85</f>
        <v>21.93</v>
      </c>
      <c r="H553" s="9">
        <v>14.7</v>
      </c>
      <c r="I553" s="9">
        <f>Tabelle1[[#This Row],[TS]]-Tabelle1[[#This Row],[Rohprotein '[g/100g']]]-Tabelle1[[#This Row],[Rohfett '[g/100g']]]-Tabelle1[[#This Row],[Rohasche '[g/100g']]]-Tabelle1[[#This Row],[Rohfaser '[g/100g']]]</f>
        <v>-0.18000000000000149</v>
      </c>
      <c r="J553" s="9">
        <v>0</v>
      </c>
      <c r="K553" s="9">
        <v>1.58</v>
      </c>
      <c r="L553" s="9">
        <v>58.1</v>
      </c>
      <c r="M553" s="11">
        <f>100-Tabelle1[[#This Row],[Wasser '[g/100g']]]</f>
        <v>41.9</v>
      </c>
      <c r="N553" s="9">
        <v>8</v>
      </c>
      <c r="O553" s="9">
        <v>216</v>
      </c>
      <c r="P553" s="9">
        <v>25</v>
      </c>
      <c r="Q553" s="9">
        <v>72</v>
      </c>
      <c r="R553" s="9">
        <v>340</v>
      </c>
      <c r="T553" s="9">
        <v>5.99</v>
      </c>
      <c r="U553" s="9">
        <v>1.17</v>
      </c>
      <c r="V553" s="9">
        <v>0</v>
      </c>
      <c r="W553" s="9">
        <v>402</v>
      </c>
      <c r="X553" s="9">
        <v>29</v>
      </c>
      <c r="Y553" s="15">
        <v>0</v>
      </c>
      <c r="Z553" s="15"/>
      <c r="AA553" s="9">
        <v>0.3</v>
      </c>
      <c r="AB553" s="9">
        <v>0.97099999999999997</v>
      </c>
      <c r="AC553" s="9">
        <v>142</v>
      </c>
      <c r="AD553" s="9">
        <v>0.372</v>
      </c>
      <c r="AE553" s="9">
        <v>0.38700000000000001</v>
      </c>
      <c r="AF553" s="9">
        <v>4.12</v>
      </c>
      <c r="AG553" s="9">
        <v>480</v>
      </c>
      <c r="AH553" s="9">
        <v>0.71</v>
      </c>
      <c r="AI553" s="9">
        <v>6.3</v>
      </c>
      <c r="AJ553" s="9">
        <v>6.62</v>
      </c>
      <c r="AK553" s="9">
        <v>15</v>
      </c>
      <c r="AL553" s="9">
        <v>0.99</v>
      </c>
      <c r="AM553" s="9">
        <v>0</v>
      </c>
      <c r="AN553" s="9">
        <v>0.2</v>
      </c>
      <c r="AO553" s="9">
        <v>0</v>
      </c>
      <c r="AP553" s="9">
        <v>1E-3</v>
      </c>
      <c r="AQ553" s="9">
        <v>1.7</v>
      </c>
      <c r="AR553" s="9">
        <v>1.7</v>
      </c>
      <c r="AS553" s="9">
        <v>1.6</v>
      </c>
      <c r="AT553" s="9">
        <v>0.4</v>
      </c>
      <c r="AU553" s="9">
        <v>0.7</v>
      </c>
      <c r="AV553" s="9">
        <v>2.2000000000000002</v>
      </c>
      <c r="AW553" s="9">
        <v>0.7</v>
      </c>
      <c r="AX553" s="9">
        <f>Tabelle1[[#This Row],[Vitamin D3 '[µg/100g']]]*40</f>
        <v>12</v>
      </c>
      <c r="AY553" s="9">
        <f>Tabelle1[[#This Row],[Vitamin A '[µg/100g']]]*3.33</f>
        <v>472.86</v>
      </c>
      <c r="AZ553" s="9">
        <f>Tabelle1[[#This Row],[Vitamin E '[mg/100g']]]*1.49</f>
        <v>1.44679</v>
      </c>
    </row>
    <row r="554" spans="1:52" hidden="1" x14ac:dyDescent="0.45">
      <c r="A554" t="s">
        <v>58</v>
      </c>
      <c r="B554" t="s">
        <v>365</v>
      </c>
      <c r="C554" t="s">
        <v>366</v>
      </c>
      <c r="D554" s="9">
        <v>206</v>
      </c>
      <c r="E554" s="13">
        <f>Tabelle1[[#This Row],[Energie '[kcal/100g']]]/239</f>
        <v>0.86192468619246865</v>
      </c>
      <c r="F554" s="9">
        <v>17.399999999999999</v>
      </c>
      <c r="G554" s="13">
        <f>Tabelle1[[#This Row],[Rohprotein '[g/100g']]]*0.85</f>
        <v>14.79</v>
      </c>
      <c r="H554" s="9">
        <v>15.2</v>
      </c>
      <c r="I554" s="9">
        <f>Tabelle1[[#This Row],[TS]]-Tabelle1[[#This Row],[Rohprotein '[g/100g']]]-Tabelle1[[#This Row],[Rohfett '[g/100g']]]-Tabelle1[[#This Row],[Rohasche '[g/100g']]]-Tabelle1[[#This Row],[Rohfaser '[g/100g']]]</f>
        <v>-0.25999999999999779</v>
      </c>
      <c r="J554" s="9">
        <v>0</v>
      </c>
      <c r="K554" s="9">
        <v>1.1599999999999999</v>
      </c>
      <c r="L554" s="9">
        <v>66.5</v>
      </c>
      <c r="M554" s="11">
        <f>100-Tabelle1[[#This Row],[Wasser '[g/100g']]]</f>
        <v>33.5</v>
      </c>
      <c r="N554" s="9">
        <v>5</v>
      </c>
      <c r="O554" s="9">
        <v>168</v>
      </c>
      <c r="P554" s="9">
        <v>20</v>
      </c>
      <c r="Q554" s="9">
        <v>56</v>
      </c>
      <c r="R554" s="9">
        <v>249</v>
      </c>
      <c r="T554" s="9">
        <v>4.16</v>
      </c>
      <c r="U554" s="9">
        <v>0.77</v>
      </c>
      <c r="V554" s="9">
        <v>0</v>
      </c>
      <c r="W554" s="9">
        <v>312</v>
      </c>
      <c r="X554" s="9">
        <v>19</v>
      </c>
      <c r="Y554" s="15">
        <v>0</v>
      </c>
      <c r="Z554" s="15"/>
      <c r="AA554" s="9">
        <v>0.3</v>
      </c>
      <c r="AB554" s="9">
        <v>0.85450000000000004</v>
      </c>
      <c r="AC554" s="9">
        <v>91</v>
      </c>
      <c r="AD554" s="9">
        <v>0.35099999999999998</v>
      </c>
      <c r="AE554" s="9">
        <v>0.26900000000000002</v>
      </c>
      <c r="AF554" s="9">
        <v>3.32</v>
      </c>
      <c r="AG554" s="9">
        <v>530</v>
      </c>
      <c r="AH554" s="9">
        <v>0.65</v>
      </c>
      <c r="AI554" s="9">
        <v>5.2</v>
      </c>
      <c r="AJ554" s="9">
        <v>5.83</v>
      </c>
      <c r="AK554" s="9">
        <v>5</v>
      </c>
      <c r="AL554" s="9">
        <v>0.84</v>
      </c>
      <c r="AM554" s="9">
        <v>0</v>
      </c>
      <c r="AN554" s="9">
        <v>0.2</v>
      </c>
      <c r="AO554" s="9">
        <v>0</v>
      </c>
      <c r="AP554" s="9">
        <v>2E-3</v>
      </c>
      <c r="AQ554" s="9">
        <v>1.8</v>
      </c>
      <c r="AR554" s="9">
        <v>1.8</v>
      </c>
      <c r="AS554" s="9">
        <v>1.1000000000000001</v>
      </c>
      <c r="AT554" s="9">
        <v>0.3</v>
      </c>
      <c r="AU554" s="9">
        <v>0.5</v>
      </c>
      <c r="AV554" s="9">
        <v>1.5</v>
      </c>
      <c r="AW554" s="9">
        <v>0.5</v>
      </c>
      <c r="AX554" s="9">
        <f>Tabelle1[[#This Row],[Vitamin D3 '[µg/100g']]]*40</f>
        <v>12</v>
      </c>
      <c r="AY554" s="9">
        <f>Tabelle1[[#This Row],[Vitamin A '[µg/100g']]]*3.33</f>
        <v>303.03000000000003</v>
      </c>
      <c r="AZ554" s="9">
        <f>Tabelle1[[#This Row],[Vitamin E '[mg/100g']]]*1.49</f>
        <v>1.2732050000000001</v>
      </c>
    </row>
    <row r="555" spans="1:52" hidden="1" x14ac:dyDescent="0.45">
      <c r="A555" t="s">
        <v>534</v>
      </c>
      <c r="B555" t="s">
        <v>530</v>
      </c>
      <c r="C555" t="s">
        <v>531</v>
      </c>
      <c r="D555" s="9">
        <v>140</v>
      </c>
      <c r="E555" s="13">
        <f>Tabelle1[[#This Row],[Energie '[kcal/100g']]]/239</f>
        <v>0.58577405857740583</v>
      </c>
      <c r="F555" s="9">
        <v>5.0739999999999998</v>
      </c>
      <c r="G555" s="13">
        <f>Tabelle1[[#This Row],[Rohprotein '[g/100g']]]*0.85</f>
        <v>4.3129</v>
      </c>
      <c r="H555" s="9">
        <v>0.34899999999999998</v>
      </c>
      <c r="I555" s="9">
        <f>Tabelle1[[#This Row],[TS]]-Tabelle1[[#This Row],[Rohprotein '[g/100g']]]-Tabelle1[[#This Row],[Rohfett '[g/100g']]]-Tabelle1[[#This Row],[Rohasche '[g/100g']]]-Tabelle1[[#This Row],[Rohfaser '[g/100g']]]</f>
        <v>27.780999999999995</v>
      </c>
      <c r="J555" s="9">
        <v>0</v>
      </c>
      <c r="K555" s="9">
        <v>0.39600000000000002</v>
      </c>
      <c r="L555" s="9">
        <v>66.400000000000006</v>
      </c>
      <c r="M555" s="11">
        <f>100-Tabelle1[[#This Row],[Wasser '[g/100g']]]</f>
        <v>33.599999999999994</v>
      </c>
      <c r="N555" s="9">
        <v>7.84</v>
      </c>
      <c r="O555" s="9">
        <v>109</v>
      </c>
      <c r="P555" s="9">
        <v>60</v>
      </c>
      <c r="Q555" s="9">
        <v>1.89</v>
      </c>
      <c r="R555" s="9">
        <v>105</v>
      </c>
      <c r="T555" s="9">
        <v>0.88800000000000001</v>
      </c>
      <c r="U555" s="9">
        <v>1.4930000000000001</v>
      </c>
      <c r="V555" s="9">
        <v>0</v>
      </c>
      <c r="W555" s="9">
        <v>102</v>
      </c>
      <c r="X555" s="9">
        <v>1000</v>
      </c>
      <c r="Y555" s="9">
        <v>0.8</v>
      </c>
      <c r="AA555" s="9">
        <v>0</v>
      </c>
      <c r="AB555" s="9">
        <v>0.23400000000000001</v>
      </c>
      <c r="AC555" s="9">
        <v>0</v>
      </c>
      <c r="AD555" s="9">
        <v>0.11899999999999999</v>
      </c>
      <c r="AE555" s="9">
        <v>2.5999999999999999E-2</v>
      </c>
      <c r="AF555" s="9">
        <v>1.7330000000000001</v>
      </c>
      <c r="AG555" s="9">
        <v>78</v>
      </c>
      <c r="AH555" s="9">
        <v>0</v>
      </c>
      <c r="AI555" s="9">
        <v>0</v>
      </c>
      <c r="AJ555" s="9">
        <v>0.1</v>
      </c>
      <c r="AK555" s="9">
        <v>5.7</v>
      </c>
      <c r="AL555" s="9">
        <v>4</v>
      </c>
      <c r="AM555" s="9">
        <v>0</v>
      </c>
      <c r="AN555" s="9">
        <v>8.3000000000000004E-2</v>
      </c>
      <c r="AO555" s="9">
        <v>0</v>
      </c>
      <c r="AP555" s="9">
        <v>0</v>
      </c>
      <c r="AQ555" s="9">
        <v>0.11799999999999999</v>
      </c>
      <c r="AR555" s="9">
        <v>0.11799999999999999</v>
      </c>
      <c r="AS555" s="9">
        <v>0.39100000000000001</v>
      </c>
      <c r="AT555" s="9">
        <v>7.6999999999999999E-2</v>
      </c>
      <c r="AU555" s="9">
        <v>0.112</v>
      </c>
      <c r="AV555" s="9">
        <v>0.159</v>
      </c>
      <c r="AW555" s="9">
        <v>0.11600000000000001</v>
      </c>
      <c r="AX555" s="9">
        <f>Tabelle1[[#This Row],[Vitamin D3 '[µg/100g']]]*40</f>
        <v>0</v>
      </c>
      <c r="AY555" s="9">
        <f>Tabelle1[[#This Row],[Vitamin A '[µg/100g']]]*3.33</f>
        <v>0</v>
      </c>
      <c r="AZ555" s="9">
        <f>Tabelle1[[#This Row],[Vitamin E '[mg/100g']]]*1.49</f>
        <v>0.34866000000000003</v>
      </c>
    </row>
    <row r="556" spans="1:52" hidden="1" x14ac:dyDescent="0.45">
      <c r="A556" t="s">
        <v>534</v>
      </c>
      <c r="B556" t="s">
        <v>532</v>
      </c>
      <c r="C556" t="s">
        <v>533</v>
      </c>
      <c r="D556" s="9">
        <v>363</v>
      </c>
      <c r="E556" s="13">
        <f>Tabelle1[[#This Row],[Energie '[kcal/100g']]]/239</f>
        <v>1.5188284518828452</v>
      </c>
      <c r="F556" s="9">
        <v>13.14</v>
      </c>
      <c r="G556" s="13">
        <f>Tabelle1[[#This Row],[Rohprotein '[g/100g']]]*0.85</f>
        <v>11.169</v>
      </c>
      <c r="H556" s="9">
        <v>0.95299999999999996</v>
      </c>
      <c r="I556" s="9">
        <f>Tabelle1[[#This Row],[TS]]-Tabelle1[[#This Row],[Rohprotein '[g/100g']]]-Tabelle1[[#This Row],[Rohfett '[g/100g']]]-Tabelle1[[#This Row],[Rohasche '[g/100g']]]-Tabelle1[[#This Row],[Rohfaser '[g/100g']]]</f>
        <v>75.336999999999989</v>
      </c>
      <c r="J556" s="9">
        <v>0</v>
      </c>
      <c r="K556" s="9">
        <v>1.39</v>
      </c>
      <c r="L556" s="9">
        <v>9.18</v>
      </c>
      <c r="M556" s="11">
        <f>100-Tabelle1[[#This Row],[Wasser '[g/100g']]]</f>
        <v>90.82</v>
      </c>
      <c r="N556" s="9">
        <v>19.28</v>
      </c>
      <c r="O556" s="9">
        <v>282</v>
      </c>
      <c r="P556" s="9">
        <v>148</v>
      </c>
      <c r="Q556" s="9">
        <v>5.81</v>
      </c>
      <c r="R556" s="9">
        <v>346</v>
      </c>
      <c r="T556" s="9">
        <v>2.2999999999999998</v>
      </c>
      <c r="U556" s="9">
        <v>3.7469999999999999</v>
      </c>
      <c r="V556" s="9">
        <v>0</v>
      </c>
      <c r="W556" s="9">
        <v>264</v>
      </c>
      <c r="X556" s="9">
        <v>2470</v>
      </c>
      <c r="Y556" s="9">
        <v>2.2000000000000002</v>
      </c>
      <c r="AA556" s="9">
        <v>0</v>
      </c>
      <c r="AB556" s="9">
        <v>0.57599999999999996</v>
      </c>
      <c r="AC556" s="9">
        <v>0</v>
      </c>
      <c r="AD556" s="9">
        <v>0.45200000000000001</v>
      </c>
      <c r="AE556" s="9">
        <v>9.0999999999999998E-2</v>
      </c>
      <c r="AF556" s="9">
        <v>5.2</v>
      </c>
      <c r="AG556" s="9">
        <v>275</v>
      </c>
      <c r="AH556" s="9">
        <v>0</v>
      </c>
      <c r="AI556" s="9">
        <v>0</v>
      </c>
      <c r="AJ556" s="9">
        <v>0.2</v>
      </c>
      <c r="AK556" s="9">
        <v>20.2</v>
      </c>
      <c r="AL556" s="9">
        <v>12</v>
      </c>
      <c r="AM556" s="9">
        <v>0</v>
      </c>
      <c r="AN556" s="9">
        <v>0.22800000000000001</v>
      </c>
      <c r="AO556" s="9">
        <v>0</v>
      </c>
      <c r="AP556" s="9">
        <v>0</v>
      </c>
      <c r="AQ556" s="9">
        <v>0.32200000000000001</v>
      </c>
      <c r="AR556" s="9">
        <v>0.32200000000000001</v>
      </c>
      <c r="AS556" s="9">
        <v>1.0129999999999999</v>
      </c>
      <c r="AT556" s="9">
        <v>0.2</v>
      </c>
      <c r="AU556" s="9">
        <v>0.28999999999999998</v>
      </c>
      <c r="AV556" s="9">
        <v>0.41099999999999998</v>
      </c>
      <c r="AW556" s="9">
        <v>0.3</v>
      </c>
      <c r="AX556" s="9">
        <f>Tabelle1[[#This Row],[Vitamin D3 '[µg/100g']]]*40</f>
        <v>0</v>
      </c>
      <c r="AY556" s="9">
        <f>Tabelle1[[#This Row],[Vitamin A '[µg/100g']]]*3.33</f>
        <v>0</v>
      </c>
      <c r="AZ556" s="9">
        <f>Tabelle1[[#This Row],[Vitamin E '[mg/100g']]]*1.49</f>
        <v>0.85823999999999989</v>
      </c>
    </row>
    <row r="557" spans="1:52" hidden="1" x14ac:dyDescent="0.45">
      <c r="A557" t="s">
        <v>58</v>
      </c>
      <c r="B557" s="14" t="s">
        <v>52</v>
      </c>
      <c r="C557" s="14" t="s">
        <v>53</v>
      </c>
      <c r="D557" s="15">
        <v>154</v>
      </c>
      <c r="E557" s="13">
        <f>Tabelle1[[#This Row],[Energie '[kcal/100g']]]/239</f>
        <v>0.64435146443514646</v>
      </c>
      <c r="F557" s="15">
        <v>26.382000000000001</v>
      </c>
      <c r="G557" s="13">
        <f>Tabelle1[[#This Row],[Rohprotein '[g/100g']]]*0.85</f>
        <v>22.424700000000001</v>
      </c>
      <c r="H557" s="15">
        <v>5.4109999999999996</v>
      </c>
      <c r="I557" s="9">
        <f>Tabelle1[[#This Row],[TS]]-Tabelle1[[#This Row],[Rohprotein '[g/100g']]]-Tabelle1[[#This Row],[Rohfett '[g/100g']]]-Tabelle1[[#This Row],[Rohasche '[g/100g']]]-Tabelle1[[#This Row],[Rohfaser '[g/100g']]]</f>
        <v>0.79399999999999404</v>
      </c>
      <c r="J557" s="9">
        <v>0</v>
      </c>
      <c r="K557" s="15">
        <v>1.034</v>
      </c>
      <c r="L557" s="15">
        <v>66.379000000000005</v>
      </c>
      <c r="M557" s="13">
        <f>100-Tabelle1[[#This Row],[Wasser '[g/100g']]]</f>
        <v>33.620999999999995</v>
      </c>
      <c r="N557" s="15">
        <v>11.6</v>
      </c>
      <c r="O557" s="15">
        <v>221</v>
      </c>
      <c r="P557" s="15">
        <v>31</v>
      </c>
      <c r="Q557" s="15">
        <v>74</v>
      </c>
      <c r="R557" s="15">
        <v>312</v>
      </c>
      <c r="S557" s="15"/>
      <c r="T557" s="15">
        <v>2.5030000000000001</v>
      </c>
      <c r="U557" s="15">
        <v>5.19</v>
      </c>
      <c r="V557" s="9">
        <v>0</v>
      </c>
      <c r="W557" s="15">
        <v>162</v>
      </c>
      <c r="X557" s="15">
        <v>32</v>
      </c>
      <c r="Y557" s="9">
        <v>0</v>
      </c>
      <c r="AA557" s="15">
        <v>0</v>
      </c>
      <c r="AB557" s="15">
        <v>0.5</v>
      </c>
      <c r="AC557" s="15">
        <v>74</v>
      </c>
      <c r="AD557" s="15">
        <v>0.122</v>
      </c>
      <c r="AE557" s="15">
        <v>0.30299999999999999</v>
      </c>
      <c r="AF557" s="15">
        <v>4.6349999999999998</v>
      </c>
      <c r="AG557" s="15">
        <v>243</v>
      </c>
      <c r="AH557" s="15">
        <v>1.9</v>
      </c>
      <c r="AI557" s="15">
        <v>0</v>
      </c>
      <c r="AJ557" s="15">
        <v>0</v>
      </c>
      <c r="AK557" s="15">
        <v>0.8</v>
      </c>
      <c r="AL557" s="15">
        <v>0</v>
      </c>
      <c r="AM557" s="15">
        <v>0</v>
      </c>
      <c r="AN557" s="15">
        <v>7.3999999999999996E-2</v>
      </c>
      <c r="AO557" s="15">
        <v>0</v>
      </c>
      <c r="AP557" s="15">
        <v>0</v>
      </c>
      <c r="AQ557" s="15">
        <v>0.14699999999999999</v>
      </c>
      <c r="AR557" s="15">
        <v>0.13200000000000001</v>
      </c>
      <c r="AS557" s="15">
        <v>1.7629999999999999</v>
      </c>
      <c r="AT557" s="15">
        <v>0.217</v>
      </c>
      <c r="AU557" s="15">
        <v>0.76</v>
      </c>
      <c r="AV557" s="15">
        <v>2.3980000000000001</v>
      </c>
      <c r="AW557" s="15">
        <v>0.67300000000000004</v>
      </c>
      <c r="AX557" s="9">
        <f>Tabelle1[[#This Row],[Vitamin D3 '[µg/100g']]]*40</f>
        <v>0</v>
      </c>
      <c r="AY557" s="9">
        <f>Tabelle1[[#This Row],[Vitamin A '[µg/100g']]]*3.33</f>
        <v>246.42000000000002</v>
      </c>
      <c r="AZ557" s="9">
        <f>Tabelle1[[#This Row],[Vitamin E '[mg/100g']]]*1.49</f>
        <v>0.745</v>
      </c>
    </row>
    <row r="558" spans="1:52" hidden="1" x14ac:dyDescent="0.45">
      <c r="A558" t="s">
        <v>58</v>
      </c>
      <c r="B558" t="s">
        <v>54</v>
      </c>
      <c r="C558" t="s">
        <v>55</v>
      </c>
      <c r="D558" s="9">
        <v>178</v>
      </c>
      <c r="E558" s="13">
        <f>Tabelle1[[#This Row],[Energie '[kcal/100g']]]/239</f>
        <v>0.74476987447698739</v>
      </c>
      <c r="F558" s="9">
        <v>30.504000000000001</v>
      </c>
      <c r="G558" s="11">
        <f>Tabelle1[[#This Row],[Rohprotein '[g/100g']]]*0.85</f>
        <v>25.9284</v>
      </c>
      <c r="H558" s="9">
        <v>6.2560000000000002</v>
      </c>
      <c r="I558" s="9">
        <f>Tabelle1[[#This Row],[TS]]-Tabelle1[[#This Row],[Rohprotein '[g/100g']]]-Tabelle1[[#This Row],[Rohfett '[g/100g']]]-Tabelle1[[#This Row],[Rohasche '[g/100g']]]-Tabelle1[[#This Row],[Rohfaser '[g/100g']]]</f>
        <v>0.7959999999999976</v>
      </c>
      <c r="J558" s="9">
        <v>0</v>
      </c>
      <c r="K558" s="9">
        <v>0.98399999999999999</v>
      </c>
      <c r="L558" s="9">
        <v>61.46</v>
      </c>
      <c r="M558" s="11">
        <f>100-Tabelle1[[#This Row],[Wasser '[g/100g']]]</f>
        <v>38.54</v>
      </c>
      <c r="N558" s="9">
        <v>11.9</v>
      </c>
      <c r="O558" s="9">
        <v>240</v>
      </c>
      <c r="P558" s="9">
        <v>27</v>
      </c>
      <c r="Q558" s="9">
        <v>60</v>
      </c>
      <c r="R558" s="9">
        <v>248</v>
      </c>
      <c r="T558" s="9">
        <v>3.0470000000000002</v>
      </c>
      <c r="U558" s="9">
        <v>6</v>
      </c>
      <c r="V558" s="9">
        <v>0</v>
      </c>
      <c r="W558" s="9">
        <v>187</v>
      </c>
      <c r="X558" s="9">
        <v>38</v>
      </c>
      <c r="Y558" s="9">
        <v>0</v>
      </c>
      <c r="AA558" s="9">
        <v>0</v>
      </c>
      <c r="AB558" s="9">
        <v>0.6</v>
      </c>
      <c r="AC558" s="9">
        <v>58</v>
      </c>
      <c r="AD558" s="9">
        <v>9.4E-2</v>
      </c>
      <c r="AE558" s="9">
        <v>0.28399999999999997</v>
      </c>
      <c r="AF558" s="9">
        <v>4.2110000000000003</v>
      </c>
      <c r="AG558" s="9">
        <v>211</v>
      </c>
      <c r="AH558" s="9">
        <v>1.9</v>
      </c>
      <c r="AI558" s="9">
        <v>0</v>
      </c>
      <c r="AJ558" s="15">
        <v>0</v>
      </c>
      <c r="AK558" s="9">
        <v>14</v>
      </c>
      <c r="AL558" s="15">
        <v>0</v>
      </c>
      <c r="AM558" s="9">
        <v>0</v>
      </c>
      <c r="AN558" s="9">
        <v>8.5000000000000006E-2</v>
      </c>
      <c r="AO558" s="9">
        <v>0</v>
      </c>
      <c r="AP558" s="9">
        <v>0</v>
      </c>
      <c r="AQ558" s="9">
        <v>0.17</v>
      </c>
      <c r="AR558" s="9">
        <v>0.152</v>
      </c>
      <c r="AS558" s="9">
        <v>2.0379999999999998</v>
      </c>
      <c r="AT558" s="9">
        <v>0.251</v>
      </c>
      <c r="AU558" s="9">
        <v>0.879</v>
      </c>
      <c r="AV558" s="9">
        <v>2.7730000000000001</v>
      </c>
      <c r="AW558" s="9">
        <v>0.77800000000000002</v>
      </c>
      <c r="AX558" s="9">
        <f>Tabelle1[[#This Row],[Vitamin D3 '[µg/100g']]]*40</f>
        <v>0</v>
      </c>
      <c r="AY558" s="9">
        <f>Tabelle1[[#This Row],[Vitamin A '[µg/100g']]]*3.33</f>
        <v>193.14000000000001</v>
      </c>
      <c r="AZ558" s="9">
        <f>Tabelle1[[#This Row],[Vitamin E '[mg/100g']]]*1.49</f>
        <v>0.89400000000000002</v>
      </c>
    </row>
    <row r="559" spans="1:52" hidden="1" x14ac:dyDescent="0.45">
      <c r="A559" t="s">
        <v>58</v>
      </c>
      <c r="B559" s="14" t="s">
        <v>56</v>
      </c>
      <c r="C559" s="14" t="s">
        <v>57</v>
      </c>
      <c r="D559" s="15">
        <v>127</v>
      </c>
      <c r="E559" s="13">
        <f>Tabelle1[[#This Row],[Energie '[kcal/100g']]]/239</f>
        <v>0.53138075313807531</v>
      </c>
      <c r="F559" s="15">
        <v>20.55</v>
      </c>
      <c r="G559" s="13">
        <f>Tabelle1[[#This Row],[Rohprotein '[g/100g']]]*0.85</f>
        <v>17.467500000000001</v>
      </c>
      <c r="H559" s="15">
        <v>5.0049999999999999</v>
      </c>
      <c r="I559" s="9">
        <f>Tabelle1[[#This Row],[TS]]-Tabelle1[[#This Row],[Rohprotein '[g/100g']]]-Tabelle1[[#This Row],[Rohfett '[g/100g']]]-Tabelle1[[#This Row],[Rohasche '[g/100g']]]-Tabelle1[[#This Row],[Rohfaser '[g/100g']]]</f>
        <v>0.79499999999999937</v>
      </c>
      <c r="J559" s="9">
        <v>0</v>
      </c>
      <c r="K559" s="15">
        <v>0.9</v>
      </c>
      <c r="L559" s="15">
        <v>72.75</v>
      </c>
      <c r="M559" s="13">
        <f>100-Tabelle1[[#This Row],[Wasser '[g/100g']]]</f>
        <v>27.25</v>
      </c>
      <c r="N559" s="15">
        <v>9.5</v>
      </c>
      <c r="O559" s="15">
        <v>192</v>
      </c>
      <c r="P559" s="15">
        <v>27</v>
      </c>
      <c r="Q559" s="15">
        <v>64</v>
      </c>
      <c r="R559" s="15">
        <v>289</v>
      </c>
      <c r="S559" s="15"/>
      <c r="T559" s="15">
        <v>1.95</v>
      </c>
      <c r="U559" s="15">
        <v>3.84</v>
      </c>
      <c r="V559" s="9">
        <v>0</v>
      </c>
      <c r="W559" s="15">
        <v>126</v>
      </c>
      <c r="X559" s="15">
        <v>24</v>
      </c>
      <c r="Y559" s="9">
        <v>0</v>
      </c>
      <c r="AA559" s="15">
        <v>0</v>
      </c>
      <c r="AB559" s="15">
        <v>0.5</v>
      </c>
      <c r="AC559" s="15">
        <v>40</v>
      </c>
      <c r="AD559" s="15">
        <v>0.15</v>
      </c>
      <c r="AE559" s="15">
        <v>0.28000000000000003</v>
      </c>
      <c r="AF559" s="15">
        <v>4.9000000000000004</v>
      </c>
      <c r="AG559" s="15">
        <v>300</v>
      </c>
      <c r="AH559" s="15">
        <v>2</v>
      </c>
      <c r="AI559" s="15">
        <v>0</v>
      </c>
      <c r="AJ559" s="15">
        <v>0</v>
      </c>
      <c r="AK559" s="15">
        <v>13</v>
      </c>
      <c r="AL559" s="15">
        <v>0</v>
      </c>
      <c r="AM559" s="15">
        <v>0</v>
      </c>
      <c r="AN559" s="15">
        <v>6.8000000000000005E-2</v>
      </c>
      <c r="AO559" s="15">
        <v>0</v>
      </c>
      <c r="AP559" s="15">
        <v>0</v>
      </c>
      <c r="AQ559" s="15">
        <v>0.13600000000000001</v>
      </c>
      <c r="AR559" s="15">
        <v>0.122</v>
      </c>
      <c r="AS559" s="15">
        <v>1.373</v>
      </c>
      <c r="AT559" s="15">
        <v>0.16900000000000001</v>
      </c>
      <c r="AU559" s="15">
        <v>0.59199999999999997</v>
      </c>
      <c r="AV559" s="15">
        <v>1.8680000000000001</v>
      </c>
      <c r="AW559" s="15">
        <v>0.52400000000000002</v>
      </c>
      <c r="AX559" s="9">
        <f>Tabelle1[[#This Row],[Vitamin D3 '[µg/100g']]]*40</f>
        <v>0</v>
      </c>
      <c r="AY559" s="9">
        <f>Tabelle1[[#This Row],[Vitamin A '[µg/100g']]]*3.33</f>
        <v>133.19999999999999</v>
      </c>
      <c r="AZ559" s="9">
        <f>Tabelle1[[#This Row],[Vitamin E '[mg/100g']]]*1.49</f>
        <v>0.745</v>
      </c>
    </row>
    <row r="560" spans="1:52" hidden="1" x14ac:dyDescent="0.45">
      <c r="A560" t="s">
        <v>877</v>
      </c>
      <c r="B560" t="s">
        <v>865</v>
      </c>
      <c r="C560" t="s">
        <v>866</v>
      </c>
      <c r="D560" s="9">
        <v>28</v>
      </c>
      <c r="E560" s="11">
        <f>Tabelle1[[#This Row],[Energie '[kcal/100g']]]/239</f>
        <v>0.11715481171548117</v>
      </c>
      <c r="F560" s="9">
        <v>1.5</v>
      </c>
      <c r="G560" s="11">
        <f>Tabelle1[[#This Row],[Rohprotein '[g/100g']]]*0.85</f>
        <v>1.2749999999999999</v>
      </c>
      <c r="H560" s="9">
        <v>0.33800000000000002</v>
      </c>
      <c r="I560" s="9">
        <f>Tabelle1[[#This Row],[TS]]-Tabelle1[[#This Row],[Rohprotein '[g/100g']]]-Tabelle1[[#This Row],[Rohfett '[g/100g']]]-Tabelle1[[#This Row],[Rohasche '[g/100g']]]-Tabelle1[[#This Row],[Rohfaser '[g/100g']]]</f>
        <v>2.0619999999999998</v>
      </c>
      <c r="J560" s="9">
        <v>0</v>
      </c>
      <c r="K560" s="9">
        <v>1.1000000000000001</v>
      </c>
      <c r="L560" s="9">
        <v>95</v>
      </c>
      <c r="M560" s="11">
        <f>100-Tabelle1[[#This Row],[Wasser '[g/100g']]]</f>
        <v>5</v>
      </c>
      <c r="N560" s="9">
        <v>24</v>
      </c>
      <c r="O560" s="9">
        <v>52.93</v>
      </c>
      <c r="P560" s="9">
        <v>33.659999999999997</v>
      </c>
      <c r="Q560" s="9">
        <v>1.27</v>
      </c>
      <c r="R560" s="9">
        <v>303.11</v>
      </c>
      <c r="T560" s="9">
        <v>0.5</v>
      </c>
      <c r="U560" s="9">
        <v>0.28000000000000003</v>
      </c>
      <c r="V560" s="9">
        <v>0</v>
      </c>
      <c r="W560" s="9">
        <v>70</v>
      </c>
      <c r="X560" s="9">
        <v>110</v>
      </c>
      <c r="Y560" s="9">
        <v>2.86</v>
      </c>
      <c r="AA560" s="9">
        <v>0</v>
      </c>
      <c r="AB560" s="9">
        <v>0.36</v>
      </c>
      <c r="AC560" s="9">
        <v>37</v>
      </c>
      <c r="AD560" s="9">
        <v>0.03</v>
      </c>
      <c r="AE560" s="9">
        <v>0.02</v>
      </c>
      <c r="AF560" s="9">
        <v>0.45600000000000002</v>
      </c>
      <c r="AG560" s="9">
        <v>60</v>
      </c>
      <c r="AH560" s="9">
        <v>0</v>
      </c>
      <c r="AI560" s="9">
        <v>16.565000000000001</v>
      </c>
      <c r="AJ560" s="9">
        <v>38</v>
      </c>
      <c r="AK560" s="9">
        <v>35</v>
      </c>
      <c r="AL560" s="9">
        <v>3.7</v>
      </c>
      <c r="AM560" s="9">
        <v>0</v>
      </c>
      <c r="AN560" s="9">
        <v>0.10199999999999999</v>
      </c>
      <c r="AO560" s="9">
        <v>0</v>
      </c>
      <c r="AP560" s="9">
        <v>0</v>
      </c>
      <c r="AQ560" s="9">
        <v>6.0999999999999999E-2</v>
      </c>
      <c r="AR560" s="9">
        <v>6.0999999999999999E-2</v>
      </c>
      <c r="AS560" s="9">
        <v>0</v>
      </c>
      <c r="AT560" s="9">
        <v>0</v>
      </c>
      <c r="AU560" s="9">
        <v>0</v>
      </c>
      <c r="AV560" s="9">
        <v>0</v>
      </c>
      <c r="AW560" s="9">
        <v>0</v>
      </c>
      <c r="AX560" s="9">
        <f>Tabelle1[[#This Row],[Vitamin D3 '[µg/100g']]]*40</f>
        <v>0</v>
      </c>
      <c r="AY560" s="9">
        <f>Tabelle1[[#This Row],[Vitamin A '[µg/100g']]]*3.33</f>
        <v>123.21000000000001</v>
      </c>
      <c r="AZ560" s="9">
        <f>Tabelle1[[#This Row],[Vitamin E '[mg/100g']]]*1.49</f>
        <v>0.53639999999999999</v>
      </c>
    </row>
    <row r="561" spans="1:52" hidden="1" x14ac:dyDescent="0.45">
      <c r="A561" t="s">
        <v>877</v>
      </c>
      <c r="B561" t="s">
        <v>867</v>
      </c>
      <c r="C561" t="s">
        <v>868</v>
      </c>
      <c r="D561" s="9">
        <v>41</v>
      </c>
      <c r="E561" s="11">
        <f>Tabelle1[[#This Row],[Energie '[kcal/100g']]]/239</f>
        <v>0.17154811715481172</v>
      </c>
      <c r="F561" s="9">
        <v>2.2000000000000002</v>
      </c>
      <c r="G561" s="11">
        <f>Tabelle1[[#This Row],[Rohprotein '[g/100g']]]*0.85</f>
        <v>1.87</v>
      </c>
      <c r="H561" s="9">
        <v>0.48599999999999999</v>
      </c>
      <c r="I561" s="9">
        <f>Tabelle1[[#This Row],[TS]]-Tabelle1[[#This Row],[Rohprotein '[g/100g']]]-Tabelle1[[#This Row],[Rohfett '[g/100g']]]-Tabelle1[[#This Row],[Rohasche '[g/100g']]]-Tabelle1[[#This Row],[Rohfaser '[g/100g']]]</f>
        <v>4.8140000000000001</v>
      </c>
      <c r="J561" s="9">
        <v>0</v>
      </c>
      <c r="K561" s="9">
        <v>1.5</v>
      </c>
      <c r="L561" s="9">
        <v>91</v>
      </c>
      <c r="M561" s="11">
        <f>100-Tabelle1[[#This Row],[Wasser '[g/100g']]]</f>
        <v>9</v>
      </c>
      <c r="N561" s="9">
        <v>34.58</v>
      </c>
      <c r="O561" s="9">
        <v>76.25</v>
      </c>
      <c r="P561" s="9">
        <v>48.49</v>
      </c>
      <c r="Q561" s="9">
        <v>1.83</v>
      </c>
      <c r="R561" s="9">
        <v>436.68</v>
      </c>
      <c r="T561" s="9">
        <v>0.7</v>
      </c>
      <c r="U561" s="9">
        <v>0.41</v>
      </c>
      <c r="V561" s="9">
        <v>0</v>
      </c>
      <c r="W561" s="9">
        <v>100</v>
      </c>
      <c r="X561" s="9">
        <v>150</v>
      </c>
      <c r="Y561" s="9">
        <v>4.12</v>
      </c>
      <c r="AA561" s="9">
        <v>0</v>
      </c>
      <c r="AB561" s="9">
        <v>0.53</v>
      </c>
      <c r="AC561" s="9">
        <v>53</v>
      </c>
      <c r="AD561" s="9">
        <v>0.05</v>
      </c>
      <c r="AE561" s="9">
        <v>0.03</v>
      </c>
      <c r="AF561" s="9">
        <v>0.65700000000000003</v>
      </c>
      <c r="AG561" s="9">
        <v>90</v>
      </c>
      <c r="AH561" s="9">
        <v>0</v>
      </c>
      <c r="AI561" s="9">
        <v>23.864000000000001</v>
      </c>
      <c r="AJ561" s="9">
        <v>54</v>
      </c>
      <c r="AK561" s="9">
        <v>50</v>
      </c>
      <c r="AL561" s="9">
        <v>5.3</v>
      </c>
      <c r="AM561" s="9">
        <v>0</v>
      </c>
      <c r="AN561" s="9">
        <v>0.14699999999999999</v>
      </c>
      <c r="AO561" s="9">
        <v>0</v>
      </c>
      <c r="AP561" s="9">
        <v>0</v>
      </c>
      <c r="AQ561" s="9">
        <v>8.7999999999999995E-2</v>
      </c>
      <c r="AR561" s="9">
        <v>8.7999999999999995E-2</v>
      </c>
      <c r="AS561" s="9">
        <v>0</v>
      </c>
      <c r="AT561" s="9">
        <v>0</v>
      </c>
      <c r="AU561" s="9">
        <v>0</v>
      </c>
      <c r="AV561" s="9">
        <v>0</v>
      </c>
      <c r="AW561" s="9">
        <v>0</v>
      </c>
      <c r="AX561" s="9">
        <f>Tabelle1[[#This Row],[Vitamin D3 '[µg/100g']]]*40</f>
        <v>0</v>
      </c>
      <c r="AY561" s="9">
        <f>Tabelle1[[#This Row],[Vitamin A '[µg/100g']]]*3.33</f>
        <v>176.49</v>
      </c>
      <c r="AZ561" s="9">
        <f>Tabelle1[[#This Row],[Vitamin E '[mg/100g']]]*1.49</f>
        <v>0.78970000000000007</v>
      </c>
    </row>
    <row r="562" spans="1:52" hidden="1" x14ac:dyDescent="0.45">
      <c r="A562" t="s">
        <v>877</v>
      </c>
      <c r="B562" s="14" t="s">
        <v>869</v>
      </c>
      <c r="C562" s="14" t="s">
        <v>870</v>
      </c>
      <c r="D562" s="15">
        <v>23</v>
      </c>
      <c r="E562" s="11">
        <f>Tabelle1[[#This Row],[Energie '[kcal/100g']]]/239</f>
        <v>9.6234309623430964E-2</v>
      </c>
      <c r="F562" s="15">
        <v>1.4</v>
      </c>
      <c r="G562" s="11">
        <f>Tabelle1[[#This Row],[Rohprotein '[g/100g']]]*0.85</f>
        <v>1.19</v>
      </c>
      <c r="H562" s="15">
        <v>0.312</v>
      </c>
      <c r="I562" s="9">
        <f>Tabelle1[[#This Row],[TS]]-Tabelle1[[#This Row],[Rohprotein '[g/100g']]]-Tabelle1[[#This Row],[Rohfett '[g/100g']]]-Tabelle1[[#This Row],[Rohasche '[g/100g']]]-Tabelle1[[#This Row],[Rohfaser '[g/100g']]]</f>
        <v>2.2880000000000003</v>
      </c>
      <c r="J562" s="9">
        <v>0</v>
      </c>
      <c r="K562" s="15">
        <v>1</v>
      </c>
      <c r="L562" s="15">
        <v>95</v>
      </c>
      <c r="M562" s="13">
        <f>100-Tabelle1[[#This Row],[Wasser '[g/100g']]]</f>
        <v>5</v>
      </c>
      <c r="N562" s="15">
        <v>22.17</v>
      </c>
      <c r="O562" s="15">
        <v>48.9</v>
      </c>
      <c r="P562" s="15">
        <v>31.1</v>
      </c>
      <c r="Q562" s="15">
        <v>1.17</v>
      </c>
      <c r="R562" s="15">
        <v>280.04000000000002</v>
      </c>
      <c r="S562" s="15"/>
      <c r="T562" s="15">
        <v>0.4</v>
      </c>
      <c r="U562" s="15">
        <v>0.26</v>
      </c>
      <c r="V562" s="9">
        <v>0</v>
      </c>
      <c r="W562" s="15">
        <v>70</v>
      </c>
      <c r="X562" s="15">
        <v>100</v>
      </c>
      <c r="Y562" s="15">
        <v>2.64</v>
      </c>
      <c r="Z562" s="15"/>
      <c r="AA562" s="15">
        <v>0</v>
      </c>
      <c r="AB562" s="15">
        <v>0.34</v>
      </c>
      <c r="AC562" s="15">
        <v>34</v>
      </c>
      <c r="AD562" s="15">
        <v>0.03</v>
      </c>
      <c r="AE562" s="15">
        <v>0.02</v>
      </c>
      <c r="AF562" s="15">
        <v>0.42099999999999999</v>
      </c>
      <c r="AG562" s="15">
        <v>60</v>
      </c>
      <c r="AH562" s="15">
        <v>0</v>
      </c>
      <c r="AI562" s="15">
        <v>15.304</v>
      </c>
      <c r="AJ562" s="15">
        <v>35</v>
      </c>
      <c r="AK562" s="15">
        <v>32</v>
      </c>
      <c r="AL562" s="15">
        <v>3.4</v>
      </c>
      <c r="AM562" s="15">
        <v>0</v>
      </c>
      <c r="AN562" s="15">
        <v>9.5000000000000001E-2</v>
      </c>
      <c r="AO562" s="15">
        <v>0</v>
      </c>
      <c r="AP562" s="15">
        <v>0</v>
      </c>
      <c r="AQ562" s="15">
        <v>5.7000000000000002E-2</v>
      </c>
      <c r="AR562" s="15">
        <v>5.7000000000000002E-2</v>
      </c>
      <c r="AS562" s="15">
        <v>0</v>
      </c>
      <c r="AT562" s="15">
        <v>0</v>
      </c>
      <c r="AU562" s="15">
        <v>0</v>
      </c>
      <c r="AV562" s="15">
        <v>0</v>
      </c>
      <c r="AW562" s="15">
        <v>0</v>
      </c>
      <c r="AX562" s="9">
        <f>Tabelle1[[#This Row],[Vitamin D3 '[µg/100g']]]*40</f>
        <v>0</v>
      </c>
      <c r="AY562" s="9">
        <f>Tabelle1[[#This Row],[Vitamin A '[µg/100g']]]*3.33</f>
        <v>113.22</v>
      </c>
      <c r="AZ562" s="9">
        <f>Tabelle1[[#This Row],[Vitamin E '[mg/100g']]]*1.49</f>
        <v>0.50660000000000005</v>
      </c>
    </row>
    <row r="563" spans="1:52" hidden="1" x14ac:dyDescent="0.45">
      <c r="A563" t="s">
        <v>877</v>
      </c>
      <c r="B563" s="14" t="s">
        <v>871</v>
      </c>
      <c r="C563" s="14" t="s">
        <v>872</v>
      </c>
      <c r="D563" s="15">
        <v>22</v>
      </c>
      <c r="E563" s="11">
        <f>Tabelle1[[#This Row],[Energie '[kcal/100g']]]/239</f>
        <v>9.2050209205020925E-2</v>
      </c>
      <c r="F563" s="15">
        <v>1.3</v>
      </c>
      <c r="G563" s="11">
        <f>Tabelle1[[#This Row],[Rohprotein '[g/100g']]]*0.85</f>
        <v>1.105</v>
      </c>
      <c r="H563" s="15">
        <v>0.3</v>
      </c>
      <c r="I563" s="9">
        <f>Tabelle1[[#This Row],[TS]]-Tabelle1[[#This Row],[Rohprotein '[g/100g']]]-Tabelle1[[#This Row],[Rohfett '[g/100g']]]-Tabelle1[[#This Row],[Rohasche '[g/100g']]]-Tabelle1[[#This Row],[Rohfaser '[g/100g']]]</f>
        <v>2.8000000000000003</v>
      </c>
      <c r="J563" s="9">
        <v>0</v>
      </c>
      <c r="K563" s="15">
        <v>0.6</v>
      </c>
      <c r="L563" s="15">
        <v>95</v>
      </c>
      <c r="M563" s="13">
        <f>100-Tabelle1[[#This Row],[Wasser '[g/100g']]]</f>
        <v>5</v>
      </c>
      <c r="N563" s="15">
        <v>22</v>
      </c>
      <c r="O563" s="15">
        <v>36</v>
      </c>
      <c r="P563" s="15">
        <v>16</v>
      </c>
      <c r="Q563" s="15">
        <v>0</v>
      </c>
      <c r="R563" s="15">
        <v>238</v>
      </c>
      <c r="S563" s="15"/>
      <c r="T563" s="15">
        <v>0.37</v>
      </c>
      <c r="U563" s="15">
        <v>0.22</v>
      </c>
      <c r="V563" s="9">
        <v>0</v>
      </c>
      <c r="W563" s="15">
        <v>70</v>
      </c>
      <c r="X563" s="15">
        <v>100</v>
      </c>
      <c r="Y563" s="15">
        <v>4.9000000000000004</v>
      </c>
      <c r="Z563" s="15"/>
      <c r="AA563" s="15">
        <v>0</v>
      </c>
      <c r="AB563" s="15">
        <v>0.45</v>
      </c>
      <c r="AC563" s="15">
        <v>546</v>
      </c>
      <c r="AD563" s="15">
        <v>0.05</v>
      </c>
      <c r="AE563" s="15">
        <v>0.03</v>
      </c>
      <c r="AF563" s="15">
        <v>0.4</v>
      </c>
      <c r="AG563" s="15">
        <v>60</v>
      </c>
      <c r="AH563" s="15">
        <v>0</v>
      </c>
      <c r="AI563" s="15">
        <v>13.302</v>
      </c>
      <c r="AJ563" s="15">
        <v>33</v>
      </c>
      <c r="AK563" s="15">
        <v>27</v>
      </c>
      <c r="AL563" s="15">
        <v>0.7</v>
      </c>
      <c r="AM563" s="15">
        <v>0</v>
      </c>
      <c r="AN563" s="15">
        <v>9.0999999999999998E-2</v>
      </c>
      <c r="AO563" s="15">
        <v>0</v>
      </c>
      <c r="AP563" s="15">
        <v>0</v>
      </c>
      <c r="AQ563" s="15">
        <v>5.3999999999999999E-2</v>
      </c>
      <c r="AR563" s="15">
        <v>5.3999999999999999E-2</v>
      </c>
      <c r="AS563" s="15">
        <v>0</v>
      </c>
      <c r="AT563" s="15">
        <v>0</v>
      </c>
      <c r="AU563" s="15">
        <v>0</v>
      </c>
      <c r="AV563" s="15">
        <v>0</v>
      </c>
      <c r="AW563" s="15">
        <v>0</v>
      </c>
      <c r="AX563" s="9">
        <f>Tabelle1[[#This Row],[Vitamin D3 '[µg/100g']]]*40</f>
        <v>0</v>
      </c>
      <c r="AY563" s="9">
        <f>Tabelle1[[#This Row],[Vitamin A '[µg/100g']]]*3.33</f>
        <v>1818.18</v>
      </c>
      <c r="AZ563" s="9">
        <f>Tabelle1[[#This Row],[Vitamin E '[mg/100g']]]*1.49</f>
        <v>0.67049999999999998</v>
      </c>
    </row>
    <row r="564" spans="1:52" hidden="1" x14ac:dyDescent="0.45">
      <c r="A564" t="s">
        <v>877</v>
      </c>
      <c r="B564" t="s">
        <v>873</v>
      </c>
      <c r="C564" t="s">
        <v>874</v>
      </c>
      <c r="D564" s="9">
        <v>23</v>
      </c>
      <c r="E564" s="11">
        <f>Tabelle1[[#This Row],[Energie '[kcal/100g']]]/239</f>
        <v>9.6234309623430964E-2</v>
      </c>
      <c r="F564" s="9">
        <v>1.4</v>
      </c>
      <c r="G564" s="11">
        <f>Tabelle1[[#This Row],[Rohprotein '[g/100g']]]*0.85</f>
        <v>1.19</v>
      </c>
      <c r="H564" s="9">
        <v>0.312</v>
      </c>
      <c r="I564" s="9">
        <f>Tabelle1[[#This Row],[TS]]-Tabelle1[[#This Row],[Rohprotein '[g/100g']]]-Tabelle1[[#This Row],[Rohfett '[g/100g']]]-Tabelle1[[#This Row],[Rohasche '[g/100g']]]-Tabelle1[[#This Row],[Rohfaser '[g/100g']]]</f>
        <v>2.2880000000000003</v>
      </c>
      <c r="J564" s="9">
        <v>0</v>
      </c>
      <c r="K564" s="9">
        <v>1</v>
      </c>
      <c r="L564" s="9">
        <v>95</v>
      </c>
      <c r="M564" s="11">
        <f>100-Tabelle1[[#This Row],[Wasser '[g/100g']]]</f>
        <v>5</v>
      </c>
      <c r="N564" s="9">
        <v>22.19</v>
      </c>
      <c r="O564" s="9">
        <v>49.44</v>
      </c>
      <c r="P564" s="9">
        <v>31.44</v>
      </c>
      <c r="Q564" s="9">
        <v>1.17</v>
      </c>
      <c r="R564" s="9">
        <v>280.29000000000002</v>
      </c>
      <c r="T564" s="9">
        <v>0.4</v>
      </c>
      <c r="U564" s="9">
        <v>0.26</v>
      </c>
      <c r="V564" s="9">
        <v>0</v>
      </c>
      <c r="W564" s="9">
        <v>70</v>
      </c>
      <c r="X564" s="9">
        <v>100</v>
      </c>
      <c r="Y564" s="9">
        <v>2.67</v>
      </c>
      <c r="AA564" s="9">
        <v>0</v>
      </c>
      <c r="AB564" s="9">
        <v>0.34</v>
      </c>
      <c r="AC564" s="9">
        <v>33</v>
      </c>
      <c r="AD564" s="9">
        <v>0.03</v>
      </c>
      <c r="AE564" s="9">
        <v>0.02</v>
      </c>
      <c r="AF564" s="9">
        <v>0.39</v>
      </c>
      <c r="AG564" s="9">
        <v>50</v>
      </c>
      <c r="AH564" s="9">
        <v>0</v>
      </c>
      <c r="AI564" s="9">
        <v>15.473000000000001</v>
      </c>
      <c r="AJ564" s="9">
        <v>35</v>
      </c>
      <c r="AK564" s="9">
        <v>34</v>
      </c>
      <c r="AL564" s="9">
        <v>3.5</v>
      </c>
      <c r="AM564" s="9">
        <v>0</v>
      </c>
      <c r="AN564" s="9">
        <v>9.5000000000000001E-2</v>
      </c>
      <c r="AO564" s="9">
        <v>0</v>
      </c>
      <c r="AP564" s="9">
        <v>0</v>
      </c>
      <c r="AQ564" s="9">
        <v>5.7000000000000002E-2</v>
      </c>
      <c r="AR564" s="9">
        <v>5.7000000000000002E-2</v>
      </c>
      <c r="AS564" s="9">
        <v>0</v>
      </c>
      <c r="AT564" s="9">
        <v>0</v>
      </c>
      <c r="AU564" s="9">
        <v>0</v>
      </c>
      <c r="AV564" s="9">
        <v>0</v>
      </c>
      <c r="AW564" s="9">
        <v>0</v>
      </c>
      <c r="AX564" s="9">
        <f>Tabelle1[[#This Row],[Vitamin D3 '[µg/100g']]]*40</f>
        <v>0</v>
      </c>
      <c r="AY564" s="9">
        <f>Tabelle1[[#This Row],[Vitamin A '[µg/100g']]]*3.33</f>
        <v>109.89</v>
      </c>
      <c r="AZ564" s="9">
        <f>Tabelle1[[#This Row],[Vitamin E '[mg/100g']]]*1.49</f>
        <v>0.50660000000000005</v>
      </c>
    </row>
    <row r="565" spans="1:52" hidden="1" x14ac:dyDescent="0.45">
      <c r="A565" t="s">
        <v>877</v>
      </c>
      <c r="B565" s="14" t="s">
        <v>875</v>
      </c>
      <c r="C565" s="14" t="s">
        <v>876</v>
      </c>
      <c r="D565" s="15">
        <v>22</v>
      </c>
      <c r="E565" s="11">
        <f>Tabelle1[[#This Row],[Energie '[kcal/100g']]]/239</f>
        <v>9.2050209205020925E-2</v>
      </c>
      <c r="F565" s="15">
        <v>1.3</v>
      </c>
      <c r="G565" s="11">
        <f>Tabelle1[[#This Row],[Rohprotein '[g/100g']]]*0.85</f>
        <v>1.105</v>
      </c>
      <c r="H565" s="15">
        <v>0.28699999999999998</v>
      </c>
      <c r="I565" s="9">
        <f>Tabelle1[[#This Row],[TS]]-Tabelle1[[#This Row],[Rohprotein '[g/100g']]]-Tabelle1[[#This Row],[Rohfett '[g/100g']]]-Tabelle1[[#This Row],[Rohasche '[g/100g']]]-Tabelle1[[#This Row],[Rohfaser '[g/100g']]]</f>
        <v>1.8129999999999975</v>
      </c>
      <c r="J565" s="9">
        <v>0</v>
      </c>
      <c r="K565" s="15">
        <v>0.9</v>
      </c>
      <c r="L565" s="15">
        <v>95.7</v>
      </c>
      <c r="M565" s="13">
        <f>100-Tabelle1[[#This Row],[Wasser '[g/100g']]]</f>
        <v>4.2999999999999972</v>
      </c>
      <c r="N565" s="15">
        <v>20.399999999999999</v>
      </c>
      <c r="O565" s="15">
        <v>44.99</v>
      </c>
      <c r="P565" s="15">
        <v>28.61</v>
      </c>
      <c r="Q565" s="15">
        <v>1.08</v>
      </c>
      <c r="R565" s="15">
        <v>257.64</v>
      </c>
      <c r="S565" s="15"/>
      <c r="T565" s="15">
        <v>0.4</v>
      </c>
      <c r="U565" s="15">
        <v>0.24</v>
      </c>
      <c r="V565" s="9">
        <v>0</v>
      </c>
      <c r="W565" s="15">
        <v>60</v>
      </c>
      <c r="X565" s="15">
        <v>90</v>
      </c>
      <c r="Y565" s="15">
        <v>2.56</v>
      </c>
      <c r="Z565" s="15"/>
      <c r="AA565" s="15">
        <v>0</v>
      </c>
      <c r="AB565" s="15">
        <v>0.31</v>
      </c>
      <c r="AC565" s="15">
        <v>1506.7</v>
      </c>
      <c r="AD565" s="15">
        <v>0.03</v>
      </c>
      <c r="AE565" s="15">
        <v>0.02</v>
      </c>
      <c r="AF565" s="15">
        <v>0.40799999999999997</v>
      </c>
      <c r="AG565" s="15">
        <v>60</v>
      </c>
      <c r="AH565" s="15">
        <v>0</v>
      </c>
      <c r="AI565" s="15">
        <v>17.600000000000001</v>
      </c>
      <c r="AJ565" s="15">
        <v>32</v>
      </c>
      <c r="AK565" s="15">
        <v>9</v>
      </c>
      <c r="AL565" s="15">
        <v>3.5</v>
      </c>
      <c r="AM565" s="15">
        <v>0</v>
      </c>
      <c r="AN565" s="15">
        <v>8.6999999999999994E-2</v>
      </c>
      <c r="AO565" s="15">
        <v>0</v>
      </c>
      <c r="AP565" s="15">
        <v>0</v>
      </c>
      <c r="AQ565" s="15">
        <v>5.1999999999999998E-2</v>
      </c>
      <c r="AR565" s="15">
        <v>5.1999999999999998E-2</v>
      </c>
      <c r="AS565" s="15">
        <v>0</v>
      </c>
      <c r="AT565" s="15">
        <v>0</v>
      </c>
      <c r="AU565" s="15">
        <v>0</v>
      </c>
      <c r="AV565" s="15">
        <v>0</v>
      </c>
      <c r="AW565" s="15">
        <v>0</v>
      </c>
      <c r="AX565" s="9">
        <f>Tabelle1[[#This Row],[Vitamin D3 '[µg/100g']]]*40</f>
        <v>0</v>
      </c>
      <c r="AY565" s="9">
        <f>Tabelle1[[#This Row],[Vitamin A '[µg/100g']]]*3.33</f>
        <v>5017.3110000000006</v>
      </c>
      <c r="AZ565" s="9">
        <f>Tabelle1[[#This Row],[Vitamin E '[mg/100g']]]*1.49</f>
        <v>0.46189999999999998</v>
      </c>
    </row>
    <row r="566" spans="1:52" x14ac:dyDescent="0.45">
      <c r="A566" t="s">
        <v>1189</v>
      </c>
      <c r="C566" t="s">
        <v>1268</v>
      </c>
      <c r="D566" s="9">
        <v>119</v>
      </c>
      <c r="E566" s="9">
        <v>0.498</v>
      </c>
      <c r="F566" s="9">
        <v>14</v>
      </c>
      <c r="G566" s="9">
        <v>11.9</v>
      </c>
      <c r="H566" s="9">
        <v>7.2</v>
      </c>
      <c r="J566" s="9">
        <v>0.5</v>
      </c>
      <c r="K566" s="9">
        <v>1.7</v>
      </c>
      <c r="L566" s="9">
        <v>77</v>
      </c>
      <c r="M566" s="9">
        <v>23</v>
      </c>
      <c r="N566" s="9">
        <v>300</v>
      </c>
      <c r="O566" s="9">
        <v>250</v>
      </c>
      <c r="U566" s="9">
        <v>2.2000000000000002</v>
      </c>
      <c r="W566" s="9">
        <v>50</v>
      </c>
      <c r="X566" s="9">
        <v>200</v>
      </c>
      <c r="Y566" s="9">
        <v>50</v>
      </c>
      <c r="AB566" s="9">
        <v>4</v>
      </c>
      <c r="AX566" s="9">
        <v>25</v>
      </c>
      <c r="AZ566">
        <v>4</v>
      </c>
    </row>
    <row r="567" spans="1:52" x14ac:dyDescent="0.45">
      <c r="A567" t="s">
        <v>1189</v>
      </c>
      <c r="C567" t="s">
        <v>1275</v>
      </c>
      <c r="D567" s="9">
        <v>90</v>
      </c>
      <c r="E567" s="9">
        <v>0.377</v>
      </c>
      <c r="F567" s="9">
        <v>10</v>
      </c>
      <c r="G567" s="9">
        <v>8.5</v>
      </c>
      <c r="H567" s="9">
        <v>5.6</v>
      </c>
      <c r="J567" s="9">
        <v>0.9</v>
      </c>
      <c r="K567" s="9">
        <v>1.7</v>
      </c>
      <c r="L567" s="9">
        <v>81</v>
      </c>
      <c r="M567" s="9">
        <v>19</v>
      </c>
      <c r="N567" s="9">
        <v>9</v>
      </c>
      <c r="O567" s="9">
        <v>155</v>
      </c>
    </row>
    <row r="568" spans="1:52" x14ac:dyDescent="0.45">
      <c r="A568" t="s">
        <v>1189</v>
      </c>
      <c r="C568" t="s">
        <v>1269</v>
      </c>
      <c r="D568" s="9">
        <v>116</v>
      </c>
      <c r="E568" s="9">
        <v>0.48499999999999999</v>
      </c>
      <c r="F568" s="9">
        <v>12.5</v>
      </c>
      <c r="G568" s="9">
        <v>10.6</v>
      </c>
      <c r="H568" s="9">
        <v>5</v>
      </c>
      <c r="J568" s="9">
        <v>1</v>
      </c>
      <c r="K568" s="9">
        <v>1.6</v>
      </c>
      <c r="L568" s="9">
        <v>76</v>
      </c>
      <c r="M568" s="9">
        <v>24</v>
      </c>
      <c r="N568" s="9">
        <v>15</v>
      </c>
      <c r="O568" s="9">
        <v>170</v>
      </c>
    </row>
    <row r="569" spans="1:52" x14ac:dyDescent="0.45">
      <c r="A569" t="s">
        <v>1190</v>
      </c>
      <c r="C569" t="s">
        <v>1270</v>
      </c>
      <c r="D569" s="9">
        <v>328</v>
      </c>
      <c r="E569" s="9">
        <v>1.3720000000000001</v>
      </c>
      <c r="F569" s="9">
        <v>21</v>
      </c>
      <c r="G569" s="9">
        <v>15.8</v>
      </c>
      <c r="H569" s="9">
        <v>10</v>
      </c>
      <c r="I569" s="9">
        <v>48.5</v>
      </c>
      <c r="J569" s="9">
        <v>2.5</v>
      </c>
      <c r="K569" s="9">
        <v>9</v>
      </c>
      <c r="L569" s="9">
        <v>9</v>
      </c>
      <c r="M569" s="9">
        <v>91</v>
      </c>
      <c r="N569" s="9">
        <v>1900</v>
      </c>
      <c r="O569" s="9">
        <v>1100</v>
      </c>
      <c r="Q569" s="9">
        <v>300</v>
      </c>
      <c r="T569" s="9">
        <v>7</v>
      </c>
      <c r="U569" s="9">
        <v>8.5</v>
      </c>
      <c r="V569" s="9">
        <v>15</v>
      </c>
      <c r="W569" s="9">
        <v>1200</v>
      </c>
      <c r="X569" s="9">
        <v>1600</v>
      </c>
      <c r="Y569" s="9">
        <v>150</v>
      </c>
      <c r="AA569" s="9">
        <v>2.1</v>
      </c>
      <c r="AC569" s="9">
        <v>420</v>
      </c>
      <c r="AN569" s="9">
        <v>0.3</v>
      </c>
      <c r="AQ569" s="9">
        <v>3.5</v>
      </c>
      <c r="AW569" s="9">
        <v>0.32</v>
      </c>
      <c r="AX569" s="9">
        <v>85</v>
      </c>
      <c r="AY569">
        <v>1400</v>
      </c>
    </row>
    <row r="570" spans="1:52" x14ac:dyDescent="0.45">
      <c r="A570" t="s">
        <v>1189</v>
      </c>
      <c r="C570" t="s">
        <v>1271</v>
      </c>
      <c r="D570" s="9">
        <v>90.1</v>
      </c>
      <c r="E570" s="9">
        <v>0.377</v>
      </c>
      <c r="F570" s="9">
        <v>11.6</v>
      </c>
      <c r="G570" s="9">
        <v>10.4</v>
      </c>
      <c r="H570" s="9">
        <v>5</v>
      </c>
      <c r="I570" s="9">
        <v>2</v>
      </c>
      <c r="J570" s="9">
        <v>0.4</v>
      </c>
      <c r="K570" s="9">
        <v>2</v>
      </c>
      <c r="L570" s="9">
        <v>79</v>
      </c>
      <c r="M570" s="9">
        <v>21</v>
      </c>
      <c r="U570" s="9">
        <v>2.1</v>
      </c>
      <c r="X570" s="9">
        <v>170</v>
      </c>
      <c r="Y570" s="9">
        <v>75</v>
      </c>
      <c r="AA570" s="9">
        <v>0.5</v>
      </c>
      <c r="AB570" s="9">
        <v>2</v>
      </c>
      <c r="AW570" s="9">
        <v>20</v>
      </c>
      <c r="AY570">
        <v>2</v>
      </c>
    </row>
    <row r="571" spans="1:52" x14ac:dyDescent="0.45">
      <c r="A571" t="s">
        <v>1189</v>
      </c>
      <c r="C571" t="s">
        <v>1262</v>
      </c>
      <c r="D571" s="9">
        <v>100.4</v>
      </c>
      <c r="E571" s="9">
        <v>0.42</v>
      </c>
      <c r="F571" s="9">
        <v>10.5</v>
      </c>
      <c r="G571" s="9">
        <v>9.5</v>
      </c>
      <c r="H571" s="9">
        <v>4.5</v>
      </c>
      <c r="I571" s="9">
        <v>5.2</v>
      </c>
      <c r="J571" s="9">
        <v>0.3</v>
      </c>
      <c r="K571" s="9">
        <v>1.5</v>
      </c>
      <c r="L571" s="9">
        <v>78</v>
      </c>
      <c r="M571" s="9">
        <v>22</v>
      </c>
      <c r="N571" s="9">
        <v>300</v>
      </c>
      <c r="O571" s="9">
        <v>240</v>
      </c>
      <c r="Q571" s="9">
        <v>80</v>
      </c>
      <c r="U571" s="9">
        <v>2.1</v>
      </c>
      <c r="W571" s="9">
        <v>150</v>
      </c>
      <c r="X571" s="9">
        <v>170</v>
      </c>
      <c r="Y571" s="9">
        <v>75</v>
      </c>
      <c r="AA571" s="9">
        <v>0.5</v>
      </c>
      <c r="AB571" s="9">
        <v>4</v>
      </c>
      <c r="AM571" s="9">
        <v>0.15</v>
      </c>
      <c r="AP571" s="9">
        <v>0.5</v>
      </c>
      <c r="AQ571" s="9">
        <v>0.5</v>
      </c>
      <c r="AW571" s="9">
        <v>20</v>
      </c>
      <c r="AY571">
        <v>4</v>
      </c>
    </row>
    <row r="572" spans="1:52" x14ac:dyDescent="0.45">
      <c r="A572" t="s">
        <v>1189</v>
      </c>
      <c r="C572" t="s">
        <v>1263</v>
      </c>
      <c r="D572" s="9">
        <v>95.8</v>
      </c>
      <c r="E572" s="9">
        <v>0.40100000000000002</v>
      </c>
      <c r="F572" s="9">
        <v>9.6</v>
      </c>
      <c r="G572" s="9">
        <v>8.6</v>
      </c>
      <c r="H572" s="9">
        <v>5.2</v>
      </c>
      <c r="I572" s="9">
        <v>3.5</v>
      </c>
      <c r="J572" s="9">
        <v>0.4</v>
      </c>
      <c r="K572" s="9">
        <v>2.2999999999999998</v>
      </c>
      <c r="L572" s="9">
        <v>79</v>
      </c>
      <c r="M572" s="9">
        <v>21</v>
      </c>
      <c r="N572" s="9">
        <v>300</v>
      </c>
      <c r="O572" s="9">
        <v>200</v>
      </c>
      <c r="Q572" s="9">
        <v>80</v>
      </c>
      <c r="U572" s="9">
        <v>2.1</v>
      </c>
      <c r="X572" s="9">
        <v>170</v>
      </c>
      <c r="Y572" s="9">
        <v>75</v>
      </c>
      <c r="AA572" s="9">
        <v>0.5</v>
      </c>
      <c r="AB572" s="9">
        <v>4</v>
      </c>
      <c r="AC572" s="9">
        <v>0.15</v>
      </c>
      <c r="AF572" s="9">
        <v>0.5</v>
      </c>
      <c r="AG572" s="9">
        <v>0.5</v>
      </c>
      <c r="AM572" s="9">
        <v>20</v>
      </c>
      <c r="AO572" s="9">
        <v>2</v>
      </c>
      <c r="AW572" s="9">
        <v>0.15</v>
      </c>
      <c r="AZ572">
        <v>0.5</v>
      </c>
    </row>
    <row r="573" spans="1:52" x14ac:dyDescent="0.45">
      <c r="A573" t="s">
        <v>1189</v>
      </c>
      <c r="C573" t="s">
        <v>1264</v>
      </c>
      <c r="D573" s="9">
        <v>99</v>
      </c>
      <c r="E573" s="9">
        <v>0.41399999999999998</v>
      </c>
      <c r="F573" s="9">
        <v>10.3</v>
      </c>
      <c r="G573" s="9">
        <v>9.5</v>
      </c>
      <c r="H573" s="9">
        <v>5.5</v>
      </c>
      <c r="I573" s="9">
        <v>2.8</v>
      </c>
      <c r="J573" s="9">
        <v>0.3</v>
      </c>
      <c r="K573" s="9">
        <v>2.1</v>
      </c>
      <c r="L573" s="9">
        <v>79</v>
      </c>
      <c r="M573" s="9">
        <v>21</v>
      </c>
      <c r="N573" s="9">
        <v>360</v>
      </c>
      <c r="O573" s="9">
        <v>280</v>
      </c>
      <c r="Q573" s="9">
        <v>150</v>
      </c>
      <c r="U573" s="9">
        <v>2.1</v>
      </c>
      <c r="X573" s="9">
        <v>170</v>
      </c>
      <c r="Y573" s="9">
        <v>75</v>
      </c>
      <c r="AA573" s="9">
        <v>0.5</v>
      </c>
      <c r="AB573" s="9">
        <v>4</v>
      </c>
      <c r="AM573" s="9">
        <v>0.15</v>
      </c>
      <c r="AP573" s="9">
        <v>0.5</v>
      </c>
      <c r="AQ573" s="9">
        <v>0.5</v>
      </c>
      <c r="AW573" s="9">
        <v>20</v>
      </c>
      <c r="AY573">
        <v>4</v>
      </c>
    </row>
    <row r="574" spans="1:52" x14ac:dyDescent="0.45">
      <c r="A574" t="s">
        <v>1276</v>
      </c>
      <c r="C574" t="s">
        <v>1272</v>
      </c>
      <c r="D574" s="9">
        <v>184.8</v>
      </c>
      <c r="E574" s="9">
        <v>0.77300000000000002</v>
      </c>
      <c r="F574" s="9">
        <v>12</v>
      </c>
      <c r="G574" s="9">
        <v>10.8</v>
      </c>
      <c r="H574" s="9">
        <v>14</v>
      </c>
      <c r="I574" s="9">
        <v>6.81</v>
      </c>
      <c r="J574" s="9">
        <v>0.74</v>
      </c>
      <c r="K574" s="9">
        <v>0.95</v>
      </c>
      <c r="L574" s="9">
        <v>67.95</v>
      </c>
      <c r="M574" s="9">
        <v>32.049999999999997</v>
      </c>
      <c r="N574" s="9">
        <v>470</v>
      </c>
      <c r="O574" s="9">
        <v>319</v>
      </c>
    </row>
    <row r="575" spans="1:52" x14ac:dyDescent="0.45">
      <c r="A575" t="s">
        <v>1276</v>
      </c>
      <c r="C575" t="s">
        <v>1273</v>
      </c>
      <c r="D575" s="9">
        <v>148.80000000000001</v>
      </c>
      <c r="E575" s="9">
        <v>0.623</v>
      </c>
      <c r="F575" s="9">
        <v>17</v>
      </c>
      <c r="G575" s="9">
        <v>15.3</v>
      </c>
      <c r="H575" s="9">
        <v>6.56</v>
      </c>
      <c r="I575" s="9">
        <v>9.9</v>
      </c>
      <c r="J575" s="9">
        <v>1.05</v>
      </c>
      <c r="K575" s="9">
        <v>4.37</v>
      </c>
      <c r="L575" s="9">
        <v>68.12</v>
      </c>
      <c r="M575" s="9">
        <v>31.88</v>
      </c>
      <c r="N575" s="9">
        <v>606</v>
      </c>
      <c r="O575" s="9">
        <v>304</v>
      </c>
    </row>
    <row r="576" spans="1:52" x14ac:dyDescent="0.45">
      <c r="A576" t="s">
        <v>972</v>
      </c>
      <c r="C576" t="s">
        <v>1274</v>
      </c>
      <c r="D576" s="9">
        <v>850</v>
      </c>
      <c r="E576" s="9">
        <v>3.556</v>
      </c>
      <c r="H576" s="9">
        <v>100</v>
      </c>
      <c r="M576" s="9">
        <v>100</v>
      </c>
      <c r="AB576" s="9">
        <v>1000</v>
      </c>
      <c r="AN576" s="9">
        <v>30</v>
      </c>
      <c r="AZ576">
        <v>1000</v>
      </c>
    </row>
    <row r="577" spans="1:52" x14ac:dyDescent="0.45">
      <c r="A577" t="s">
        <v>58</v>
      </c>
      <c r="C577" s="43" t="s">
        <v>1277</v>
      </c>
      <c r="D577" s="9">
        <v>519.6</v>
      </c>
      <c r="E577" s="9">
        <v>2.17</v>
      </c>
      <c r="F577" s="9">
        <v>46.7</v>
      </c>
      <c r="G577" s="9">
        <v>39.69</v>
      </c>
      <c r="H577" s="9">
        <v>41.9</v>
      </c>
      <c r="I577" s="9">
        <v>0</v>
      </c>
      <c r="J577" s="9">
        <v>1.2</v>
      </c>
      <c r="K577" s="9">
        <v>4.4000000000000004</v>
      </c>
      <c r="L577" s="9">
        <v>5.8</v>
      </c>
      <c r="M577" s="9">
        <v>94.2</v>
      </c>
      <c r="N577" s="9">
        <v>278</v>
      </c>
      <c r="O577" s="9">
        <v>604</v>
      </c>
      <c r="P577" s="9">
        <v>86.86</v>
      </c>
      <c r="Q577" s="9">
        <v>207.34</v>
      </c>
      <c r="R577" s="9">
        <v>874.19</v>
      </c>
      <c r="S577" s="9">
        <v>0</v>
      </c>
      <c r="T577" s="9">
        <v>7</v>
      </c>
      <c r="U577" s="9">
        <v>14.54</v>
      </c>
      <c r="V577" s="9">
        <v>0</v>
      </c>
      <c r="W577" s="9">
        <v>453.91</v>
      </c>
      <c r="X577" s="9">
        <v>89.66</v>
      </c>
      <c r="Y577" s="9">
        <v>0</v>
      </c>
      <c r="Z577" s="9">
        <v>0</v>
      </c>
      <c r="AA577" s="9">
        <v>0</v>
      </c>
      <c r="AB577" s="9">
        <v>1.4</v>
      </c>
      <c r="AC577" s="9">
        <v>207.34</v>
      </c>
      <c r="AD577" s="9">
        <v>0.34</v>
      </c>
      <c r="AE577" s="9">
        <v>0.84</v>
      </c>
      <c r="AF577" s="9">
        <v>13</v>
      </c>
      <c r="AG577" s="9">
        <v>680.86</v>
      </c>
      <c r="AH577" s="9">
        <v>5.32</v>
      </c>
      <c r="AI577" s="9">
        <v>0</v>
      </c>
      <c r="AJ577" s="9">
        <v>0</v>
      </c>
      <c r="AK577" s="9">
        <v>2.2400000000000002</v>
      </c>
      <c r="AL577" s="9">
        <v>0</v>
      </c>
      <c r="AM577" s="9">
        <v>0</v>
      </c>
      <c r="AN577" s="9">
        <v>0.2</v>
      </c>
      <c r="AO577" s="9">
        <v>0</v>
      </c>
      <c r="AP577" s="9">
        <v>0</v>
      </c>
      <c r="AQ577" s="9">
        <v>0.42</v>
      </c>
      <c r="AR577" s="9">
        <v>0.36</v>
      </c>
      <c r="AS577" s="9">
        <v>4.93</v>
      </c>
      <c r="AT577" s="9">
        <v>0.62</v>
      </c>
      <c r="AU577" s="9">
        <v>2.13</v>
      </c>
      <c r="AV577" s="9">
        <v>6.72</v>
      </c>
      <c r="AW577" s="9">
        <v>1.88</v>
      </c>
      <c r="AX577" s="9">
        <v>0</v>
      </c>
      <c r="AY577">
        <v>691.06</v>
      </c>
      <c r="AZ577">
        <v>2.09</v>
      </c>
    </row>
    <row r="578" spans="1:52" x14ac:dyDescent="0.45">
      <c r="A578" t="s">
        <v>58</v>
      </c>
      <c r="C578" t="s">
        <v>1278</v>
      </c>
      <c r="D578" s="9">
        <v>84.4</v>
      </c>
      <c r="E578" s="9">
        <v>0.35</v>
      </c>
      <c r="F578" s="9">
        <v>11.5</v>
      </c>
      <c r="G578" s="9">
        <v>10.35</v>
      </c>
      <c r="H578" s="9">
        <v>4</v>
      </c>
      <c r="I578" s="9">
        <v>2.9</v>
      </c>
      <c r="J578" s="9">
        <v>2</v>
      </c>
      <c r="K578" s="9">
        <v>2.6</v>
      </c>
      <c r="L578" s="9">
        <v>77</v>
      </c>
      <c r="M578" s="9">
        <v>23</v>
      </c>
      <c r="N578" s="9">
        <v>14</v>
      </c>
      <c r="O578" s="9">
        <v>210</v>
      </c>
      <c r="P578" s="9">
        <v>23</v>
      </c>
      <c r="Q578" s="9">
        <v>40</v>
      </c>
      <c r="R578" s="9">
        <v>350</v>
      </c>
    </row>
    <row r="579" spans="1:52" x14ac:dyDescent="0.45">
      <c r="A579" t="s">
        <v>58</v>
      </c>
      <c r="C579" t="s">
        <v>1279</v>
      </c>
      <c r="D579" s="9">
        <v>179.7</v>
      </c>
      <c r="E579" s="9">
        <v>0.75</v>
      </c>
      <c r="F579" s="9">
        <v>13.9</v>
      </c>
      <c r="G579" s="9">
        <v>12.51</v>
      </c>
      <c r="H579" s="9">
        <v>12</v>
      </c>
      <c r="I579" s="9">
        <v>8.3000000000000007</v>
      </c>
      <c r="J579" s="9">
        <v>1.4</v>
      </c>
      <c r="K579" s="9">
        <v>3.9</v>
      </c>
      <c r="L579" s="9">
        <v>60.5</v>
      </c>
      <c r="M579" s="9">
        <v>39.5</v>
      </c>
      <c r="N579" s="9">
        <v>13</v>
      </c>
      <c r="O579" s="9">
        <v>195</v>
      </c>
      <c r="P579" s="9">
        <v>21</v>
      </c>
      <c r="Q579" s="9">
        <v>80</v>
      </c>
      <c r="R579" s="9">
        <v>390</v>
      </c>
    </row>
    <row r="580" spans="1:52" x14ac:dyDescent="0.45">
      <c r="A580" t="s">
        <v>972</v>
      </c>
      <c r="C580" t="s">
        <v>1280</v>
      </c>
      <c r="D580" s="9">
        <v>8.5</v>
      </c>
      <c r="E580" s="9">
        <v>3.5999999999999997E-2</v>
      </c>
      <c r="H580" s="9">
        <v>1</v>
      </c>
      <c r="AB580" s="9">
        <v>1.8</v>
      </c>
      <c r="AN580" s="9">
        <v>585</v>
      </c>
      <c r="AO580" s="9">
        <v>210</v>
      </c>
      <c r="AP580" s="9">
        <v>315</v>
      </c>
      <c r="AQ580" s="9">
        <v>27</v>
      </c>
      <c r="AZ580">
        <v>2.68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3A1E-8B21-4CF9-9F24-7B7E1EA7A6F9}">
  <dimension ref="A2:J11"/>
  <sheetViews>
    <sheetView workbookViewId="0">
      <selection activeCell="F14" sqref="F14"/>
    </sheetView>
  </sheetViews>
  <sheetFormatPr baseColWidth="10" defaultColWidth="22.796875" defaultRowHeight="14.25" x14ac:dyDescent="0.45"/>
  <cols>
    <col min="1" max="1" width="9.46484375" bestFit="1" customWidth="1"/>
    <col min="2" max="2" width="19.06640625" bestFit="1" customWidth="1"/>
    <col min="3" max="3" width="17.06640625" bestFit="1" customWidth="1"/>
    <col min="4" max="4" width="11.59765625" customWidth="1"/>
    <col min="5" max="5" width="12.33203125" customWidth="1"/>
    <col min="6" max="6" width="12.33203125" bestFit="1" customWidth="1"/>
    <col min="7" max="7" width="4.19921875" bestFit="1" customWidth="1"/>
    <col min="8" max="8" width="13.33203125" customWidth="1"/>
    <col min="9" max="9" width="25.73046875" bestFit="1" customWidth="1"/>
    <col min="10" max="10" width="23.9296875" bestFit="1" customWidth="1"/>
  </cols>
  <sheetData>
    <row r="2" spans="1:10" x14ac:dyDescent="0.45">
      <c r="A2" s="7" t="s">
        <v>1180</v>
      </c>
      <c r="F2" s="7"/>
    </row>
    <row r="3" spans="1:10" x14ac:dyDescent="0.45">
      <c r="A3" s="7" t="s">
        <v>1181</v>
      </c>
      <c r="B3" s="7" t="s">
        <v>1182</v>
      </c>
      <c r="C3" s="7" t="s">
        <v>1183</v>
      </c>
      <c r="F3" s="7" t="s">
        <v>1187</v>
      </c>
      <c r="I3" s="7" t="s">
        <v>1193</v>
      </c>
      <c r="J3" s="7" t="s">
        <v>1197</v>
      </c>
    </row>
    <row r="4" spans="1:10" x14ac:dyDescent="0.45">
      <c r="A4">
        <v>5</v>
      </c>
      <c r="B4">
        <v>1.7</v>
      </c>
      <c r="C4">
        <v>3.3</v>
      </c>
      <c r="F4" t="s">
        <v>1198</v>
      </c>
      <c r="G4" s="16">
        <v>0.9</v>
      </c>
      <c r="I4" t="s">
        <v>1194</v>
      </c>
      <c r="J4">
        <v>0.56000000000000005</v>
      </c>
    </row>
    <row r="5" spans="1:10" x14ac:dyDescent="0.45">
      <c r="A5">
        <v>10</v>
      </c>
      <c r="B5">
        <v>1.4</v>
      </c>
      <c r="C5">
        <v>2.8</v>
      </c>
      <c r="F5" t="s">
        <v>1189</v>
      </c>
      <c r="G5" s="16">
        <v>0.85</v>
      </c>
      <c r="I5" t="s">
        <v>1195</v>
      </c>
      <c r="J5">
        <v>0.52</v>
      </c>
    </row>
    <row r="6" spans="1:10" x14ac:dyDescent="0.45">
      <c r="A6">
        <v>15</v>
      </c>
      <c r="B6">
        <v>1.3</v>
      </c>
      <c r="C6">
        <v>2.5</v>
      </c>
      <c r="F6" t="s">
        <v>1190</v>
      </c>
      <c r="G6" s="16">
        <v>0.75</v>
      </c>
      <c r="I6" t="s">
        <v>1196</v>
      </c>
      <c r="J6">
        <v>0.42</v>
      </c>
    </row>
    <row r="7" spans="1:10" x14ac:dyDescent="0.45">
      <c r="A7">
        <v>20</v>
      </c>
      <c r="B7">
        <v>1.2</v>
      </c>
      <c r="C7">
        <v>2.4</v>
      </c>
      <c r="F7" t="s">
        <v>1191</v>
      </c>
      <c r="G7" s="16">
        <v>0.9</v>
      </c>
    </row>
    <row r="8" spans="1:10" x14ac:dyDescent="0.45">
      <c r="A8">
        <v>25</v>
      </c>
      <c r="B8">
        <v>1.1000000000000001</v>
      </c>
      <c r="C8">
        <v>2.2000000000000002</v>
      </c>
      <c r="F8" t="s">
        <v>1192</v>
      </c>
      <c r="G8" s="16">
        <v>0.9</v>
      </c>
    </row>
    <row r="9" spans="1:10" x14ac:dyDescent="0.45">
      <c r="A9">
        <v>30</v>
      </c>
      <c r="B9">
        <v>1.1000000000000001</v>
      </c>
      <c r="C9">
        <v>2.1</v>
      </c>
    </row>
    <row r="10" spans="1:10" x14ac:dyDescent="0.45">
      <c r="A10">
        <v>35</v>
      </c>
      <c r="B10">
        <v>1</v>
      </c>
      <c r="C10">
        <v>2.1</v>
      </c>
    </row>
    <row r="11" spans="1:10" x14ac:dyDescent="0.45">
      <c r="A11">
        <v>60</v>
      </c>
      <c r="B11">
        <v>0.9</v>
      </c>
      <c r="C11">
        <v>1.8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5A05-0C24-4386-85CD-131723C53B4B}">
  <dimension ref="A1:AX3"/>
  <sheetViews>
    <sheetView topLeftCell="AI1" workbookViewId="0">
      <selection activeCell="AY20" sqref="AY20"/>
    </sheetView>
  </sheetViews>
  <sheetFormatPr baseColWidth="10" defaultRowHeight="14.25" x14ac:dyDescent="0.45"/>
  <cols>
    <col min="1" max="1" width="11.796875" bestFit="1" customWidth="1"/>
    <col min="2" max="2" width="16.19921875" bestFit="1" customWidth="1"/>
    <col min="3" max="3" width="14.86328125" bestFit="1" customWidth="1"/>
    <col min="4" max="4" width="16.59765625" bestFit="1" customWidth="1"/>
    <col min="5" max="5" width="6.19921875" bestFit="1" customWidth="1"/>
    <col min="6" max="6" width="13.59765625" bestFit="1" customWidth="1"/>
    <col min="7" max="7" width="10.86328125" bestFit="1" customWidth="1"/>
    <col min="8" max="8" width="14.86328125" bestFit="1" customWidth="1"/>
    <col min="9" max="9" width="15.53125" bestFit="1" customWidth="1"/>
    <col min="10" max="10" width="13.59765625" bestFit="1" customWidth="1"/>
    <col min="11" max="11" width="2.6640625" bestFit="1" customWidth="1"/>
    <col min="12" max="12" width="15.86328125" bestFit="1" customWidth="1"/>
    <col min="13" max="13" width="16.86328125" bestFit="1" customWidth="1"/>
    <col min="14" max="14" width="18.33203125" bestFit="1" customWidth="1"/>
    <col min="15" max="15" width="15.6640625" bestFit="1" customWidth="1"/>
    <col min="16" max="16" width="14.73046875" bestFit="1" customWidth="1"/>
    <col min="17" max="17" width="10.53125" bestFit="1" customWidth="1"/>
    <col min="18" max="18" width="13.53125" bestFit="1" customWidth="1"/>
    <col min="19" max="19" width="12.53125" bestFit="1" customWidth="1"/>
    <col min="20" max="20" width="13.265625" bestFit="1" customWidth="1"/>
    <col min="21" max="21" width="14" style="24" bestFit="1" customWidth="1"/>
    <col min="22" max="22" width="14.796875" style="24" bestFit="1" customWidth="1"/>
    <col min="23" max="23" width="11.33203125" bestFit="1" customWidth="1"/>
    <col min="24" max="24" width="16.73046875" bestFit="1" customWidth="1"/>
    <col min="25" max="25" width="17.33203125" bestFit="1" customWidth="1"/>
    <col min="26" max="26" width="16.6640625" bestFit="1" customWidth="1"/>
    <col min="27" max="27" width="16.19921875" bestFit="1" customWidth="1"/>
    <col min="28" max="29" width="17.73046875" style="24" bestFit="1" customWidth="1"/>
    <col min="30" max="30" width="20.06640625" style="24" bestFit="1" customWidth="1"/>
    <col min="31" max="31" width="17.19921875" bestFit="1" customWidth="1"/>
    <col min="32" max="32" width="18.19921875" bestFit="1" customWidth="1"/>
    <col min="33" max="33" width="16.86328125" bestFit="1" customWidth="1"/>
    <col min="34" max="34" width="16.19921875" bestFit="1" customWidth="1"/>
    <col min="35" max="35" width="15.59765625" bestFit="1" customWidth="1"/>
    <col min="36" max="36" width="13.265625" bestFit="1" customWidth="1"/>
    <col min="37" max="37" width="13.86328125" bestFit="1" customWidth="1"/>
    <col min="38" max="38" width="21.6640625" style="24" bestFit="1" customWidth="1"/>
    <col min="39" max="39" width="10.796875" style="24" bestFit="1" customWidth="1"/>
    <col min="40" max="40" width="11.19921875" style="24" bestFit="1" customWidth="1"/>
    <col min="41" max="41" width="21.6640625" style="24" bestFit="1" customWidth="1"/>
    <col min="42" max="42" width="16.06640625" style="24" bestFit="1" customWidth="1"/>
    <col min="43" max="43" width="13.19921875" style="24" bestFit="1" customWidth="1"/>
    <col min="44" max="44" width="13.6640625" style="24" bestFit="1" customWidth="1"/>
    <col min="45" max="45" width="13.796875" style="24" bestFit="1" customWidth="1"/>
    <col min="46" max="46" width="11.73046875" style="24" bestFit="1" customWidth="1"/>
    <col min="47" max="47" width="15.59765625" style="24" bestFit="1" customWidth="1"/>
    <col min="48" max="48" width="11.265625" bestFit="1" customWidth="1"/>
    <col min="49" max="49" width="10.06640625" bestFit="1" customWidth="1"/>
    <col min="50" max="50" width="10" bestFit="1" customWidth="1"/>
  </cols>
  <sheetData>
    <row r="1" spans="1:50" s="30" customFormat="1" x14ac:dyDescent="0.45">
      <c r="A1" s="2" t="s">
        <v>43</v>
      </c>
      <c r="B1" s="12" t="s">
        <v>1202</v>
      </c>
      <c r="C1" s="12" t="s">
        <v>1203</v>
      </c>
      <c r="D1" s="12" t="s">
        <v>1204</v>
      </c>
      <c r="E1" s="12" t="s">
        <v>26</v>
      </c>
      <c r="F1" s="12" t="s">
        <v>1205</v>
      </c>
      <c r="G1" s="10" t="s">
        <v>1207</v>
      </c>
      <c r="H1" s="12" t="s">
        <v>1208</v>
      </c>
      <c r="I1" s="12" t="s">
        <v>1209</v>
      </c>
      <c r="J1" s="12" t="s">
        <v>1210</v>
      </c>
      <c r="K1" s="12" t="s">
        <v>1160</v>
      </c>
      <c r="L1" s="12" t="s">
        <v>1211</v>
      </c>
      <c r="M1" s="12" t="s">
        <v>1212</v>
      </c>
      <c r="N1" s="12" t="s">
        <v>1213</v>
      </c>
      <c r="O1" s="12" t="s">
        <v>1214</v>
      </c>
      <c r="P1" s="12" t="s">
        <v>1215</v>
      </c>
      <c r="Q1" s="12" t="s">
        <v>1216</v>
      </c>
      <c r="R1" s="12" t="s">
        <v>1217</v>
      </c>
      <c r="S1" s="12" t="s">
        <v>1218</v>
      </c>
      <c r="T1" s="12" t="s">
        <v>1219</v>
      </c>
      <c r="U1" s="12" t="s">
        <v>1200</v>
      </c>
      <c r="V1" s="12" t="s">
        <v>1201</v>
      </c>
      <c r="W1" s="12" t="s">
        <v>1199</v>
      </c>
      <c r="X1" s="12" t="s">
        <v>1220</v>
      </c>
      <c r="Y1" s="12" t="s">
        <v>1221</v>
      </c>
      <c r="Z1" s="12" t="s">
        <v>1222</v>
      </c>
      <c r="AA1" s="12" t="s">
        <v>1223</v>
      </c>
      <c r="AB1" s="12" t="s">
        <v>1224</v>
      </c>
      <c r="AC1" s="12" t="s">
        <v>1225</v>
      </c>
      <c r="AD1" s="12" t="s">
        <v>1226</v>
      </c>
      <c r="AE1" s="12" t="s">
        <v>1227</v>
      </c>
      <c r="AF1" s="12" t="s">
        <v>1228</v>
      </c>
      <c r="AG1" s="12" t="s">
        <v>1229</v>
      </c>
      <c r="AH1" s="12" t="s">
        <v>1230</v>
      </c>
      <c r="AI1" s="12" t="s">
        <v>1244</v>
      </c>
      <c r="AJ1" s="12" t="s">
        <v>1245</v>
      </c>
      <c r="AK1" s="12" t="s">
        <v>1233</v>
      </c>
      <c r="AL1" s="12" t="s">
        <v>1236</v>
      </c>
      <c r="AM1" s="12" t="s">
        <v>1237</v>
      </c>
      <c r="AN1" s="12" t="s">
        <v>1238</v>
      </c>
      <c r="AO1" s="12" t="s">
        <v>1235</v>
      </c>
      <c r="AP1" s="12" t="s">
        <v>1234</v>
      </c>
      <c r="AQ1" s="12" t="s">
        <v>1239</v>
      </c>
      <c r="AR1" s="12" t="s">
        <v>1240</v>
      </c>
      <c r="AS1" s="12" t="s">
        <v>1241</v>
      </c>
      <c r="AT1" s="12" t="s">
        <v>1242</v>
      </c>
      <c r="AU1" s="12" t="s">
        <v>1243</v>
      </c>
      <c r="AV1" s="10" t="s">
        <v>59</v>
      </c>
      <c r="AW1" s="10" t="s">
        <v>63</v>
      </c>
      <c r="AX1" s="10" t="s">
        <v>64</v>
      </c>
    </row>
    <row r="2" spans="1:50" ht="14.65" thickBot="1" x14ac:dyDescent="0.5">
      <c r="A2" s="21" t="s">
        <v>1179</v>
      </c>
      <c r="B2" s="22" t="s">
        <v>1202</v>
      </c>
      <c r="C2" s="22" t="s">
        <v>1203</v>
      </c>
      <c r="D2" s="22" t="s">
        <v>1204</v>
      </c>
      <c r="E2" s="22" t="s">
        <v>1206</v>
      </c>
      <c r="F2" s="22" t="s">
        <v>1205</v>
      </c>
      <c r="G2" s="23" t="s">
        <v>1207</v>
      </c>
      <c r="H2" s="22" t="s">
        <v>1208</v>
      </c>
      <c r="I2" s="22" t="s">
        <v>1209</v>
      </c>
      <c r="J2" s="22" t="s">
        <v>1210</v>
      </c>
      <c r="K2" s="22" t="s">
        <v>1160</v>
      </c>
      <c r="L2" s="22" t="s">
        <v>1211</v>
      </c>
      <c r="M2" s="22" t="s">
        <v>1212</v>
      </c>
      <c r="N2" s="22" t="s">
        <v>1213</v>
      </c>
      <c r="O2" s="22" t="s">
        <v>1214</v>
      </c>
      <c r="P2" s="22" t="s">
        <v>1215</v>
      </c>
      <c r="Q2" s="22" t="s">
        <v>1216</v>
      </c>
      <c r="R2" s="22" t="s">
        <v>1217</v>
      </c>
      <c r="S2" s="22" t="s">
        <v>1218</v>
      </c>
      <c r="T2" s="22" t="s">
        <v>1219</v>
      </c>
      <c r="U2" s="22" t="s">
        <v>1200</v>
      </c>
      <c r="V2" s="22" t="s">
        <v>1201</v>
      </c>
      <c r="W2" s="22" t="s">
        <v>1199</v>
      </c>
      <c r="X2" s="22" t="s">
        <v>1220</v>
      </c>
      <c r="Y2" s="22" t="s">
        <v>1221</v>
      </c>
      <c r="Z2" s="22" t="s">
        <v>1222</v>
      </c>
      <c r="AA2" s="22" t="s">
        <v>1223</v>
      </c>
      <c r="AB2" s="22" t="s">
        <v>1224</v>
      </c>
      <c r="AC2" s="22" t="s">
        <v>1225</v>
      </c>
      <c r="AD2" s="22" t="s">
        <v>1226</v>
      </c>
      <c r="AE2" s="22" t="s">
        <v>1227</v>
      </c>
      <c r="AF2" s="22" t="s">
        <v>1228</v>
      </c>
      <c r="AG2" s="22" t="s">
        <v>1229</v>
      </c>
      <c r="AH2" s="22" t="s">
        <v>1230</v>
      </c>
      <c r="AI2" s="22" t="s">
        <v>1231</v>
      </c>
      <c r="AJ2" s="22" t="s">
        <v>1232</v>
      </c>
      <c r="AK2" s="22" t="s">
        <v>1233</v>
      </c>
      <c r="AL2" s="22" t="s">
        <v>1236</v>
      </c>
      <c r="AM2" s="22" t="s">
        <v>1237</v>
      </c>
      <c r="AN2" s="22" t="s">
        <v>1238</v>
      </c>
      <c r="AO2" s="22" t="s">
        <v>1235</v>
      </c>
      <c r="AP2" s="22" t="s">
        <v>1234</v>
      </c>
      <c r="AQ2" s="22" t="s">
        <v>1239</v>
      </c>
      <c r="AR2" s="22" t="s">
        <v>1240</v>
      </c>
      <c r="AS2" s="22" t="s">
        <v>1241</v>
      </c>
      <c r="AT2" s="22" t="s">
        <v>1242</v>
      </c>
      <c r="AU2" s="22" t="s">
        <v>1243</v>
      </c>
      <c r="AV2" s="23" t="s">
        <v>59</v>
      </c>
      <c r="AW2" s="23" t="s">
        <v>63</v>
      </c>
      <c r="AX2" s="23" t="s">
        <v>64</v>
      </c>
    </row>
    <row r="3" spans="1:50" ht="14.65" thickBot="1" x14ac:dyDescent="0.5">
      <c r="A3" s="28" t="s">
        <v>43</v>
      </c>
      <c r="B3" s="26" t="s">
        <v>25</v>
      </c>
      <c r="C3" s="26" t="s">
        <v>42</v>
      </c>
      <c r="D3" s="26" t="s">
        <v>24</v>
      </c>
      <c r="E3" s="26" t="s">
        <v>26</v>
      </c>
      <c r="F3" s="26" t="s">
        <v>27</v>
      </c>
      <c r="G3" s="27" t="s">
        <v>44</v>
      </c>
      <c r="H3" s="26" t="s">
        <v>60</v>
      </c>
      <c r="I3" s="26" t="s">
        <v>2</v>
      </c>
      <c r="J3" s="26" t="s">
        <v>1</v>
      </c>
      <c r="K3" s="26" t="s">
        <v>1160</v>
      </c>
      <c r="L3" s="26" t="s">
        <v>7</v>
      </c>
      <c r="M3" s="26" t="s">
        <v>9</v>
      </c>
      <c r="N3" s="26" t="s">
        <v>8</v>
      </c>
      <c r="O3" s="26" t="s">
        <v>4</v>
      </c>
      <c r="P3" s="26" t="s">
        <v>6</v>
      </c>
      <c r="Q3" s="26" t="s">
        <v>1216</v>
      </c>
      <c r="R3" s="26" t="s">
        <v>11</v>
      </c>
      <c r="S3" s="26" t="s">
        <v>12</v>
      </c>
      <c r="T3" s="26" t="s">
        <v>61</v>
      </c>
      <c r="U3" s="29" t="s">
        <v>13</v>
      </c>
      <c r="V3" s="29" t="s">
        <v>14</v>
      </c>
      <c r="W3" s="26" t="s">
        <v>28</v>
      </c>
      <c r="X3" s="26" t="s">
        <v>10</v>
      </c>
      <c r="Y3" s="26" t="s">
        <v>29</v>
      </c>
      <c r="Z3" s="26" t="s">
        <v>30</v>
      </c>
      <c r="AA3" s="26" t="s">
        <v>62</v>
      </c>
      <c r="AB3" s="29" t="s">
        <v>31</v>
      </c>
      <c r="AC3" s="29" t="s">
        <v>32</v>
      </c>
      <c r="AD3" s="29" t="s">
        <v>33</v>
      </c>
      <c r="AE3" s="26" t="s">
        <v>34</v>
      </c>
      <c r="AF3" s="26" t="s">
        <v>35</v>
      </c>
      <c r="AG3" s="26" t="s">
        <v>36</v>
      </c>
      <c r="AH3" s="26" t="s">
        <v>37</v>
      </c>
      <c r="AI3" s="26" t="s">
        <v>38</v>
      </c>
      <c r="AJ3" s="26" t="s">
        <v>3</v>
      </c>
      <c r="AK3" s="26" t="s">
        <v>15</v>
      </c>
      <c r="AL3" s="29" t="s">
        <v>39</v>
      </c>
      <c r="AM3" s="29" t="s">
        <v>40</v>
      </c>
      <c r="AN3" s="29" t="s">
        <v>41</v>
      </c>
      <c r="AO3" s="29" t="s">
        <v>16</v>
      </c>
      <c r="AP3" s="29" t="s">
        <v>17</v>
      </c>
      <c r="AQ3" s="29" t="s">
        <v>18</v>
      </c>
      <c r="AR3" s="29" t="s">
        <v>19</v>
      </c>
      <c r="AS3" s="29" t="s">
        <v>20</v>
      </c>
      <c r="AT3" s="29" t="s">
        <v>21</v>
      </c>
      <c r="AU3" s="29" t="s">
        <v>22</v>
      </c>
      <c r="AV3" s="27" t="s">
        <v>59</v>
      </c>
      <c r="AW3" s="27" t="s">
        <v>63</v>
      </c>
      <c r="AX3" s="27" t="s">
        <v>64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2495-E5D1-471C-96E4-7B7DD46342AE}">
  <dimension ref="A1:D3"/>
  <sheetViews>
    <sheetView workbookViewId="0">
      <selection activeCell="C12" sqref="C11:C12"/>
    </sheetView>
  </sheetViews>
  <sheetFormatPr baseColWidth="10" defaultRowHeight="14.25" x14ac:dyDescent="0.45"/>
  <cols>
    <col min="1" max="1" width="12.06640625" bestFit="1" customWidth="1"/>
    <col min="2" max="2" width="7.73046875" bestFit="1" customWidth="1"/>
    <col min="3" max="3" width="12.265625" bestFit="1" customWidth="1"/>
    <col min="4" max="4" width="10.33203125" bestFit="1" customWidth="1"/>
  </cols>
  <sheetData>
    <row r="1" spans="1:4" s="7" customFormat="1" x14ac:dyDescent="0.45">
      <c r="A1" s="7" t="s">
        <v>1281</v>
      </c>
      <c r="B1" s="7" t="s">
        <v>1282</v>
      </c>
      <c r="C1" s="7" t="s">
        <v>1283</v>
      </c>
      <c r="D1" s="7" t="s">
        <v>1284</v>
      </c>
    </row>
    <row r="2" spans="1:4" x14ac:dyDescent="0.45">
      <c r="A2" t="s">
        <v>1288</v>
      </c>
      <c r="B2" t="s">
        <v>1288</v>
      </c>
      <c r="C2" t="s">
        <v>1155</v>
      </c>
      <c r="D2" t="s">
        <v>1287</v>
      </c>
    </row>
    <row r="3" spans="1:4" x14ac:dyDescent="0.45">
      <c r="A3" t="s">
        <v>1285</v>
      </c>
      <c r="B3" t="s">
        <v>1285</v>
      </c>
      <c r="C3" t="s">
        <v>1286</v>
      </c>
      <c r="D3" t="s">
        <v>1287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Dashboard</vt:lpstr>
      <vt:lpstr>Bedarfswerte</vt:lpstr>
      <vt:lpstr>Analyse</vt:lpstr>
      <vt:lpstr>Lebensmitteldaten</vt:lpstr>
      <vt:lpstr>Hintergrunddaten</vt:lpstr>
      <vt:lpstr>Hintergrund Anpassungen Einheit</vt:lpstr>
      <vt:lpstr>Benutzerverwaltung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Koch</dc:creator>
  <cp:lastModifiedBy>Julia Koch</cp:lastModifiedBy>
  <dcterms:created xsi:type="dcterms:W3CDTF">2026-02-18T19:39:36Z</dcterms:created>
  <dcterms:modified xsi:type="dcterms:W3CDTF">2026-08-09T11:09:46Z</dcterms:modified>
</cp:coreProperties>
</file>